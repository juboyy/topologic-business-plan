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book.xml" ContentType="application/vnd.openxmlformats-officedocument.spreadsheetml.sheet.main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</ns0: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ns0:workbook xmlns:ns0="http://schemas.openxmlformats.org/spreadsheetml/2006/main" xmlns:ns1="http://schemas.openxmlformats.org/officeDocument/2006/relationships">
  <ns0:workbookPr/>
  <ns0:workbookProtection/>
  <ns0:bookViews>
    <ns0:workbookView visibility="visible" minimized="0" showHorizontalScroll="1" showVerticalScroll="1" showSheetTabs="1" tabRatio="600" firstSheet="0" activeTab="0" autoFilterDateGrouping="1"/>
  </ns0:bookViews>
  <ns0:sheets>
    <ns0:sheet name="Leia primeiro" sheetId="1" state="visible" ns1:id="rId1"/>
    <ns0:sheet name="Premissas" sheetId="2" state="visible" ns1:id="rId2"/>
    <ns0:sheet name="Infraestrutura" sheetId="3" state="visible" ns1:id="rId3"/>
    <ns0:sheet name="Agenda" sheetId="4" state="visible" ns1:id="rId4"/>
    <ns0:sheet name="Conservador" sheetId="5" state="visible" ns1:id="rId5"/>
    <ns0:sheet name="Base" sheetId="6" state="visible" ns1:id="rId6"/>
    <ns0:sheet name="Expansao" sheetId="7" state="visible" ns1:id="rId7"/>
    <ns0:sheet name="Resumo" sheetId="8" state="visible" ns1:id="rId8"/>
    <ns0:sheet name="Capacidade" sheetId="9" state="visible" ns1:id="rId9"/>
    <ns0:sheet name="Verificado" sheetId="10" state="visible" ns1:id="rId10"/>
    <ns0:sheet name="Sociedade" sheetId="11" state="visible" ns1:id="rId11"/>
    <ns0:sheet name="Fontes" sheetId="12" state="visible" ns1:id="rId12"/>
    <ns0:sheet name="Perspectivas" sheetId="13" ns1:id="rId15"/>
    <ns0:sheet name="Desenvolvimento" sheetId="14" ns1:id="rId16"/>
    <ns0:sheet name="Monetização" sheetId="15" ns1:id="rId17"/>
  </ns0:sheets>
  <ns0:definedNames/>
  <ns0:calcPr calcId="124519" fullCalcOnLoad="1"/>
</ns0:workbook>
</file>

<file path=xl/styles.xml><?xml version="1.0" encoding="utf-8"?>
<ns0:styleSheet xmlns:ns0="http://schemas.openxmlformats.org/spreadsheetml/2006/main">
  <ns0:numFmts count="4">
    <ns0:numFmt numFmtId="164" formatCode="0.0%"/>
    <ns0:numFmt numFmtId="165" formatCode="&quot;R$&quot; #,##0.00;[Red]-&quot;R$&quot; #,##0.00"/>
    <ns0:numFmt numFmtId="166" formatCode="0.00"/>
    <ns0:numFmt numFmtId="167" formatCode="0.0%"/>
  </ns0:numFmts>
  <ns0:fonts count="5">
    <ns0:font>
      <ns0:name val="Calibri"/>
      <ns0:family val="2"/>
      <ns0:color theme="1"/>
      <ns0:sz val="11"/>
      <ns0:scheme val="minor"/>
    </ns0:font>
    <ns0:font>
      <ns0:name val="Calibri"/>
      <ns0:b val="1"/>
      <ns0:color rgb="00FFFFFF"/>
      <ns0:sz val="12"/>
    </ns0:font>
    <ns0:font>
      <ns0:name val="Calibri"/>
      <ns0:sz val="11"/>
    </ns0:font>
    <ns0:font>
      <ns0:sz val="11"/>
      <ns0:color theme="1"/>
      <ns0:name val="Calibri"/>
      <ns0:family val="2"/>
      <ns0:scheme val="minor"/>
    </ns0:font>
    <ns0:font>
      <ns0:b/>
      <ns0:sz val="11"/>
      <ns0:color rgb="FFFFFFFF"/>
      <ns0:name val="Calibri"/>
      <ns0:family val="2"/>
      <ns0:scheme val="minor"/>
    </ns0:font>
  </ns0:fonts>
  <ns0:fills count="6">
    <ns0:fill>
      <ns0:patternFill/>
    </ns0:fill>
    <ns0:fill>
      <ns0:patternFill patternType="gray125"/>
    </ns0:fill>
    <ns0:fill>
      <ns0:patternFill patternType="solid">
        <ns0:fgColor rgb="0017352E"/>
      </ns0:patternFill>
    </ns0:fill>
    <ns0:fill>
      <ns0:patternFill patternType="none"/>
    </ns0:fill>
    <ns0:fill>
      <ns0:patternFill patternType="gray125"/>
    </ns0:fill>
    <ns0:fill>
      <ns0:patternFill patternType="solid">
        <ns0:fgColor rgb="FF17352E"/>
        <ns0:bgColor indexed="64"/>
      </ns0:patternFill>
    </ns0:fill>
  </ns0:fills>
  <ns0:borders count="2">
    <ns0:border>
      <ns0:left/>
      <ns0:right/>
      <ns0:top/>
      <ns0:bottom/>
      <ns0:diagonal/>
    </ns0:border>
    <ns0:border>
      <ns0:left/>
      <ns0:right/>
      <ns0:top/>
      <ns0:bottom/>
      <ns0:diagonal/>
    </ns0:border>
  </ns0:borders>
  <ns0:cellStyleXfs count="1">
    <ns0:xf numFmtId="0" fontId="0" fillId="0" borderId="0"/>
  </ns0:cellStyleXfs>
  <ns0:cellXfs count="12">
    <ns0:xf numFmtId="0" fontId="0" fillId="0" borderId="0" pivotButton="0" quotePrefix="0" xfId="0"/>
    <ns0:xf numFmtId="0" fontId="1" fillId="2" borderId="0" applyAlignment="1" pivotButton="0" quotePrefix="0" xfId="0">
      <ns0:alignment vertical="center" wrapText="1"/>
    </ns0:xf>
    <ns0:xf numFmtId="0" fontId="2" fillId="0" borderId="0" applyAlignment="1" pivotButton="0" quotePrefix="0" xfId="0">
      <ns0:alignment vertical="top" wrapText="1"/>
    </ns0:xf>
    <ns0:xf numFmtId="164" fontId="2" fillId="0" borderId="0" applyAlignment="1" pivotButton="0" quotePrefix="0" xfId="0">
      <ns0:alignment vertical="top" wrapText="1"/>
    </ns0:xf>
    <ns0:xf numFmtId="9" fontId="2" fillId="0" borderId="0" applyAlignment="1" pivotButton="0" quotePrefix="0" xfId="0">
      <ns0:alignment vertical="top" wrapText="1"/>
    </ns0:xf>
    <ns0:xf numFmtId="0" fontId="3" fillId="3" borderId="1" xfId="0"/>
    <ns0:xf numFmtId="0" fontId="4" fillId="5" borderId="1" xfId="0" applyFont="1" applyFill="1" applyAlignment="1">
      <ns0:alignment vertical="top" wrapText="1"/>
    </ns0:xf>
    <ns0:xf numFmtId="0" fontId="3" fillId="3" borderId="1" xfId="0" applyAlignment="1">
      <ns0:alignment vertical="top" wrapText="1"/>
    </ns0:xf>
    <ns0:xf numFmtId="165" fontId="3" fillId="3" borderId="1" xfId="0" applyNumberFormat="1" applyAlignment="1">
      <ns0:alignment vertical="top"/>
    </ns0:xf>
    <ns0:xf numFmtId="166" fontId="3" fillId="3" borderId="1" xfId="0" applyNumberFormat="1" applyAlignment="1">
      <ns0:alignment vertical="top"/>
    </ns0:xf>
    <ns0:xf numFmtId="1" fontId="3" fillId="3" borderId="1" xfId="0" applyNumberFormat="1" applyAlignment="1">
      <ns0:alignment vertical="top"/>
    </ns0:xf>
    <ns0:xf numFmtId="167" fontId="3" fillId="3" borderId="1" xfId="0" applyNumberFormat="1" applyAlignment="1">
      <ns0:alignment vertical="top"/>
    </ns0:xf>
  </ns0:cellXfs>
  <ns0:cellStyles count="1">
    <ns0:cellStyle name="Normal" xfId="0" builtinId="0" hidden="0"/>
  </ns0:cellStyles>
  <ns0:tableStyles count="0" defaultTableStyle="TableStyleMedium9" defaultPivotStyle="PivotStyleLight16"/>
  <ns0:colors>
    <ns0:indexedColors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000000"/>
      <ns0:rgbColor rgb="00FFFFFF"/>
      <ns0:rgbColor rgb="00FF0000"/>
      <ns0:rgbColor rgb="0000FF00"/>
      <ns0:rgbColor rgb="000000FF"/>
      <ns0:rgbColor rgb="00FFFF00"/>
      <ns0:rgbColor rgb="00FF00FF"/>
      <ns0:rgbColor rgb="0000FFFF"/>
      <ns0:rgbColor rgb="00800000"/>
      <ns0:rgbColor rgb="00008000"/>
      <ns0:rgbColor rgb="00000080"/>
      <ns0:rgbColor rgb="00808000"/>
      <ns0:rgbColor rgb="00800080"/>
      <ns0:rgbColor rgb="00008080"/>
      <ns0:rgbColor rgb="00C0C0C0"/>
      <ns0:rgbColor rgb="00808080"/>
      <ns0:rgbColor rgb="009999FF"/>
      <ns0:rgbColor rgb="00993366"/>
      <ns0:rgbColor rgb="00FFFFCC"/>
      <ns0:rgbColor rgb="00CCFFFF"/>
      <ns0:rgbColor rgb="00660066"/>
      <ns0:rgbColor rgb="00FF8080"/>
      <ns0:rgbColor rgb="000066CC"/>
      <ns0:rgbColor rgb="00CCCCFF"/>
      <ns0:rgbColor rgb="00000080"/>
      <ns0:rgbColor rgb="00FF00FF"/>
      <ns0:rgbColor rgb="00FFFF00"/>
      <ns0:rgbColor rgb="0000FFFF"/>
      <ns0:rgbColor rgb="00800080"/>
      <ns0:rgbColor rgb="00800000"/>
      <ns0:rgbColor rgb="00008080"/>
      <ns0:rgbColor rgb="000000FF"/>
      <ns0:rgbColor rgb="0000CCFF"/>
      <ns0:rgbColor rgb="00CCFFFF"/>
      <ns0:rgbColor rgb="00CCFFCC"/>
      <ns0:rgbColor rgb="00FFFF99"/>
      <ns0:rgbColor rgb="0099CCFF"/>
      <ns0:rgbColor rgb="00FF99CC"/>
      <ns0:rgbColor rgb="00CC99FF"/>
      <ns0:rgbColor rgb="00FFCC99"/>
      <ns0:rgbColor rgb="003366FF"/>
      <ns0:rgbColor rgb="0033CCCC"/>
      <ns0:rgbColor rgb="0099CC00"/>
      <ns0:rgbColor rgb="00FFCC00"/>
      <ns0:rgbColor rgb="00FF9900"/>
      <ns0:rgbColor rgb="00FF6600"/>
      <ns0:rgbColor rgb="00666699"/>
      <ns0:rgbColor rgb="00969696"/>
      <ns0:rgbColor rgb="00003366"/>
      <ns0:rgbColor rgb="00339966"/>
      <ns0:rgbColor rgb="00003300"/>
      <ns0:rgbColor rgb="00333300"/>
      <ns0:rgbColor rgb="00993300"/>
      <ns0:rgbColor rgb="00993366"/>
      <ns0:rgbColor rgb="00333399"/>
      <ns0:rgbColor rgb="00333333"/>
    </ns0:indexedColors>
  </ns0:colors>
</ns0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worksheet" Target="/xl/worksheets/sheet5.xml" Id="rId5" /><ns0:Relationship Type="http://schemas.openxmlformats.org/officeDocument/2006/relationships/worksheet" Target="/xl/worksheets/sheet6.xml" Id="rId6" /><ns0:Relationship Type="http://schemas.openxmlformats.org/officeDocument/2006/relationships/worksheet" Target="/xl/worksheets/sheet7.xml" Id="rId7" /><ns0:Relationship Type="http://schemas.openxmlformats.org/officeDocument/2006/relationships/worksheet" Target="/xl/worksheets/sheet8.xml" Id="rId8" /><ns0:Relationship Type="http://schemas.openxmlformats.org/officeDocument/2006/relationships/worksheet" Target="/xl/worksheets/sheet9.xml" Id="rId9" /><ns0:Relationship Type="http://schemas.openxmlformats.org/officeDocument/2006/relationships/worksheet" Target="/xl/worksheets/sheet10.xml" Id="rId10" /><ns0:Relationship Type="http://schemas.openxmlformats.org/officeDocument/2006/relationships/worksheet" Target="/xl/worksheets/sheet11.xml" Id="rId11" /><ns0:Relationship Type="http://schemas.openxmlformats.org/officeDocument/2006/relationships/worksheet" Target="/xl/worksheets/sheet12.xml" Id="rId12" /><ns0:Relationship Type="http://schemas.openxmlformats.org/officeDocument/2006/relationships/styles" Target="styles.xml" Id="rId13" /><ns0:Relationship Type="http://schemas.openxmlformats.org/officeDocument/2006/relationships/theme" Target="theme/theme1.xml" Id="rId14" /><ns0:Relationship Type="http://schemas.openxmlformats.org/officeDocument/2006/relationships/worksheet" Target="/xl/worksheets/sheet13.xml" Id="rId15" /><ns0:Relationship Type="http://schemas.openxmlformats.org/officeDocument/2006/relationships/worksheet" Target="/xl/worksheets/sheet14.xml" Id="rId16" /><ns0:Relationship Type="http://schemas.openxmlformats.org/officeDocument/2006/relationships/worksheet" Target="/xl/worksheets/sheet15.xml" Id="rId17" /></ns0: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110" customWidth="1" min="2" max="2"/>
    <col width="72" customWidth="1" min="3" max="3"/>
  </cols>
  <sheetData>
    <row r="1" ht="46" customHeight="1">
      <c r="A1" s="1" t="inlineStr">
        <is>
          <t>Topologic Operação — implantação R$200 mil</t>
        </is>
      </c>
      <c r="B1" s="1" t="inlineStr">
        <is>
          <t>Revisão 02/10/2026; hipóteses, não demanda comprovada</t>
        </is>
      </c>
    </row>
    <row r="2" ht="42" customHeight="1">
      <c r="A2" s="2" t="inlineStr">
        <is>
          <t>Produto</t>
        </is>
      </c>
      <c r="B2" s="2" t="inlineStr">
        <is>
          <t>Uma organização/unidade, uma cadeia de até 3 processos, até 2 fontes de leitura homologadas, 150 entidades e 10 participantes.</t>
        </is>
      </c>
    </row>
    <row r="3" ht="42" customHeight="1">
      <c r="A3" s="2" t="inlineStr">
        <is>
          <t>Implantação</t>
        </is>
      </c>
      <c r="B3" s="2" t="inlineStr">
        <is>
          <t>3 meses; 600h previstas + 20% de contingência =720h; R$180/h; orçamento conservador consome toda a contingência.</t>
        </is>
      </c>
    </row>
    <row r="4" ht="42" customHeight="1">
      <c r="A4" s="2" t="inlineStr">
        <is>
          <t>Preço</t>
        </is>
      </c>
      <c r="B4" s="2" t="inlineStr">
        <is>
          <t>R$200 mil de setup + R$12 mil/mês após aceite; 12 meses iniciais de assinatura. Ciclo implantação + 12 mensalidades = R$344 mil.</t>
        </is>
      </c>
    </row>
    <row r="5" ht="42" customHeight="1">
      <c r="A5" s="2" t="inlineStr">
        <is>
          <t>Recebimentos</t>
        </is>
      </c>
      <c r="B5" s="2" t="inlineStr">
        <is>
          <t>40% no início, 40% faturados na validação do mês2 e recebidos no mês3; 20% faturados no aceite do mês3 e recebidos no mês4.</t>
        </is>
      </c>
    </row>
    <row r="6" ht="42" customHeight="1">
      <c r="A6" s="2" t="inlineStr">
        <is>
          <t>Assinatura</t>
        </is>
      </c>
      <c r="B6" s="2" t="inlineStr">
        <is>
          <t>Começa no mês seguinte ao aceite; recebimento um mês após faturamento. Não há antecipação anual presumida.</t>
        </is>
      </c>
    </row>
    <row r="7" ht="42" customHeight="1">
      <c r="A7" s="2" t="inlineStr">
        <is>
          <t>Capacidade</t>
        </is>
      </c>
      <c r="B7" s="2" t="inlineStr">
        <is>
          <t>Uma implantação por vez; 10 pessoas por cliente; assinatura tem 10h/mês de curadoria. Trabalho variável separado do desenvolvimento interno.</t>
        </is>
      </c>
    </row>
    <row r="8" ht="42" customHeight="1">
      <c r="A8" s="2" t="inlineStr">
        <is>
          <t>Infraestrutura</t>
        </is>
      </c>
      <c r="B8" s="2" t="inlineStr">
        <is>
          <t>Uma DGX, equipamentos R$76 mil, serviços12 meses R$18 mil e reserva R$6 mil: teto R$100 mil no primeiro ano. Não é custo total da empresa.</t>
        </is>
      </c>
    </row>
    <row r="9" ht="42" customHeight="1">
      <c r="A9" s="2" t="inlineStr">
        <is>
          <t>Caixa</t>
        </is>
      </c>
      <c r="B9" s="2" t="inlineStr">
        <is>
          <t>R$100 mil no mês zero: hardware76 + pré-operação24. Reserva6 está dentro da reserva geral, sem nova saída automática.</t>
        </is>
      </c>
    </row>
    <row r="10" ht="42" customHeight="1">
      <c r="A10" s="2" t="inlineStr">
        <is>
          <t>Premissas</t>
        </is>
      </c>
      <c r="B10" s="2" t="inlineStr">
        <is>
          <t>Entradas em Premissas e Agenda. Os 3 meses e marcos40/40/20 são o contrato modelado; alterar duração exige rever cronograma.</t>
        </is>
      </c>
    </row>
    <row r="11" ht="42" customHeight="1">
      <c r="A11" s="2" t="inlineStr">
        <is>
          <t>Cenários</t>
        </is>
      </c>
      <c r="B11" s="2" t="inlineStr">
        <is>
          <t>Primeiros contratos nos meses9/7/5; três/cinco/sete implantações iniciadas. Uma não renovação após12 meses por cenário.</t>
        </is>
      </c>
    </row>
    <row r="12" ht="42" customHeight="1">
      <c r="A12" s="2" t="inlineStr">
        <is>
          <t>Tributos e comercial</t>
        </is>
      </c>
      <c r="B12" s="2" t="inlineStr">
        <is>
          <t>Reserva gerencial de12% sobre faturamento e5% sobre recebimentos; confirmar regime tributário e canais.</t>
        </is>
      </c>
    </row>
    <row r="13" ht="42" customHeight="1">
      <c r="A13" s="2" t="inlineStr">
        <is>
          <t>Valores calculados</t>
        </is>
      </c>
      <c r="B13" s="2" t="inlineStr">
        <is>
          <t>Fórmulas têm valores em cache. Após editar, recalcular no Excel/LibreOffice. Verificado e CSV são snapshots estáticos.</t>
        </is>
      </c>
    </row>
    <row r="14" ht="42" customHeight="1">
      <c r="A14" s="2" t="inlineStr">
        <is>
          <t>Limites</t>
        </is>
      </c>
      <c r="B14" s="2" t="inlineStr">
        <is>
          <t>Sem clientes comprovados, cotação formal, benchmark da DGX, testes produtivos ou lucro garantido. Não é DRE auditada ou valuation.</t>
        </is>
      </c>
    </row>
    <row r="15" ht="42" customHeight="1">
      <c r="A15" s="2" t="inlineStr">
        <is>
          <t>Capital</t>
        </is>
      </c>
      <c r="B15" s="2" t="inlineStr">
        <is>
          <t>Capital cobre maior déficit + maior entre15% desse déficit e3 meses do fixo máximo, arredondado. Nenhum aporte atribuído à Dani.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Parâmetro</t>
        </is>
      </c>
      <c r="B1" s="1" t="inlineStr">
        <is>
          <t>Valor</t>
        </is>
      </c>
      <c r="C1" s="1" t="inlineStr">
        <is>
          <t>Observação</t>
        </is>
      </c>
    </row>
    <row r="2" ht="42" customHeight="1">
      <c r="A2" s="2" t="inlineStr">
        <is>
          <t>Preço de implantação</t>
        </is>
      </c>
      <c r="B2" s="2" t="n">
        <v>200000</v>
      </c>
      <c r="C2" s="2" t="inlineStr">
        <is>
          <t>R$ por implantação; decisão comercial, disposição a pagar não validada</t>
        </is>
      </c>
    </row>
    <row r="3" ht="42" customHeight="1">
      <c r="A3" s="2" t="inlineStr">
        <is>
          <t>Mensalidade</t>
        </is>
      </c>
      <c r="B3" s="2" t="n">
        <v>12000</v>
      </c>
      <c r="C3" s="2" t="inlineStr">
        <is>
          <t>R$/cliente após aceite; 12 meses iniciais, sem receita antecipada</t>
        </is>
      </c>
    </row>
    <row r="4" ht="42" customHeight="1">
      <c r="A4" s="2" t="inlineStr">
        <is>
          <t>Horas-base de implantação</t>
        </is>
      </c>
      <c r="B4" s="2" t="n">
        <v>600</v>
      </c>
      <c r="C4" s="2" t="inlineStr">
        <is>
          <t>Horas de prestadores; não P&amp;D irrestrito</t>
        </is>
      </c>
    </row>
    <row r="5" ht="42" customHeight="1">
      <c r="A5" s="2" t="inlineStr">
        <is>
          <t>Contingência de esforço</t>
        </is>
      </c>
      <c r="B5" s="3" t="n">
        <v>0.2</v>
      </c>
      <c r="C5" s="2" t="inlineStr">
        <is>
          <t>20% adicional consumido integralmente no cenário de custo</t>
        </is>
      </c>
    </row>
    <row r="6" ht="42" customHeight="1">
      <c r="A6" s="2" t="inlineStr">
        <is>
          <t>Custo por hora direta</t>
        </is>
      </c>
      <c r="B6" s="2" t="n">
        <v>180</v>
      </c>
      <c r="C6" s="2" t="inlineStr">
        <is>
          <t>R$/hora completa de prestador; hipótese, não pesquisa salarial</t>
        </is>
      </c>
    </row>
    <row r="7" ht="42" customHeight="1">
      <c r="A7" s="2" t="inlineStr">
        <is>
          <t>Horas de curadoria por mês</t>
        </is>
      </c>
      <c r="B7" s="2" t="n">
        <v>10</v>
      </c>
      <c r="C7" s="2" t="inlineStr">
        <is>
          <t>Por cliente ativo; alterações além do escopo sob proposta</t>
        </is>
      </c>
    </row>
    <row r="8" ht="42" customHeight="1">
      <c r="A8" s="2" t="inlineStr">
        <is>
          <t>Provisão tributária</t>
        </is>
      </c>
      <c r="B8" s="3" t="n">
        <v>0.12</v>
      </c>
      <c r="C8" s="2" t="inlineStr">
        <is>
          <t>Sobre faturamento</t>
        </is>
      </c>
    </row>
    <row r="9" ht="42" customHeight="1">
      <c r="A9" s="2" t="inlineStr">
        <is>
          <t>Reserva comercial</t>
        </is>
      </c>
      <c r="B9" s="3" t="n">
        <v>0.05</v>
      </c>
      <c r="C9" s="2" t="inlineStr">
        <is>
          <t>Sobre recebimentos</t>
        </is>
      </c>
    </row>
    <row r="10" ht="42" customHeight="1">
      <c r="A10" s="2" t="inlineStr">
        <is>
          <t>Fixo mensal meses1–12</t>
        </is>
      </c>
      <c r="B10" s="2">
        <f>35500+B19+B20</f>
        <v>37000</v>
      </c>
      <c r="C10" s="2" t="inlineStr">
        <is>
          <t>Equipe32 mil + outros3,5 mil + infraestrutura1,5 mil</t>
        </is>
      </c>
    </row>
    <row r="11" ht="42" customHeight="1">
      <c r="A11" s="2" t="inlineStr">
        <is>
          <t>Fixo mensal meses13–24</t>
        </is>
      </c>
      <c r="B11" s="2">
        <f>40500+B19+B20</f>
        <v>42000</v>
      </c>
      <c r="C11" s="2" t="inlineStr">
        <is>
          <t>Equipe36 mil + outros4,5 mil + infraestrutura1,5 mil</t>
        </is>
      </c>
    </row>
    <row r="12" ht="42" customHeight="1">
      <c r="A12" s="2" t="inlineStr">
        <is>
          <t>Reserva proporcional de caixa</t>
        </is>
      </c>
      <c r="B12" s="3" t="n">
        <v>0.15</v>
      </c>
      <c r="C12" s="2" t="inlineStr">
        <is>
          <t>Aplicada ao maior déficit</t>
        </is>
      </c>
    </row>
    <row r="13" ht="42" customHeight="1">
      <c r="A13" s="2" t="inlineStr">
        <is>
          <t>Reserva em meses do fixo máximo</t>
        </is>
      </c>
      <c r="B13" s="2" t="n">
        <v>3</v>
      </c>
      <c r="C13" s="2" t="inlineStr">
        <is>
          <t>Comparar com reserva proporcional</t>
        </is>
      </c>
    </row>
    <row r="14" ht="42" customHeight="1">
      <c r="A14" s="2" t="inlineStr">
        <is>
          <t>Usuários por cliente</t>
        </is>
      </c>
      <c r="B14" s="2" t="n">
        <v>10</v>
      </c>
      <c r="C14" s="2" t="inlineStr">
        <is>
          <t>Capacidade também inclui clientes em implantação</t>
        </is>
      </c>
    </row>
    <row r="15" ht="42" customHeight="1">
      <c r="A15" s="2" t="inlineStr">
        <is>
          <t>Horas produtivas por prestador/mês</t>
        </is>
      </c>
      <c r="B15" s="2" t="n">
        <v>120</v>
      </c>
      <c r="C15" s="2" t="inlineStr">
        <is>
          <t>Referência de agenda, não160h integralmente faturáveis</t>
        </is>
      </c>
    </row>
    <row r="16" ht="42" customHeight="1">
      <c r="A16" s="2" t="inlineStr">
        <is>
          <t>Parcela de setup no início</t>
        </is>
      </c>
      <c r="B16" s="3" t="n">
        <v>0.4</v>
      </c>
      <c r="C16" s="2" t="inlineStr">
        <is>
          <t>40%, recebido antes de iniciar</t>
        </is>
      </c>
    </row>
    <row r="17" ht="42" customHeight="1">
      <c r="A17" s="2" t="inlineStr">
        <is>
          <t>Parcela de setup na validação</t>
        </is>
      </c>
      <c r="B17" s="3" t="n">
        <v>0.4</v>
      </c>
      <c r="C17" s="2" t="inlineStr">
        <is>
          <t>40%, fatura mês2 e recebe mês3</t>
        </is>
      </c>
    </row>
    <row r="18" ht="42" customHeight="1">
      <c r="A18" s="2" t="inlineStr">
        <is>
          <t>Parcela de setup no aceite</t>
        </is>
      </c>
      <c r="B18" s="3">
        <f>1-SUM(B16:B17)</f>
        <v>0.2</v>
      </c>
      <c r="C18" s="2" t="inlineStr">
        <is>
          <t>20%, fatura mês3 e recebe mês4</t>
        </is>
      </c>
    </row>
    <row r="19" ht="42" customHeight="1">
      <c r="A19" s="2" t="inlineStr">
        <is>
          <t>Hospedagem mensal</t>
        </is>
      </c>
      <c r="B19" s="2" t="n">
        <v>1000</v>
      </c>
      <c r="C19" s="2" t="inlineStr">
        <is>
          <t>Inclui aplicação, banco, backup externo e monitoramento; envelope condicionado à carga</t>
        </is>
      </c>
    </row>
    <row r="20" ht="42" customHeight="1">
      <c r="A20" s="2" t="inlineStr">
        <is>
          <t>Energia/conectividade mensal</t>
        </is>
      </c>
      <c r="B20" s="2" t="n">
        <v>500</v>
      </c>
      <c r="C20" s="2" t="inlineStr">
        <is>
          <t>Incremental; sala e conexão principal existentes</t>
        </is>
      </c>
    </row>
    <row r="21" ht="42" customHeight="1">
      <c r="A21" s="2" t="inlineStr">
        <is>
          <t>Hardware</t>
        </is>
      </c>
      <c r="B21" s="2">
        <f>Infraestrutura!D7</f>
        <v>76000</v>
      </c>
      <c r="C21" s="2" t="inlineStr">
        <is>
          <t>Uma DGX e equipamentos de apoio</t>
        </is>
      </c>
    </row>
    <row r="22" ht="42" customHeight="1">
      <c r="A22" s="2" t="inlineStr">
        <is>
          <t>Despesas pré-operacionais</t>
        </is>
      </c>
      <c r="B22" s="2" t="n">
        <v>24000</v>
      </c>
      <c r="C22" s="2" t="inlineStr">
        <is>
          <t>Jurídico12mil + revisão inicial de segurança12mil</t>
        </is>
      </c>
    </row>
    <row r="23" ht="42" customHeight="1">
      <c r="A23" s="2" t="inlineStr">
        <is>
          <t>Meses de depreciação gerencial</t>
        </is>
      </c>
      <c r="B23" s="2" t="n">
        <v>36</v>
      </c>
      <c r="C23" s="2" t="inlineStr">
        <is>
          <t>Sem novo desembolso no fluxo de caixa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  <col width="20" customWidth="1" min="4" max="4"/>
    <col width="20" customWidth="1" min="5" max="5"/>
  </cols>
  <sheetData>
    <row r="1" ht="46" customHeight="1">
      <c r="A1" s="1" t="inlineStr">
        <is>
          <t>Infraestrutura — teto primeiros12 meses</t>
        </is>
      </c>
      <c r="B1" s="1" t="inlineStr">
        <is>
          <t>Qtd</t>
        </is>
      </c>
      <c r="C1" s="1" t="inlineStr">
        <is>
          <t>R$ unitário</t>
        </is>
      </c>
      <c r="D1" s="1" t="inlineStr">
        <is>
          <t>R$ total</t>
        </is>
      </c>
      <c r="E1" s="1" t="inlineStr">
        <is>
          <t>Status</t>
        </is>
      </c>
    </row>
    <row r="2" ht="42" customHeight="1">
      <c r="A2" s="2" t="inlineStr">
        <is>
          <t>Uma DGX Spark128GB/4TB</t>
        </is>
      </c>
      <c r="B2" s="2" t="n">
        <v>1</v>
      </c>
      <c r="C2" s="2" t="n">
        <v>65000</v>
      </c>
      <c r="D2" s="2">
        <f>B2*C2</f>
        <v>65000</v>
      </c>
      <c r="E2" s="2" t="inlineStr">
        <is>
          <t>Reserva sem cotação brasileira confirmada</t>
        </is>
      </c>
    </row>
    <row r="3" ht="42" customHeight="1">
      <c r="A3" s="2" t="inlineStr">
        <is>
          <t>Nobreak e proteção</t>
        </is>
      </c>
      <c r="B3" s="2" t="n">
        <v>1</v>
      </c>
      <c r="C3" s="2" t="n">
        <v>4000</v>
      </c>
      <c r="D3" s="2">
        <f>B3*C3</f>
        <v>4000</v>
      </c>
      <c r="E3" s="2" t="inlineStr">
        <is>
          <t>Hipótese</t>
        </is>
      </c>
    </row>
    <row r="4" ht="42" customHeight="1">
      <c r="A4" s="2" t="inlineStr">
        <is>
          <t>Rede e segurança</t>
        </is>
      </c>
      <c r="B4" s="2" t="n">
        <v>1</v>
      </c>
      <c r="C4" s="2" t="n">
        <v>2000</v>
      </c>
      <c r="D4" s="2">
        <f>B4*C4</f>
        <v>2000</v>
      </c>
      <c r="E4" s="2" t="inlineStr">
        <is>
          <t>Hipótese</t>
        </is>
      </c>
    </row>
    <row r="5" ht="42" customHeight="1">
      <c r="A5" s="2" t="inlineStr">
        <is>
          <t>Backup local</t>
        </is>
      </c>
      <c r="B5" s="2" t="n">
        <v>1</v>
      </c>
      <c r="C5" s="2" t="n">
        <v>3000</v>
      </c>
      <c r="D5" s="2">
        <f>B5*C5</f>
        <v>3000</v>
      </c>
      <c r="E5" s="2" t="inlineStr">
        <is>
          <t>Hipótese</t>
        </is>
      </c>
    </row>
    <row r="6" ht="42" customHeight="1">
      <c r="A6" s="2" t="inlineStr">
        <is>
          <t>Periféricos essenciais</t>
        </is>
      </c>
      <c r="B6" s="2" t="n">
        <v>1</v>
      </c>
      <c r="C6" s="2" t="n">
        <v>2000</v>
      </c>
      <c r="D6" s="2">
        <f>B6*C6</f>
        <v>2000</v>
      </c>
      <c r="E6" s="2" t="inlineStr">
        <is>
          <t>Hipótese</t>
        </is>
      </c>
    </row>
    <row r="7" ht="42" customHeight="1">
      <c r="A7" s="2" t="inlineStr">
        <is>
          <t>Total equipamentos</t>
        </is>
      </c>
      <c r="B7" s="2" t="n"/>
      <c r="C7" s="2" t="n"/>
      <c r="D7" s="2">
        <f>SUM(D2:D6)</f>
        <v>76000</v>
      </c>
      <c r="E7" s="2" t="inlineStr">
        <is>
          <t>Desembolso hardware no M0</t>
        </is>
      </c>
    </row>
    <row r="8" ht="42" customHeight="1">
      <c r="A8" s="2" t="inlineStr">
        <is>
          <t>Hospedagem e cópias externas</t>
        </is>
      </c>
      <c r="B8" s="2" t="n">
        <v>12</v>
      </c>
      <c r="C8" s="2">
        <f>Premissas!B19</f>
        <v>1000</v>
      </c>
      <c r="D8" s="2">
        <f>B8*C8</f>
        <v>12000</v>
      </c>
      <c r="E8" s="2" t="inlineStr">
        <is>
          <t>Já incluído no fixo, não somar por cliente</t>
        </is>
      </c>
    </row>
    <row r="9" ht="42" customHeight="1">
      <c r="A9" s="2" t="inlineStr">
        <is>
          <t>Energia e conexão adicionais</t>
        </is>
      </c>
      <c r="B9" s="2" t="n">
        <v>12</v>
      </c>
      <c r="C9" s="2">
        <f>Premissas!B20</f>
        <v>500</v>
      </c>
      <c r="D9" s="2">
        <f>B9*C9</f>
        <v>6000</v>
      </c>
      <c r="E9" s="2" t="inlineStr">
        <is>
          <t>Já incluído no fixo</t>
        </is>
      </c>
    </row>
    <row r="10" ht="42" customHeight="1">
      <c r="A10" s="2" t="inlineStr">
        <is>
          <t>Reserva de infraestrutura</t>
        </is>
      </c>
      <c r="B10" s="2" t="n">
        <v>1</v>
      </c>
      <c r="C10" s="2" t="n">
        <v>6000</v>
      </c>
      <c r="D10" s="2">
        <f>B10*C10</f>
        <v>6000</v>
      </c>
      <c r="E10" s="2" t="inlineStr">
        <is>
          <t>Parte da reserva geral, não saída automática</t>
        </is>
      </c>
    </row>
    <row r="11" ht="42" customHeight="1">
      <c r="A11" s="2" t="inlineStr">
        <is>
          <t>Infraestrutura12 meses</t>
        </is>
      </c>
      <c r="B11" s="2" t="n"/>
      <c r="C11" s="2" t="n"/>
      <c r="D11" s="2">
        <f>D7+SUM(D8:D10)</f>
        <v>100000</v>
      </c>
      <c r="E11" s="2" t="inlineStr">
        <is>
          <t>Teto de planejamento, depende de cotação</t>
        </is>
      </c>
    </row>
    <row r="12" ht="42" customHeight="1">
      <c r="A12" s="2" t="inlineStr">
        <is>
          <t>Teto</t>
        </is>
      </c>
      <c r="B12" s="2" t="n"/>
      <c r="C12" s="2" t="n"/>
      <c r="D12" s="2" t="n">
        <v>100000</v>
      </c>
      <c r="E12" s="2" t="inlineStr">
        <is>
          <t>Não autoriza compra</t>
        </is>
      </c>
    </row>
    <row r="13" ht="42" customHeight="1">
      <c r="A13" s="2" t="inlineStr">
        <is>
          <t>Folga</t>
        </is>
      </c>
      <c r="B13" s="2" t="n"/>
      <c r="C13" s="2" t="n"/>
      <c r="D13" s="2">
        <f>D12-D11</f>
        <v>0</v>
      </c>
      <c r="E13" s="2" t="inlineStr">
        <is>
          <t>Negativo exige rever orçamento</t>
        </is>
      </c>
    </row>
    <row r="14" ht="42" customHeight="1">
      <c r="A14" s="2" t="inlineStr">
        <is>
          <t>Pré-operação fora do teto</t>
        </is>
      </c>
      <c r="B14" s="2" t="n"/>
      <c r="C14" s="2" t="n"/>
      <c r="D14" s="2">
        <f>Premissas!B22</f>
        <v>24000</v>
      </c>
      <c r="E14" s="2" t="inlineStr">
        <is>
          <t>Jurídico e revisão inicial de segurança</t>
        </is>
      </c>
    </row>
    <row r="15" ht="42" customHeight="1">
      <c r="A15" s="2" t="inlineStr">
        <is>
          <t>Desembolso M0</t>
        </is>
      </c>
      <c r="B15" s="2" t="n"/>
      <c r="C15" s="2" t="n"/>
      <c r="D15" s="2">
        <f>D7+D14</f>
        <v>100000</v>
      </c>
      <c r="E15" s="2" t="inlineStr">
        <is>
          <t>Não inclui serviços futuros antecipados</t>
        </is>
      </c>
    </row>
    <row r="16" ht="42" customHeight="1">
      <c r="A16" s="2" t="inlineStr">
        <is>
          <t>Depreciação mensal</t>
        </is>
      </c>
      <c r="B16" s="2" t="n"/>
      <c r="C16" s="2" t="n"/>
      <c r="D16" s="2">
        <f>D7/Premissas!B23</f>
        <v>2111.11111111111</v>
      </c>
      <c r="E16" s="2" t="inlineStr">
        <is>
          <t>Apenas gerencial, não nova saída</t>
        </is>
      </c>
    </row>
    <row r="17" ht="42" customHeight="1">
      <c r="A17" s="2" t="inlineStr">
        <is>
          <t>Infraestrutura24 meses</t>
        </is>
      </c>
      <c r="B17" s="2" t="n"/>
      <c r="C17" s="2" t="n"/>
      <c r="D17" s="2">
        <f>D7+2*(D8+D9)+D10</f>
        <v>118000</v>
      </c>
      <c r="E17" s="2" t="inlineStr">
        <is>
          <t>Meses13–24 incluídos nos fixos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3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</cols>
  <sheetData>
    <row r="1" ht="46" customHeight="1">
      <c r="A1" s="1" t="inlineStr">
        <is>
          <t>Cenário</t>
        </is>
      </c>
      <c r="B1" s="1" t="inlineStr">
        <is>
          <t>Mês</t>
        </is>
      </c>
      <c r="C1" s="1" t="inlineStr">
        <is>
          <t>Implantações iniciadas</t>
        </is>
      </c>
      <c r="D1" s="1" t="inlineStr">
        <is>
          <t>Não renovações/saídas</t>
        </is>
      </c>
    </row>
    <row r="2">
      <c r="A2" s="2" t="inlineStr">
        <is>
          <t>Conservador</t>
        </is>
      </c>
      <c r="B2" s="2" t="n">
        <v>1</v>
      </c>
      <c r="C2" s="2" t="n">
        <v>0</v>
      </c>
      <c r="D2" s="2" t="n">
        <v>0</v>
      </c>
    </row>
    <row r="3">
      <c r="A3" s="2" t="inlineStr">
        <is>
          <t>Conservador</t>
        </is>
      </c>
      <c r="B3" s="2" t="n">
        <v>2</v>
      </c>
      <c r="C3" s="2" t="n">
        <v>0</v>
      </c>
      <c r="D3" s="2" t="n">
        <v>0</v>
      </c>
    </row>
    <row r="4">
      <c r="A4" s="2" t="inlineStr">
        <is>
          <t>Conservador</t>
        </is>
      </c>
      <c r="B4" s="2" t="n">
        <v>3</v>
      </c>
      <c r="C4" s="2" t="n">
        <v>0</v>
      </c>
      <c r="D4" s="2" t="n">
        <v>0</v>
      </c>
    </row>
    <row r="5">
      <c r="A5" s="2" t="inlineStr">
        <is>
          <t>Conservador</t>
        </is>
      </c>
      <c r="B5" s="2" t="n">
        <v>4</v>
      </c>
      <c r="C5" s="2" t="n">
        <v>0</v>
      </c>
      <c r="D5" s="2" t="n">
        <v>0</v>
      </c>
    </row>
    <row r="6">
      <c r="A6" s="2" t="inlineStr">
        <is>
          <t>Conservador</t>
        </is>
      </c>
      <c r="B6" s="2" t="n">
        <v>5</v>
      </c>
      <c r="C6" s="2" t="n">
        <v>0</v>
      </c>
      <c r="D6" s="2" t="n">
        <v>0</v>
      </c>
    </row>
    <row r="7">
      <c r="A7" s="2" t="inlineStr">
        <is>
          <t>Conservador</t>
        </is>
      </c>
      <c r="B7" s="2" t="n">
        <v>6</v>
      </c>
      <c r="C7" s="2" t="n">
        <v>0</v>
      </c>
      <c r="D7" s="2" t="n">
        <v>0</v>
      </c>
    </row>
    <row r="8">
      <c r="A8" s="2" t="inlineStr">
        <is>
          <t>Conservador</t>
        </is>
      </c>
      <c r="B8" s="2" t="n">
        <v>7</v>
      </c>
      <c r="C8" s="2" t="n">
        <v>0</v>
      </c>
      <c r="D8" s="2" t="n">
        <v>0</v>
      </c>
    </row>
    <row r="9">
      <c r="A9" s="2" t="inlineStr">
        <is>
          <t>Conservador</t>
        </is>
      </c>
      <c r="B9" s="2" t="n">
        <v>8</v>
      </c>
      <c r="C9" s="2" t="n">
        <v>0</v>
      </c>
      <c r="D9" s="2" t="n">
        <v>0</v>
      </c>
    </row>
    <row r="10">
      <c r="A10" s="2" t="inlineStr">
        <is>
          <t>Conservador</t>
        </is>
      </c>
      <c r="B10" s="2" t="n">
        <v>9</v>
      </c>
      <c r="C10" s="2" t="n">
        <v>1</v>
      </c>
      <c r="D10" s="2" t="n">
        <v>0</v>
      </c>
    </row>
    <row r="11">
      <c r="A11" s="2" t="inlineStr">
        <is>
          <t>Conservador</t>
        </is>
      </c>
      <c r="B11" s="2" t="n">
        <v>10</v>
      </c>
      <c r="C11" s="2" t="n">
        <v>0</v>
      </c>
      <c r="D11" s="2" t="n">
        <v>0</v>
      </c>
    </row>
    <row r="12">
      <c r="A12" s="2" t="inlineStr">
        <is>
          <t>Conservador</t>
        </is>
      </c>
      <c r="B12" s="2" t="n">
        <v>11</v>
      </c>
      <c r="C12" s="2" t="n">
        <v>0</v>
      </c>
      <c r="D12" s="2" t="n">
        <v>0</v>
      </c>
    </row>
    <row r="13">
      <c r="A13" s="2" t="inlineStr">
        <is>
          <t>Conservador</t>
        </is>
      </c>
      <c r="B13" s="2" t="n">
        <v>12</v>
      </c>
      <c r="C13" s="2" t="n">
        <v>0</v>
      </c>
      <c r="D13" s="2" t="n">
        <v>0</v>
      </c>
    </row>
    <row r="14">
      <c r="A14" s="2" t="inlineStr">
        <is>
          <t>Conservador</t>
        </is>
      </c>
      <c r="B14" s="2" t="n">
        <v>13</v>
      </c>
      <c r="C14" s="2" t="n">
        <v>0</v>
      </c>
      <c r="D14" s="2" t="n">
        <v>0</v>
      </c>
    </row>
    <row r="15">
      <c r="A15" s="2" t="inlineStr">
        <is>
          <t>Conservador</t>
        </is>
      </c>
      <c r="B15" s="2" t="n">
        <v>14</v>
      </c>
      <c r="C15" s="2" t="n">
        <v>0</v>
      </c>
      <c r="D15" s="2" t="n">
        <v>0</v>
      </c>
    </row>
    <row r="16">
      <c r="A16" s="2" t="inlineStr">
        <is>
          <t>Conservador</t>
        </is>
      </c>
      <c r="B16" s="2" t="n">
        <v>15</v>
      </c>
      <c r="C16" s="2" t="n">
        <v>1</v>
      </c>
      <c r="D16" s="2" t="n">
        <v>0</v>
      </c>
    </row>
    <row r="17">
      <c r="A17" s="2" t="inlineStr">
        <is>
          <t>Conservador</t>
        </is>
      </c>
      <c r="B17" s="2" t="n">
        <v>16</v>
      </c>
      <c r="C17" s="2" t="n">
        <v>0</v>
      </c>
      <c r="D17" s="2" t="n">
        <v>0</v>
      </c>
    </row>
    <row r="18">
      <c r="A18" s="2" t="inlineStr">
        <is>
          <t>Conservador</t>
        </is>
      </c>
      <c r="B18" s="2" t="n">
        <v>17</v>
      </c>
      <c r="C18" s="2" t="n">
        <v>0</v>
      </c>
      <c r="D18" s="2" t="n">
        <v>0</v>
      </c>
    </row>
    <row r="19">
      <c r="A19" s="2" t="inlineStr">
        <is>
          <t>Conservador</t>
        </is>
      </c>
      <c r="B19" s="2" t="n">
        <v>18</v>
      </c>
      <c r="C19" s="2" t="n">
        <v>0</v>
      </c>
      <c r="D19" s="2" t="n">
        <v>0</v>
      </c>
    </row>
    <row r="20">
      <c r="A20" s="2" t="inlineStr">
        <is>
          <t>Conservador</t>
        </is>
      </c>
      <c r="B20" s="2" t="n">
        <v>19</v>
      </c>
      <c r="C20" s="2" t="n">
        <v>0</v>
      </c>
      <c r="D20" s="2" t="n">
        <v>0</v>
      </c>
    </row>
    <row r="21">
      <c r="A21" s="2" t="inlineStr">
        <is>
          <t>Conservador</t>
        </is>
      </c>
      <c r="B21" s="2" t="n">
        <v>20</v>
      </c>
      <c r="C21" s="2" t="n">
        <v>0</v>
      </c>
      <c r="D21" s="2" t="n">
        <v>0</v>
      </c>
    </row>
    <row r="22">
      <c r="A22" s="2" t="inlineStr">
        <is>
          <t>Conservador</t>
        </is>
      </c>
      <c r="B22" s="2" t="n">
        <v>21</v>
      </c>
      <c r="C22" s="2" t="n">
        <v>1</v>
      </c>
      <c r="D22" s="2" t="n">
        <v>0</v>
      </c>
    </row>
    <row r="23">
      <c r="A23" s="2" t="inlineStr">
        <is>
          <t>Conservador</t>
        </is>
      </c>
      <c r="B23" s="2" t="n">
        <v>22</v>
      </c>
      <c r="C23" s="2" t="n">
        <v>0</v>
      </c>
      <c r="D23" s="2" t="n">
        <v>0</v>
      </c>
    </row>
    <row r="24">
      <c r="A24" s="2" t="inlineStr">
        <is>
          <t>Conservador</t>
        </is>
      </c>
      <c r="B24" s="2" t="n">
        <v>23</v>
      </c>
      <c r="C24" s="2" t="n">
        <v>0</v>
      </c>
      <c r="D24" s="2" t="n">
        <v>0</v>
      </c>
    </row>
    <row r="25">
      <c r="A25" s="2" t="inlineStr">
        <is>
          <t>Conservador</t>
        </is>
      </c>
      <c r="B25" s="2" t="n">
        <v>24</v>
      </c>
      <c r="C25" s="2" t="n">
        <v>0</v>
      </c>
      <c r="D25" s="2" t="n">
        <v>1</v>
      </c>
    </row>
    <row r="26">
      <c r="A26" s="2" t="inlineStr">
        <is>
          <t>Base</t>
        </is>
      </c>
      <c r="B26" s="2" t="n">
        <v>1</v>
      </c>
      <c r="C26" s="2" t="n">
        <v>0</v>
      </c>
      <c r="D26" s="2" t="n">
        <v>0</v>
      </c>
    </row>
    <row r="27">
      <c r="A27" s="2" t="inlineStr">
        <is>
          <t>Base</t>
        </is>
      </c>
      <c r="B27" s="2" t="n">
        <v>2</v>
      </c>
      <c r="C27" s="2" t="n">
        <v>0</v>
      </c>
      <c r="D27" s="2" t="n">
        <v>0</v>
      </c>
    </row>
    <row r="28">
      <c r="A28" s="2" t="inlineStr">
        <is>
          <t>Base</t>
        </is>
      </c>
      <c r="B28" s="2" t="n">
        <v>3</v>
      </c>
      <c r="C28" s="2" t="n">
        <v>0</v>
      </c>
      <c r="D28" s="2" t="n">
        <v>0</v>
      </c>
    </row>
    <row r="29">
      <c r="A29" s="2" t="inlineStr">
        <is>
          <t>Base</t>
        </is>
      </c>
      <c r="B29" s="2" t="n">
        <v>4</v>
      </c>
      <c r="C29" s="2" t="n">
        <v>0</v>
      </c>
      <c r="D29" s="2" t="n">
        <v>0</v>
      </c>
    </row>
    <row r="30">
      <c r="A30" s="2" t="inlineStr">
        <is>
          <t>Base</t>
        </is>
      </c>
      <c r="B30" s="2" t="n">
        <v>5</v>
      </c>
      <c r="C30" s="2" t="n">
        <v>0</v>
      </c>
      <c r="D30" s="2" t="n">
        <v>0</v>
      </c>
    </row>
    <row r="31">
      <c r="A31" s="2" t="inlineStr">
        <is>
          <t>Base</t>
        </is>
      </c>
      <c r="B31" s="2" t="n">
        <v>6</v>
      </c>
      <c r="C31" s="2" t="n">
        <v>0</v>
      </c>
      <c r="D31" s="2" t="n">
        <v>0</v>
      </c>
    </row>
    <row r="32">
      <c r="A32" s="2" t="inlineStr">
        <is>
          <t>Base</t>
        </is>
      </c>
      <c r="B32" s="2" t="n">
        <v>7</v>
      </c>
      <c r="C32" s="2" t="n">
        <v>1</v>
      </c>
      <c r="D32" s="2" t="n">
        <v>0</v>
      </c>
    </row>
    <row r="33">
      <c r="A33" s="2" t="inlineStr">
        <is>
          <t>Base</t>
        </is>
      </c>
      <c r="B33" s="2" t="n">
        <v>8</v>
      </c>
      <c r="C33" s="2" t="n">
        <v>0</v>
      </c>
      <c r="D33" s="2" t="n">
        <v>0</v>
      </c>
    </row>
    <row r="34">
      <c r="A34" s="2" t="inlineStr">
        <is>
          <t>Base</t>
        </is>
      </c>
      <c r="B34" s="2" t="n">
        <v>9</v>
      </c>
      <c r="C34" s="2" t="n">
        <v>0</v>
      </c>
      <c r="D34" s="2" t="n">
        <v>0</v>
      </c>
    </row>
    <row r="35">
      <c r="A35" s="2" t="inlineStr">
        <is>
          <t>Base</t>
        </is>
      </c>
      <c r="B35" s="2" t="n">
        <v>10</v>
      </c>
      <c r="C35" s="2" t="n">
        <v>0</v>
      </c>
      <c r="D35" s="2" t="n">
        <v>0</v>
      </c>
    </row>
    <row r="36">
      <c r="A36" s="2" t="inlineStr">
        <is>
          <t>Base</t>
        </is>
      </c>
      <c r="B36" s="2" t="n">
        <v>11</v>
      </c>
      <c r="C36" s="2" t="n">
        <v>1</v>
      </c>
      <c r="D36" s="2" t="n">
        <v>0</v>
      </c>
    </row>
    <row r="37">
      <c r="A37" s="2" t="inlineStr">
        <is>
          <t>Base</t>
        </is>
      </c>
      <c r="B37" s="2" t="n">
        <v>12</v>
      </c>
      <c r="C37" s="2" t="n">
        <v>0</v>
      </c>
      <c r="D37" s="2" t="n">
        <v>0</v>
      </c>
    </row>
    <row r="38">
      <c r="A38" s="2" t="inlineStr">
        <is>
          <t>Base</t>
        </is>
      </c>
      <c r="B38" s="2" t="n">
        <v>13</v>
      </c>
      <c r="C38" s="2" t="n">
        <v>0</v>
      </c>
      <c r="D38" s="2" t="n">
        <v>0</v>
      </c>
    </row>
    <row r="39">
      <c r="A39" s="2" t="inlineStr">
        <is>
          <t>Base</t>
        </is>
      </c>
      <c r="B39" s="2" t="n">
        <v>14</v>
      </c>
      <c r="C39" s="2" t="n">
        <v>0</v>
      </c>
      <c r="D39" s="2" t="n">
        <v>0</v>
      </c>
    </row>
    <row r="40">
      <c r="A40" s="2" t="inlineStr">
        <is>
          <t>Base</t>
        </is>
      </c>
      <c r="B40" s="2" t="n">
        <v>15</v>
      </c>
      <c r="C40" s="2" t="n">
        <v>1</v>
      </c>
      <c r="D40" s="2" t="n">
        <v>0</v>
      </c>
    </row>
    <row r="41">
      <c r="A41" s="2" t="inlineStr">
        <is>
          <t>Base</t>
        </is>
      </c>
      <c r="B41" s="2" t="n">
        <v>16</v>
      </c>
      <c r="C41" s="2" t="n">
        <v>0</v>
      </c>
      <c r="D41" s="2" t="n">
        <v>0</v>
      </c>
    </row>
    <row r="42">
      <c r="A42" s="2" t="inlineStr">
        <is>
          <t>Base</t>
        </is>
      </c>
      <c r="B42" s="2" t="n">
        <v>17</v>
      </c>
      <c r="C42" s="2" t="n">
        <v>0</v>
      </c>
      <c r="D42" s="2" t="n">
        <v>0</v>
      </c>
    </row>
    <row r="43">
      <c r="A43" s="2" t="inlineStr">
        <is>
          <t>Base</t>
        </is>
      </c>
      <c r="B43" s="2" t="n">
        <v>18</v>
      </c>
      <c r="C43" s="2" t="n">
        <v>0</v>
      </c>
      <c r="D43" s="2" t="n">
        <v>0</v>
      </c>
    </row>
    <row r="44">
      <c r="A44" s="2" t="inlineStr">
        <is>
          <t>Base</t>
        </is>
      </c>
      <c r="B44" s="2" t="n">
        <v>19</v>
      </c>
      <c r="C44" s="2" t="n">
        <v>1</v>
      </c>
      <c r="D44" s="2" t="n">
        <v>0</v>
      </c>
    </row>
    <row r="45">
      <c r="A45" s="2" t="inlineStr">
        <is>
          <t>Base</t>
        </is>
      </c>
      <c r="B45" s="2" t="n">
        <v>20</v>
      </c>
      <c r="C45" s="2" t="n">
        <v>0</v>
      </c>
      <c r="D45" s="2" t="n">
        <v>0</v>
      </c>
    </row>
    <row r="46">
      <c r="A46" s="2" t="inlineStr">
        <is>
          <t>Base</t>
        </is>
      </c>
      <c r="B46" s="2" t="n">
        <v>21</v>
      </c>
      <c r="C46" s="2" t="n">
        <v>0</v>
      </c>
      <c r="D46" s="2" t="n">
        <v>0</v>
      </c>
    </row>
    <row r="47">
      <c r="A47" s="2" t="inlineStr">
        <is>
          <t>Base</t>
        </is>
      </c>
      <c r="B47" s="2" t="n">
        <v>22</v>
      </c>
      <c r="C47" s="2" t="n">
        <v>0</v>
      </c>
      <c r="D47" s="2" t="n">
        <v>1</v>
      </c>
    </row>
    <row r="48">
      <c r="A48" s="2" t="inlineStr">
        <is>
          <t>Base</t>
        </is>
      </c>
      <c r="B48" s="2" t="n">
        <v>23</v>
      </c>
      <c r="C48" s="2" t="n">
        <v>1</v>
      </c>
      <c r="D48" s="2" t="n">
        <v>0</v>
      </c>
    </row>
    <row r="49">
      <c r="A49" s="2" t="inlineStr">
        <is>
          <t>Base</t>
        </is>
      </c>
      <c r="B49" s="2" t="n">
        <v>24</v>
      </c>
      <c r="C49" s="2" t="n">
        <v>0</v>
      </c>
      <c r="D49" s="2" t="n">
        <v>0</v>
      </c>
    </row>
    <row r="50">
      <c r="A50" s="2" t="inlineStr">
        <is>
          <t>Expansao</t>
        </is>
      </c>
      <c r="B50" s="2" t="n">
        <v>1</v>
      </c>
      <c r="C50" s="2" t="n">
        <v>0</v>
      </c>
      <c r="D50" s="2" t="n">
        <v>0</v>
      </c>
    </row>
    <row r="51">
      <c r="A51" s="2" t="inlineStr">
        <is>
          <t>Expansao</t>
        </is>
      </c>
      <c r="B51" s="2" t="n">
        <v>2</v>
      </c>
      <c r="C51" s="2" t="n">
        <v>0</v>
      </c>
      <c r="D51" s="2" t="n">
        <v>0</v>
      </c>
    </row>
    <row r="52">
      <c r="A52" s="2" t="inlineStr">
        <is>
          <t>Expansao</t>
        </is>
      </c>
      <c r="B52" s="2" t="n">
        <v>3</v>
      </c>
      <c r="C52" s="2" t="n">
        <v>0</v>
      </c>
      <c r="D52" s="2" t="n">
        <v>0</v>
      </c>
    </row>
    <row r="53">
      <c r="A53" s="2" t="inlineStr">
        <is>
          <t>Expansao</t>
        </is>
      </c>
      <c r="B53" s="2" t="n">
        <v>4</v>
      </c>
      <c r="C53" s="2" t="n">
        <v>0</v>
      </c>
      <c r="D53" s="2" t="n">
        <v>0</v>
      </c>
    </row>
    <row r="54">
      <c r="A54" s="2" t="inlineStr">
        <is>
          <t>Expansao</t>
        </is>
      </c>
      <c r="B54" s="2" t="n">
        <v>5</v>
      </c>
      <c r="C54" s="2" t="n">
        <v>1</v>
      </c>
      <c r="D54" s="2" t="n">
        <v>0</v>
      </c>
    </row>
    <row r="55">
      <c r="A55" s="2" t="inlineStr">
        <is>
          <t>Expansao</t>
        </is>
      </c>
      <c r="B55" s="2" t="n">
        <v>6</v>
      </c>
      <c r="C55" s="2" t="n">
        <v>0</v>
      </c>
      <c r="D55" s="2" t="n">
        <v>0</v>
      </c>
    </row>
    <row r="56">
      <c r="A56" s="2" t="inlineStr">
        <is>
          <t>Expansao</t>
        </is>
      </c>
      <c r="B56" s="2" t="n">
        <v>7</v>
      </c>
      <c r="C56" s="2" t="n">
        <v>0</v>
      </c>
      <c r="D56" s="2" t="n">
        <v>0</v>
      </c>
    </row>
    <row r="57">
      <c r="A57" s="2" t="inlineStr">
        <is>
          <t>Expansao</t>
        </is>
      </c>
      <c r="B57" s="2" t="n">
        <v>8</v>
      </c>
      <c r="C57" s="2" t="n">
        <v>1</v>
      </c>
      <c r="D57" s="2" t="n">
        <v>0</v>
      </c>
    </row>
    <row r="58">
      <c r="A58" s="2" t="inlineStr">
        <is>
          <t>Expansao</t>
        </is>
      </c>
      <c r="B58" s="2" t="n">
        <v>9</v>
      </c>
      <c r="C58" s="2" t="n">
        <v>0</v>
      </c>
      <c r="D58" s="2" t="n">
        <v>0</v>
      </c>
    </row>
    <row r="59">
      <c r="A59" s="2" t="inlineStr">
        <is>
          <t>Expansao</t>
        </is>
      </c>
      <c r="B59" s="2" t="n">
        <v>10</v>
      </c>
      <c r="C59" s="2" t="n">
        <v>0</v>
      </c>
      <c r="D59" s="2" t="n">
        <v>0</v>
      </c>
    </row>
    <row r="60">
      <c r="A60" s="2" t="inlineStr">
        <is>
          <t>Expansao</t>
        </is>
      </c>
      <c r="B60" s="2" t="n">
        <v>11</v>
      </c>
      <c r="C60" s="2" t="n">
        <v>1</v>
      </c>
      <c r="D60" s="2" t="n">
        <v>0</v>
      </c>
    </row>
    <row r="61">
      <c r="A61" s="2" t="inlineStr">
        <is>
          <t>Expansao</t>
        </is>
      </c>
      <c r="B61" s="2" t="n">
        <v>12</v>
      </c>
      <c r="C61" s="2" t="n">
        <v>0</v>
      </c>
      <c r="D61" s="2" t="n">
        <v>0</v>
      </c>
    </row>
    <row r="62">
      <c r="A62" s="2" t="inlineStr">
        <is>
          <t>Expansao</t>
        </is>
      </c>
      <c r="B62" s="2" t="n">
        <v>13</v>
      </c>
      <c r="C62" s="2" t="n">
        <v>0</v>
      </c>
      <c r="D62" s="2" t="n">
        <v>0</v>
      </c>
    </row>
    <row r="63">
      <c r="A63" s="2" t="inlineStr">
        <is>
          <t>Expansao</t>
        </is>
      </c>
      <c r="B63" s="2" t="n">
        <v>14</v>
      </c>
      <c r="C63" s="2" t="n">
        <v>1</v>
      </c>
      <c r="D63" s="2" t="n">
        <v>0</v>
      </c>
    </row>
    <row r="64">
      <c r="A64" s="2" t="inlineStr">
        <is>
          <t>Expansao</t>
        </is>
      </c>
      <c r="B64" s="2" t="n">
        <v>15</v>
      </c>
      <c r="C64" s="2" t="n">
        <v>0</v>
      </c>
      <c r="D64" s="2" t="n">
        <v>0</v>
      </c>
    </row>
    <row r="65">
      <c r="A65" s="2" t="inlineStr">
        <is>
          <t>Expansao</t>
        </is>
      </c>
      <c r="B65" s="2" t="n">
        <v>16</v>
      </c>
      <c r="C65" s="2" t="n">
        <v>0</v>
      </c>
      <c r="D65" s="2" t="n">
        <v>0</v>
      </c>
    </row>
    <row r="66">
      <c r="A66" s="2" t="inlineStr">
        <is>
          <t>Expansao</t>
        </is>
      </c>
      <c r="B66" s="2" t="n">
        <v>17</v>
      </c>
      <c r="C66" s="2" t="n">
        <v>1</v>
      </c>
      <c r="D66" s="2" t="n">
        <v>0</v>
      </c>
    </row>
    <row r="67">
      <c r="A67" s="2" t="inlineStr">
        <is>
          <t>Expansao</t>
        </is>
      </c>
      <c r="B67" s="2" t="n">
        <v>18</v>
      </c>
      <c r="C67" s="2" t="n">
        <v>0</v>
      </c>
      <c r="D67" s="2" t="n">
        <v>0</v>
      </c>
    </row>
    <row r="68">
      <c r="A68" s="2" t="inlineStr">
        <is>
          <t>Expansao</t>
        </is>
      </c>
      <c r="B68" s="2" t="n">
        <v>19</v>
      </c>
      <c r="C68" s="2" t="n">
        <v>0</v>
      </c>
      <c r="D68" s="2" t="n">
        <v>0</v>
      </c>
    </row>
    <row r="69">
      <c r="A69" s="2" t="inlineStr">
        <is>
          <t>Expansao</t>
        </is>
      </c>
      <c r="B69" s="2" t="n">
        <v>20</v>
      </c>
      <c r="C69" s="2" t="n">
        <v>1</v>
      </c>
      <c r="D69" s="2" t="n">
        <v>1</v>
      </c>
    </row>
    <row r="70">
      <c r="A70" s="2" t="inlineStr">
        <is>
          <t>Expansao</t>
        </is>
      </c>
      <c r="B70" s="2" t="n">
        <v>21</v>
      </c>
      <c r="C70" s="2" t="n">
        <v>0</v>
      </c>
      <c r="D70" s="2" t="n">
        <v>0</v>
      </c>
    </row>
    <row r="71">
      <c r="A71" s="2" t="inlineStr">
        <is>
          <t>Expansao</t>
        </is>
      </c>
      <c r="B71" s="2" t="n">
        <v>22</v>
      </c>
      <c r="C71" s="2" t="n">
        <v>0</v>
      </c>
      <c r="D71" s="2" t="n">
        <v>0</v>
      </c>
    </row>
    <row r="72">
      <c r="A72" s="2" t="inlineStr">
        <is>
          <t>Expansao</t>
        </is>
      </c>
      <c r="B72" s="2" t="n">
        <v>23</v>
      </c>
      <c r="C72" s="2" t="n">
        <v>1</v>
      </c>
      <c r="D72" s="2" t="n">
        <v>0</v>
      </c>
    </row>
    <row r="73">
      <c r="A73" s="2" t="inlineStr">
        <is>
          <t>Expansao</t>
        </is>
      </c>
      <c r="B73" s="2" t="n">
        <v>24</v>
      </c>
      <c r="C73" s="2" t="n">
        <v>0</v>
      </c>
      <c r="D73" s="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Agenda!C2</f>
        <v>0</v>
      </c>
      <c r="C3" s="2">
        <f>IF(A3&gt;3,INDEX($B$3:$B$26,A3-3),0)</f>
        <v>0</v>
      </c>
      <c r="D3" s="2">
        <f>Agenda!D2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Agenda!C3</f>
        <v>0</v>
      </c>
      <c r="C4" s="2">
        <f>IF(A4&gt;3,INDEX($B$3:$B$26,A4-3),0)</f>
        <v>0</v>
      </c>
      <c r="D4" s="2">
        <f>Agenda!D3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Agenda!C4</f>
        <v>0</v>
      </c>
      <c r="C5" s="2">
        <f>IF(A5&gt;3,INDEX($B$3:$B$26,A5-3),0)</f>
        <v>0</v>
      </c>
      <c r="D5" s="2">
        <f>Agenda!D4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Agenda!C5</f>
        <v>0</v>
      </c>
      <c r="C6" s="2">
        <f>IF(A6&gt;3,INDEX($B$3:$B$26,A6-3),0)</f>
        <v>0</v>
      </c>
      <c r="D6" s="2">
        <f>Agenda!D5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Agenda!C6</f>
        <v>0</v>
      </c>
      <c r="C7" s="2">
        <f>IF(A7&gt;3,INDEX($B$3:$B$26,A7-3),0)</f>
        <v>0</v>
      </c>
      <c r="D7" s="2">
        <f>Agenda!D6</f>
        <v>0</v>
      </c>
      <c r="E7" s="2">
        <f>E6+C7-D7</f>
        <v>0</v>
      </c>
      <c r="F7" s="2">
        <f>SUM(B5:B7)</f>
        <v>0</v>
      </c>
      <c r="G7" s="2">
        <f>Premissas!$B$2*(Premissas!$B$16*B7+Premissas!$B$17*B6+Premissas!$B$18*B5)</f>
        <v>0</v>
      </c>
      <c r="H7" s="2">
        <f>E7*Premissas!$B$3</f>
        <v>0</v>
      </c>
      <c r="I7" s="2">
        <f>G7+H7</f>
        <v>0</v>
      </c>
      <c r="J7" s="2">
        <f>Premissas!$B$2*(Premissas!$B$16*B7+Premissas!$B$17*B5+Premissas!$B$18*B4)</f>
        <v>0</v>
      </c>
      <c r="K7" s="2">
        <f>H6</f>
        <v>0</v>
      </c>
      <c r="L7" s="2">
        <f>J7+K7</f>
        <v>0</v>
      </c>
      <c r="M7" s="2">
        <f>IF(A7&lt;=12,Premissas!$B$10,Premissas!$B$11)</f>
        <v>37000</v>
      </c>
      <c r="N7" s="2">
        <f>V7*Premissas!$B$6</f>
        <v>0</v>
      </c>
      <c r="O7" s="2">
        <f>W7*Premissas!$B$6</f>
        <v>0</v>
      </c>
      <c r="P7" s="2">
        <f>I7*Premissas!$B$8</f>
        <v>0</v>
      </c>
      <c r="Q7" s="2">
        <f>L7*Premissas!$B$9</f>
        <v>0</v>
      </c>
      <c r="R7" s="2">
        <f>SUM(M7:Q7)</f>
        <v>37000</v>
      </c>
      <c r="S7" s="2">
        <f>L7-R7</f>
        <v>-37000</v>
      </c>
      <c r="T7" s="2">
        <f>T6+S7</f>
        <v>-285000</v>
      </c>
      <c r="U7" s="2">
        <f>H7*(1-Premissas!$B$8-Premissas!$B$9)-O7-M7</f>
        <v>-37000</v>
      </c>
      <c r="V7" s="2">
        <f>F7*Premissas!$B$4*(1+Premissas!$B$5)/3</f>
        <v>0</v>
      </c>
      <c r="W7" s="2">
        <f>E7*Premissas!$B$7</f>
        <v>0</v>
      </c>
      <c r="X7" s="2">
        <f>X6+I7-L7</f>
        <v>0</v>
      </c>
      <c r="Y7" s="2">
        <f>(E7+F7)*Premissas!$B$14</f>
        <v>0</v>
      </c>
    </row>
    <row r="8">
      <c r="A8" s="2" t="n">
        <v>6</v>
      </c>
      <c r="B8" s="2">
        <f>Agenda!C7</f>
        <v>0</v>
      </c>
      <c r="C8" s="2">
        <f>IF(A8&gt;3,INDEX($B$3:$B$26,A8-3),0)</f>
        <v>0</v>
      </c>
      <c r="D8" s="2">
        <f>Agenda!D7</f>
        <v>0</v>
      </c>
      <c r="E8" s="2">
        <f>E7+C8-D8</f>
        <v>0</v>
      </c>
      <c r="F8" s="2">
        <f>SUM(B6:B8)</f>
        <v>0</v>
      </c>
      <c r="G8" s="2">
        <f>Premissas!$B$2*(Premissas!$B$16*B8+Premissas!$B$17*B7+Premissas!$B$18*B6)</f>
        <v>0</v>
      </c>
      <c r="H8" s="2">
        <f>E8*Premissas!$B$3</f>
        <v>0</v>
      </c>
      <c r="I8" s="2">
        <f>G8+H8</f>
        <v>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0</v>
      </c>
      <c r="O8" s="2">
        <f>W8*Premissas!$B$6</f>
        <v>0</v>
      </c>
      <c r="P8" s="2">
        <f>I8*Premissas!$B$8</f>
        <v>0</v>
      </c>
      <c r="Q8" s="2">
        <f>L8*Premissas!$B$9</f>
        <v>0</v>
      </c>
      <c r="R8" s="2">
        <f>SUM(M8:Q8)</f>
        <v>37000</v>
      </c>
      <c r="S8" s="2">
        <f>L8-R8</f>
        <v>-37000</v>
      </c>
      <c r="T8" s="2">
        <f>T7+S8</f>
        <v>-322000</v>
      </c>
      <c r="U8" s="2">
        <f>H8*(1-Premissas!$B$8-Premissas!$B$9)-O8-M8</f>
        <v>-37000</v>
      </c>
      <c r="V8" s="2">
        <f>F8*Premissas!$B$4*(1+Premissas!$B$5)/3</f>
        <v>0</v>
      </c>
      <c r="W8" s="2">
        <f>E8*Premissas!$B$7</f>
        <v>0</v>
      </c>
      <c r="X8" s="2">
        <f>X7+I8-L8</f>
        <v>0</v>
      </c>
      <c r="Y8" s="2">
        <f>(E8+F8)*Premissas!$B$14</f>
        <v>0</v>
      </c>
    </row>
    <row r="9">
      <c r="A9" s="2" t="n">
        <v>7</v>
      </c>
      <c r="B9" s="2">
        <f>Agenda!C8</f>
        <v>0</v>
      </c>
      <c r="C9" s="2">
        <f>IF(A9&gt;3,INDEX($B$3:$B$26,A9-3),0)</f>
        <v>0</v>
      </c>
      <c r="D9" s="2">
        <f>Agenda!D8</f>
        <v>0</v>
      </c>
      <c r="E9" s="2">
        <f>E8+C9-D9</f>
        <v>0</v>
      </c>
      <c r="F9" s="2">
        <f>SUM(B7:B9)</f>
        <v>0</v>
      </c>
      <c r="G9" s="2">
        <f>Premissas!$B$2*(Premissas!$B$16*B9+Premissas!$B$17*B8+Premissas!$B$18*B7)</f>
        <v>0</v>
      </c>
      <c r="H9" s="2">
        <f>E9*Premissas!$B$3</f>
        <v>0</v>
      </c>
      <c r="I9" s="2">
        <f>G9+H9</f>
        <v>0</v>
      </c>
      <c r="J9" s="2">
        <f>Premissas!$B$2*(Premissas!$B$16*B9+Premissas!$B$17*B7+Premissas!$B$18*B6)</f>
        <v>0</v>
      </c>
      <c r="K9" s="2">
        <f>H8</f>
        <v>0</v>
      </c>
      <c r="L9" s="2">
        <f>J9+K9</f>
        <v>0</v>
      </c>
      <c r="M9" s="2">
        <f>IF(A9&lt;=12,Premissas!$B$10,Premissas!$B$11)</f>
        <v>37000</v>
      </c>
      <c r="N9" s="2">
        <f>V9*Premissas!$B$6</f>
        <v>0</v>
      </c>
      <c r="O9" s="2">
        <f>W9*Premissas!$B$6</f>
        <v>0</v>
      </c>
      <c r="P9" s="2">
        <f>I9*Premissas!$B$8</f>
        <v>0</v>
      </c>
      <c r="Q9" s="2">
        <f>L9*Premissas!$B$9</f>
        <v>0</v>
      </c>
      <c r="R9" s="2">
        <f>SUM(M9:Q9)</f>
        <v>37000</v>
      </c>
      <c r="S9" s="2">
        <f>L9-R9</f>
        <v>-37000</v>
      </c>
      <c r="T9" s="2">
        <f>T8+S9</f>
        <v>-359000</v>
      </c>
      <c r="U9" s="2">
        <f>H9*(1-Premissas!$B$8-Premissas!$B$9)-O9-M9</f>
        <v>-37000</v>
      </c>
      <c r="V9" s="2">
        <f>F9*Premissas!$B$4*(1+Premissas!$B$5)/3</f>
        <v>0</v>
      </c>
      <c r="W9" s="2">
        <f>E9*Premissas!$B$7</f>
        <v>0</v>
      </c>
      <c r="X9" s="2">
        <f>X8+I9-L9</f>
        <v>0</v>
      </c>
      <c r="Y9" s="2">
        <f>(E9+F9)*Premissas!$B$14</f>
        <v>0</v>
      </c>
    </row>
    <row r="10">
      <c r="A10" s="2" t="n">
        <v>8</v>
      </c>
      <c r="B10" s="2">
        <f>Agenda!C9</f>
        <v>0</v>
      </c>
      <c r="C10" s="2">
        <f>IF(A10&gt;3,INDEX($B$3:$B$26,A10-3),0)</f>
        <v>0</v>
      </c>
      <c r="D10" s="2">
        <f>Agenda!D9</f>
        <v>0</v>
      </c>
      <c r="E10" s="2">
        <f>E9+C10-D10</f>
        <v>0</v>
      </c>
      <c r="F10" s="2">
        <f>SUM(B8:B10)</f>
        <v>0</v>
      </c>
      <c r="G10" s="2">
        <f>Premissas!$B$2*(Premissas!$B$16*B10+Premissas!$B$17*B9+Premissas!$B$18*B8)</f>
        <v>0</v>
      </c>
      <c r="H10" s="2">
        <f>E10*Premissas!$B$3</f>
        <v>0</v>
      </c>
      <c r="I10" s="2">
        <f>G10+H10</f>
        <v>0</v>
      </c>
      <c r="J10" s="2">
        <f>Premissas!$B$2*(Premissas!$B$16*B10+Premissas!$B$17*B8+Premissas!$B$18*B7)</f>
        <v>0</v>
      </c>
      <c r="K10" s="2">
        <f>H9</f>
        <v>0</v>
      </c>
      <c r="L10" s="2">
        <f>J10+K10</f>
        <v>0</v>
      </c>
      <c r="M10" s="2">
        <f>IF(A10&lt;=12,Premissas!$B$10,Premissas!$B$11)</f>
        <v>37000</v>
      </c>
      <c r="N10" s="2">
        <f>V10*Premissas!$B$6</f>
        <v>0</v>
      </c>
      <c r="O10" s="2">
        <f>W10*Premissas!$B$6</f>
        <v>0</v>
      </c>
      <c r="P10" s="2">
        <f>I10*Premissas!$B$8</f>
        <v>0</v>
      </c>
      <c r="Q10" s="2">
        <f>L10*Premissas!$B$9</f>
        <v>0</v>
      </c>
      <c r="R10" s="2">
        <f>SUM(M10:Q10)</f>
        <v>37000</v>
      </c>
      <c r="S10" s="2">
        <f>L10-R10</f>
        <v>-37000</v>
      </c>
      <c r="T10" s="2">
        <f>T9+S10</f>
        <v>-396000</v>
      </c>
      <c r="U10" s="2">
        <f>H10*(1-Premissas!$B$8-Premissas!$B$9)-O10-M10</f>
        <v>-37000</v>
      </c>
      <c r="V10" s="2">
        <f>F10*Premissas!$B$4*(1+Premissas!$B$5)/3</f>
        <v>0</v>
      </c>
      <c r="W10" s="2">
        <f>E10*Premissas!$B$7</f>
        <v>0</v>
      </c>
      <c r="X10" s="2">
        <f>X9+I10-L10</f>
        <v>0</v>
      </c>
      <c r="Y10" s="2">
        <f>(E10+F10)*Premissas!$B$14</f>
        <v>0</v>
      </c>
    </row>
    <row r="11">
      <c r="A11" s="2" t="n">
        <v>9</v>
      </c>
      <c r="B11" s="2">
        <f>Agenda!C10</f>
        <v>1</v>
      </c>
      <c r="C11" s="2">
        <f>IF(A11&gt;3,INDEX($B$3:$B$26,A11-3),0)</f>
        <v>0</v>
      </c>
      <c r="D11" s="2">
        <f>Agenda!D10</f>
        <v>0</v>
      </c>
      <c r="E11" s="2">
        <f>E10+C11-D11</f>
        <v>0</v>
      </c>
      <c r="F11" s="2">
        <f>SUM(B9:B11)</f>
        <v>1</v>
      </c>
      <c r="G11" s="2">
        <f>Premissas!$B$2*(Premissas!$B$16*B11+Premissas!$B$17*B10+Premissas!$B$18*B9)</f>
        <v>80000</v>
      </c>
      <c r="H11" s="2">
        <f>E11*Premissas!$B$3</f>
        <v>0</v>
      </c>
      <c r="I11" s="2">
        <f>G11+H11</f>
        <v>80000</v>
      </c>
      <c r="J11" s="2">
        <f>Premissas!$B$2*(Premissas!$B$16*B11+Premissas!$B$17*B9+Premissas!$B$18*B8)</f>
        <v>80000</v>
      </c>
      <c r="K11" s="2">
        <f>H10</f>
        <v>0</v>
      </c>
      <c r="L11" s="2">
        <f>J11+K11</f>
        <v>80000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0</v>
      </c>
      <c r="P11" s="2">
        <f>I11*Premissas!$B$8</f>
        <v>9600</v>
      </c>
      <c r="Q11" s="2">
        <f>L11*Premissas!$B$9</f>
        <v>4000</v>
      </c>
      <c r="R11" s="2">
        <f>SUM(M11:Q11)</f>
        <v>93800</v>
      </c>
      <c r="S11" s="2">
        <f>L11-R11</f>
        <v>-13800</v>
      </c>
      <c r="T11" s="2">
        <f>T10+S11</f>
        <v>-409800</v>
      </c>
      <c r="U11" s="2">
        <f>H11*(1-Premissas!$B$8-Premissas!$B$9)-O11-M11</f>
        <v>-37000</v>
      </c>
      <c r="V11" s="2">
        <f>F11*Premissas!$B$4*(1+Premissas!$B$5)/3</f>
        <v>240</v>
      </c>
      <c r="W11" s="2">
        <f>E11*Premissas!$B$7</f>
        <v>0</v>
      </c>
      <c r="X11" s="2">
        <f>X10+I11-L11</f>
        <v>0</v>
      </c>
      <c r="Y11" s="2">
        <f>(E11+F11)*Premissas!$B$14</f>
        <v>10</v>
      </c>
    </row>
    <row r="12">
      <c r="A12" s="2" t="n">
        <v>10</v>
      </c>
      <c r="B12" s="2">
        <f>Agenda!C11</f>
        <v>0</v>
      </c>
      <c r="C12" s="2">
        <f>IF(A12&gt;3,INDEX($B$3:$B$26,A12-3),0)</f>
        <v>0</v>
      </c>
      <c r="D12" s="2">
        <f>Agenda!D11</f>
        <v>0</v>
      </c>
      <c r="E12" s="2">
        <f>E11+C12-D12</f>
        <v>0</v>
      </c>
      <c r="F12" s="2">
        <f>SUM(B10:B12)</f>
        <v>1</v>
      </c>
      <c r="G12" s="2">
        <f>Premissas!$B$2*(Premissas!$B$16*B12+Premissas!$B$17*B11+Premissas!$B$18*B10)</f>
        <v>80000</v>
      </c>
      <c r="H12" s="2">
        <f>E12*Premissas!$B$3</f>
        <v>0</v>
      </c>
      <c r="I12" s="2">
        <f>G12+H12</f>
        <v>80000</v>
      </c>
      <c r="J12" s="2">
        <f>Premissas!$B$2*(Premissas!$B$16*B12+Premissas!$B$17*B10+Premissas!$B$18*B9)</f>
        <v>0</v>
      </c>
      <c r="K12" s="2">
        <f>H11</f>
        <v>0</v>
      </c>
      <c r="L12" s="2">
        <f>J12+K12</f>
        <v>0</v>
      </c>
      <c r="M12" s="2">
        <f>IF(A12&lt;=12,Premissas!$B$10,Premissas!$B$11)</f>
        <v>37000</v>
      </c>
      <c r="N12" s="2">
        <f>V12*Premissas!$B$6</f>
        <v>43200</v>
      </c>
      <c r="O12" s="2">
        <f>W12*Premissas!$B$6</f>
        <v>0</v>
      </c>
      <c r="P12" s="2">
        <f>I12*Premissas!$B$8</f>
        <v>9600</v>
      </c>
      <c r="Q12" s="2">
        <f>L12*Premissas!$B$9</f>
        <v>0</v>
      </c>
      <c r="R12" s="2">
        <f>SUM(M12:Q12)</f>
        <v>89800</v>
      </c>
      <c r="S12" s="2">
        <f>L12-R12</f>
        <v>-89800</v>
      </c>
      <c r="T12" s="2">
        <f>T11+S12</f>
        <v>-499600</v>
      </c>
      <c r="U12" s="2">
        <f>H12*(1-Premissas!$B$8-Premissas!$B$9)-O12-M12</f>
        <v>-37000</v>
      </c>
      <c r="V12" s="2">
        <f>F12*Premissas!$B$4*(1+Premissas!$B$5)/3</f>
        <v>240</v>
      </c>
      <c r="W12" s="2">
        <f>E12*Premissas!$B$7</f>
        <v>0</v>
      </c>
      <c r="X12" s="2">
        <f>X11+I12-L12</f>
        <v>80000</v>
      </c>
      <c r="Y12" s="2">
        <f>(E12+F12)*Premissas!$B$14</f>
        <v>10</v>
      </c>
    </row>
    <row r="13">
      <c r="A13" s="2" t="n">
        <v>11</v>
      </c>
      <c r="B13" s="2">
        <f>Agenda!C12</f>
        <v>0</v>
      </c>
      <c r="C13" s="2">
        <f>IF(A13&gt;3,INDEX($B$3:$B$26,A13-3),0)</f>
        <v>0</v>
      </c>
      <c r="D13" s="2">
        <f>Agenda!D12</f>
        <v>0</v>
      </c>
      <c r="E13" s="2">
        <f>E12+C13-D13</f>
        <v>0</v>
      </c>
      <c r="F13" s="2">
        <f>SUM(B11:B13)</f>
        <v>1</v>
      </c>
      <c r="G13" s="2">
        <f>Premissas!$B$2*(Premissas!$B$16*B13+Premissas!$B$17*B12+Premissas!$B$18*B11)</f>
        <v>40000</v>
      </c>
      <c r="H13" s="2">
        <f>E13*Premissas!$B$3</f>
        <v>0</v>
      </c>
      <c r="I13" s="2">
        <f>G13+H13</f>
        <v>40000</v>
      </c>
      <c r="J13" s="2">
        <f>Premissas!$B$2*(Premissas!$B$16*B13+Premissas!$B$17*B11+Premissas!$B$18*B10)</f>
        <v>80000</v>
      </c>
      <c r="K13" s="2">
        <f>H12</f>
        <v>0</v>
      </c>
      <c r="L13" s="2">
        <f>J13+K13</f>
        <v>80000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0</v>
      </c>
      <c r="P13" s="2">
        <f>I13*Premissas!$B$8</f>
        <v>4800</v>
      </c>
      <c r="Q13" s="2">
        <f>L13*Premissas!$B$9</f>
        <v>4000</v>
      </c>
      <c r="R13" s="2">
        <f>SUM(M13:Q13)</f>
        <v>89000</v>
      </c>
      <c r="S13" s="2">
        <f>L13-R13</f>
        <v>-9000</v>
      </c>
      <c r="T13" s="2">
        <f>T12+S13</f>
        <v>-508600</v>
      </c>
      <c r="U13" s="2">
        <f>H13*(1-Premissas!$B$8-Premissas!$B$9)-O13-M13</f>
        <v>-37000</v>
      </c>
      <c r="V13" s="2">
        <f>F13*Premissas!$B$4*(1+Premissas!$B$5)/3</f>
        <v>240</v>
      </c>
      <c r="W13" s="2">
        <f>E13*Premissas!$B$7</f>
        <v>0</v>
      </c>
      <c r="X13" s="2">
        <f>X12+I13-L13</f>
        <v>40000</v>
      </c>
      <c r="Y13" s="2">
        <f>(E13+F13)*Premissas!$B$14</f>
        <v>10</v>
      </c>
    </row>
    <row r="14">
      <c r="A14" s="2" t="n">
        <v>12</v>
      </c>
      <c r="B14" s="2">
        <f>Agenda!C13</f>
        <v>0</v>
      </c>
      <c r="C14" s="2">
        <f>IF(A14&gt;3,INDEX($B$3:$B$26,A14-3),0)</f>
        <v>1</v>
      </c>
      <c r="D14" s="2">
        <f>Agenda!D13</f>
        <v>0</v>
      </c>
      <c r="E14" s="2">
        <f>E13+C14-D14</f>
        <v>1</v>
      </c>
      <c r="F14" s="2">
        <f>SUM(B12:B14)</f>
        <v>0</v>
      </c>
      <c r="G14" s="2">
        <f>Premissas!$B$2*(Premissas!$B$16*B14+Premissas!$B$17*B13+Premissas!$B$18*B12)</f>
        <v>0</v>
      </c>
      <c r="H14" s="2">
        <f>E14*Premissas!$B$3</f>
        <v>12000</v>
      </c>
      <c r="I14" s="2">
        <f>G14+H14</f>
        <v>12000</v>
      </c>
      <c r="J14" s="2">
        <f>Premissas!$B$2*(Premissas!$B$16*B14+Premissas!$B$17*B12+Premissas!$B$18*B11)</f>
        <v>40000</v>
      </c>
      <c r="K14" s="2">
        <f>H13</f>
        <v>0</v>
      </c>
      <c r="L14" s="2">
        <f>J14+K14</f>
        <v>40000</v>
      </c>
      <c r="M14" s="2">
        <f>IF(A14&lt;=12,Premissas!$B$10,Premissas!$B$11)</f>
        <v>37000</v>
      </c>
      <c r="N14" s="2">
        <f>V14*Premissas!$B$6</f>
        <v>0</v>
      </c>
      <c r="O14" s="2">
        <f>W14*Premissas!$B$6</f>
        <v>1800</v>
      </c>
      <c r="P14" s="2">
        <f>I14*Premissas!$B$8</f>
        <v>1440</v>
      </c>
      <c r="Q14" s="2">
        <f>L14*Premissas!$B$9</f>
        <v>2000</v>
      </c>
      <c r="R14" s="2">
        <f>SUM(M14:Q14)</f>
        <v>42240</v>
      </c>
      <c r="S14" s="2">
        <f>L14-R14</f>
        <v>-2240.00000000001</v>
      </c>
      <c r="T14" s="2">
        <f>T13+S14</f>
        <v>-510840</v>
      </c>
      <c r="U14" s="2">
        <f>H14*(1-Premissas!$B$8-Premissas!$B$9)-O14-M14</f>
        <v>-28840</v>
      </c>
      <c r="V14" s="2">
        <f>F14*Premissas!$B$4*(1+Premissas!$B$5)/3</f>
        <v>0</v>
      </c>
      <c r="W14" s="2">
        <f>E14*Premissas!$B$7</f>
        <v>10</v>
      </c>
      <c r="X14" s="2">
        <f>X13+I14-L14</f>
        <v>12000</v>
      </c>
      <c r="Y14" s="2">
        <f>(E14+F14)*Premissas!$B$14</f>
        <v>10</v>
      </c>
    </row>
    <row r="15">
      <c r="A15" s="2" t="n">
        <v>13</v>
      </c>
      <c r="B15" s="2">
        <f>Agenda!C14</f>
        <v>0</v>
      </c>
      <c r="C15" s="2">
        <f>IF(A15&gt;3,INDEX($B$3:$B$26,A15-3),0)</f>
        <v>0</v>
      </c>
      <c r="D15" s="2">
        <f>Agenda!D14</f>
        <v>0</v>
      </c>
      <c r="E15" s="2">
        <f>E14+C15-D15</f>
        <v>1</v>
      </c>
      <c r="F15" s="2">
        <f>SUM(B13:B15)</f>
        <v>0</v>
      </c>
      <c r="G15" s="2">
        <f>Premissas!$B$2*(Premissas!$B$16*B15+Premissas!$B$17*B14+Premissas!$B$18*B13)</f>
        <v>0</v>
      </c>
      <c r="H15" s="2">
        <f>E15*Premissas!$B$3</f>
        <v>12000</v>
      </c>
      <c r="I15" s="2">
        <f>G15+H15</f>
        <v>12000</v>
      </c>
      <c r="J15" s="2">
        <f>Premissas!$B$2*(Premissas!$B$16*B15+Premissas!$B$17*B13+Premissas!$B$18*B12)</f>
        <v>0</v>
      </c>
      <c r="K15" s="2">
        <f>H14</f>
        <v>12000</v>
      </c>
      <c r="L15" s="2">
        <f>J15+K15</f>
        <v>12000</v>
      </c>
      <c r="M15" s="2">
        <f>IF(A15&lt;=12,Premissas!$B$10,Premissas!$B$11)</f>
        <v>42000</v>
      </c>
      <c r="N15" s="2">
        <f>V15*Premissas!$B$6</f>
        <v>0</v>
      </c>
      <c r="O15" s="2">
        <f>W15*Premissas!$B$6</f>
        <v>1800</v>
      </c>
      <c r="P15" s="2">
        <f>I15*Premissas!$B$8</f>
        <v>1440</v>
      </c>
      <c r="Q15" s="2">
        <f>L15*Premissas!$B$9</f>
        <v>600</v>
      </c>
      <c r="R15" s="2">
        <f>SUM(M15:Q15)</f>
        <v>45840</v>
      </c>
      <c r="S15" s="2">
        <f>L15-R15</f>
        <v>-33840</v>
      </c>
      <c r="T15" s="2">
        <f>T14+S15</f>
        <v>-544680</v>
      </c>
      <c r="U15" s="2">
        <f>H15*(1-Premissas!$B$8-Premissas!$B$9)-O15-M15</f>
        <v>-33840</v>
      </c>
      <c r="V15" s="2">
        <f>F15*Premissas!$B$4*(1+Premissas!$B$5)/3</f>
        <v>0</v>
      </c>
      <c r="W15" s="2">
        <f>E15*Premissas!$B$7</f>
        <v>10</v>
      </c>
      <c r="X15" s="2">
        <f>X14+I15-L15</f>
        <v>12000</v>
      </c>
      <c r="Y15" s="2">
        <f>(E15+F15)*Premissas!$B$14</f>
        <v>10</v>
      </c>
    </row>
    <row r="16">
      <c r="A16" s="2" t="n">
        <v>14</v>
      </c>
      <c r="B16" s="2">
        <f>Agenda!C15</f>
        <v>0</v>
      </c>
      <c r="C16" s="2">
        <f>IF(A16&gt;3,INDEX($B$3:$B$26,A16-3),0)</f>
        <v>0</v>
      </c>
      <c r="D16" s="2">
        <f>Agenda!D15</f>
        <v>0</v>
      </c>
      <c r="E16" s="2">
        <f>E15+C16-D16</f>
        <v>1</v>
      </c>
      <c r="F16" s="2">
        <f>SUM(B14:B16)</f>
        <v>0</v>
      </c>
      <c r="G16" s="2">
        <f>Premissas!$B$2*(Premissas!$B$16*B16+Premissas!$B$17*B15+Premissas!$B$18*B14)</f>
        <v>0</v>
      </c>
      <c r="H16" s="2">
        <f>E16*Premissas!$B$3</f>
        <v>12000</v>
      </c>
      <c r="I16" s="2">
        <f>G16+H16</f>
        <v>12000</v>
      </c>
      <c r="J16" s="2">
        <f>Premissas!$B$2*(Premissas!$B$16*B16+Premissas!$B$17*B14+Premissas!$B$18*B13)</f>
        <v>0</v>
      </c>
      <c r="K16" s="2">
        <f>H15</f>
        <v>12000</v>
      </c>
      <c r="L16" s="2">
        <f>J16+K16</f>
        <v>12000</v>
      </c>
      <c r="M16" s="2">
        <f>IF(A16&lt;=12,Premissas!$B$10,Premissas!$B$11)</f>
        <v>42000</v>
      </c>
      <c r="N16" s="2">
        <f>V16*Premissas!$B$6</f>
        <v>0</v>
      </c>
      <c r="O16" s="2">
        <f>W16*Premissas!$B$6</f>
        <v>1800</v>
      </c>
      <c r="P16" s="2">
        <f>I16*Premissas!$B$8</f>
        <v>1440</v>
      </c>
      <c r="Q16" s="2">
        <f>L16*Premissas!$B$9</f>
        <v>600</v>
      </c>
      <c r="R16" s="2">
        <f>SUM(M16:Q16)</f>
        <v>45840</v>
      </c>
      <c r="S16" s="2">
        <f>L16-R16</f>
        <v>-33840</v>
      </c>
      <c r="T16" s="2">
        <f>T15+S16</f>
        <v>-578520</v>
      </c>
      <c r="U16" s="2">
        <f>H16*(1-Premissas!$B$8-Premissas!$B$9)-O16-M16</f>
        <v>-33840</v>
      </c>
      <c r="V16" s="2">
        <f>F16*Premissas!$B$4*(1+Premissas!$B$5)/3</f>
        <v>0</v>
      </c>
      <c r="W16" s="2">
        <f>E16*Premissas!$B$7</f>
        <v>10</v>
      </c>
      <c r="X16" s="2">
        <f>X15+I16-L16</f>
        <v>12000</v>
      </c>
      <c r="Y16" s="2">
        <f>(E16+F16)*Premissas!$B$14</f>
        <v>10</v>
      </c>
    </row>
    <row r="17">
      <c r="A17" s="2" t="n">
        <v>15</v>
      </c>
      <c r="B17" s="2">
        <f>Agenda!C16</f>
        <v>1</v>
      </c>
      <c r="C17" s="2">
        <f>IF(A17&gt;3,INDEX($B$3:$B$26,A17-3),0)</f>
        <v>0</v>
      </c>
      <c r="D17" s="2">
        <f>Agenda!D16</f>
        <v>0</v>
      </c>
      <c r="E17" s="2">
        <f>E16+C17-D17</f>
        <v>1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12000</v>
      </c>
      <c r="I17" s="2">
        <f>G17+H17</f>
        <v>92000</v>
      </c>
      <c r="J17" s="2">
        <f>Premissas!$B$2*(Premissas!$B$16*B17+Premissas!$B$17*B15+Premissas!$B$18*B14)</f>
        <v>80000</v>
      </c>
      <c r="K17" s="2">
        <f>H16</f>
        <v>12000</v>
      </c>
      <c r="L17" s="2">
        <f>J17+K17</f>
        <v>92000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1800</v>
      </c>
      <c r="P17" s="2">
        <f>I17*Premissas!$B$8</f>
        <v>11040</v>
      </c>
      <c r="Q17" s="2">
        <f>L17*Premissas!$B$9</f>
        <v>4600</v>
      </c>
      <c r="R17" s="2">
        <f>SUM(M17:Q17)</f>
        <v>102640</v>
      </c>
      <c r="S17" s="2">
        <f>L17-R17</f>
        <v>-10640</v>
      </c>
      <c r="T17" s="2">
        <f>T16+S17</f>
        <v>-589160</v>
      </c>
      <c r="U17" s="2">
        <f>H17*(1-Premissas!$B$8-Premissas!$B$9)-O17-M17</f>
        <v>-33840</v>
      </c>
      <c r="V17" s="2">
        <f>F17*Premissas!$B$4*(1+Premissas!$B$5)/3</f>
        <v>240</v>
      </c>
      <c r="W17" s="2">
        <f>E17*Premissas!$B$7</f>
        <v>10</v>
      </c>
      <c r="X17" s="2">
        <f>X16+I17-L17</f>
        <v>12000</v>
      </c>
      <c r="Y17" s="2">
        <f>(E17+F17)*Premissas!$B$14</f>
        <v>20</v>
      </c>
    </row>
    <row r="18">
      <c r="A18" s="2" t="n">
        <v>16</v>
      </c>
      <c r="B18" s="2">
        <f>Agenda!C17</f>
        <v>0</v>
      </c>
      <c r="C18" s="2">
        <f>IF(A18&gt;3,INDEX($B$3:$B$26,A18-3),0)</f>
        <v>0</v>
      </c>
      <c r="D18" s="2">
        <f>Agenda!D17</f>
        <v>0</v>
      </c>
      <c r="E18" s="2">
        <f>E17+C18-D18</f>
        <v>1</v>
      </c>
      <c r="F18" s="2">
        <f>SUM(B16:B18)</f>
        <v>1</v>
      </c>
      <c r="G18" s="2">
        <f>Premissas!$B$2*(Premissas!$B$16*B18+Premissas!$B$17*B17+Premissas!$B$18*B16)</f>
        <v>80000</v>
      </c>
      <c r="H18" s="2">
        <f>E18*Premissas!$B$3</f>
        <v>12000</v>
      </c>
      <c r="I18" s="2">
        <f>G18+H18</f>
        <v>92000</v>
      </c>
      <c r="J18" s="2">
        <f>Premissas!$B$2*(Premissas!$B$16*B18+Premissas!$B$17*B16+Premissas!$B$18*B15)</f>
        <v>0</v>
      </c>
      <c r="K18" s="2">
        <f>H17</f>
        <v>12000</v>
      </c>
      <c r="L18" s="2">
        <f>J18+K18</f>
        <v>12000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1800</v>
      </c>
      <c r="P18" s="2">
        <f>I18*Premissas!$B$8</f>
        <v>11040</v>
      </c>
      <c r="Q18" s="2">
        <f>L18*Premissas!$B$9</f>
        <v>600</v>
      </c>
      <c r="R18" s="2">
        <f>SUM(M18:Q18)</f>
        <v>98640</v>
      </c>
      <c r="S18" s="2">
        <f>L18-R18</f>
        <v>-86640</v>
      </c>
      <c r="T18" s="2">
        <f>T17+S18</f>
        <v>-675800</v>
      </c>
      <c r="U18" s="2">
        <f>H18*(1-Premissas!$B$8-Premissas!$B$9)-O18-M18</f>
        <v>-33840</v>
      </c>
      <c r="V18" s="2">
        <f>F18*Premissas!$B$4*(1+Premissas!$B$5)/3</f>
        <v>240</v>
      </c>
      <c r="W18" s="2">
        <f>E18*Premissas!$B$7</f>
        <v>10</v>
      </c>
      <c r="X18" s="2">
        <f>X17+I18-L18</f>
        <v>92000</v>
      </c>
      <c r="Y18" s="2">
        <f>(E18+F18)*Premissas!$B$14</f>
        <v>20</v>
      </c>
    </row>
    <row r="19">
      <c r="A19" s="2" t="n">
        <v>17</v>
      </c>
      <c r="B19" s="2">
        <f>Agenda!C18</f>
        <v>0</v>
      </c>
      <c r="C19" s="2">
        <f>IF(A19&gt;3,INDEX($B$3:$B$26,A19-3),0)</f>
        <v>0</v>
      </c>
      <c r="D19" s="2">
        <f>Agenda!D18</f>
        <v>0</v>
      </c>
      <c r="E19" s="2">
        <f>E18+C19-D19</f>
        <v>1</v>
      </c>
      <c r="F19" s="2">
        <f>SUM(B17:B19)</f>
        <v>1</v>
      </c>
      <c r="G19" s="2">
        <f>Premissas!$B$2*(Premissas!$B$16*B19+Premissas!$B$17*B18+Premissas!$B$18*B17)</f>
        <v>40000</v>
      </c>
      <c r="H19" s="2">
        <f>E19*Premissas!$B$3</f>
        <v>12000</v>
      </c>
      <c r="I19" s="2">
        <f>G19+H19</f>
        <v>52000</v>
      </c>
      <c r="J19" s="2">
        <f>Premissas!$B$2*(Premissas!$B$16*B19+Premissas!$B$17*B17+Premissas!$B$18*B16)</f>
        <v>80000</v>
      </c>
      <c r="K19" s="2">
        <f>H18</f>
        <v>12000</v>
      </c>
      <c r="L19" s="2">
        <f>J19+K19</f>
        <v>92000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1800</v>
      </c>
      <c r="P19" s="2">
        <f>I19*Premissas!$B$8</f>
        <v>6240</v>
      </c>
      <c r="Q19" s="2">
        <f>L19*Premissas!$B$9</f>
        <v>4600</v>
      </c>
      <c r="R19" s="2">
        <f>SUM(M19:Q19)</f>
        <v>97840</v>
      </c>
      <c r="S19" s="2">
        <f>L19-R19</f>
        <v>-5840</v>
      </c>
      <c r="T19" s="2">
        <f>T18+S19</f>
        <v>-681640</v>
      </c>
      <c r="U19" s="2">
        <f>H19*(1-Premissas!$B$8-Premissas!$B$9)-O19-M19</f>
        <v>-33840</v>
      </c>
      <c r="V19" s="2">
        <f>F19*Premissas!$B$4*(1+Premissas!$B$5)/3</f>
        <v>240</v>
      </c>
      <c r="W19" s="2">
        <f>E19*Premissas!$B$7</f>
        <v>10</v>
      </c>
      <c r="X19" s="2">
        <f>X18+I19-L19</f>
        <v>52000</v>
      </c>
      <c r="Y19" s="2">
        <f>(E19+F19)*Premissas!$B$14</f>
        <v>20</v>
      </c>
    </row>
    <row r="20">
      <c r="A20" s="2" t="n">
        <v>18</v>
      </c>
      <c r="B20" s="2">
        <f>Agenda!C19</f>
        <v>0</v>
      </c>
      <c r="C20" s="2">
        <f>IF(A20&gt;3,INDEX($B$3:$B$26,A20-3),0)</f>
        <v>1</v>
      </c>
      <c r="D20" s="2">
        <f>Agenda!D19</f>
        <v>0</v>
      </c>
      <c r="E20" s="2">
        <f>E19+C20-D20</f>
        <v>2</v>
      </c>
      <c r="F20" s="2">
        <f>SUM(B18:B20)</f>
        <v>0</v>
      </c>
      <c r="G20" s="2">
        <f>Premissas!$B$2*(Premissas!$B$16*B20+Premissas!$B$17*B19+Premissas!$B$18*B18)</f>
        <v>0</v>
      </c>
      <c r="H20" s="2">
        <f>E20*Premissas!$B$3</f>
        <v>24000</v>
      </c>
      <c r="I20" s="2">
        <f>G20+H20</f>
        <v>24000</v>
      </c>
      <c r="J20" s="2">
        <f>Premissas!$B$2*(Premissas!$B$16*B20+Premissas!$B$17*B18+Premissas!$B$18*B17)</f>
        <v>40000</v>
      </c>
      <c r="K20" s="2">
        <f>H19</f>
        <v>12000</v>
      </c>
      <c r="L20" s="2">
        <f>J20+K20</f>
        <v>52000</v>
      </c>
      <c r="M20" s="2">
        <f>IF(A20&lt;=12,Premissas!$B$10,Premissas!$B$11)</f>
        <v>42000</v>
      </c>
      <c r="N20" s="2">
        <f>V20*Premissas!$B$6</f>
        <v>0</v>
      </c>
      <c r="O20" s="2">
        <f>W20*Premissas!$B$6</f>
        <v>3600</v>
      </c>
      <c r="P20" s="2">
        <f>I20*Premissas!$B$8</f>
        <v>2880</v>
      </c>
      <c r="Q20" s="2">
        <f>L20*Premissas!$B$9</f>
        <v>2600</v>
      </c>
      <c r="R20" s="2">
        <f>SUM(M20:Q20)</f>
        <v>51080</v>
      </c>
      <c r="S20" s="2">
        <f>L20-R20</f>
        <v>919.999999999993</v>
      </c>
      <c r="T20" s="2">
        <f>T19+S20</f>
        <v>-680720</v>
      </c>
      <c r="U20" s="2">
        <f>H20*(1-Premissas!$B$8-Premissas!$B$9)-O20-M20</f>
        <v>-25680</v>
      </c>
      <c r="V20" s="2">
        <f>F20*Premissas!$B$4*(1+Premissas!$B$5)/3</f>
        <v>0</v>
      </c>
      <c r="W20" s="2">
        <f>E20*Premissas!$B$7</f>
        <v>20</v>
      </c>
      <c r="X20" s="2">
        <f>X19+I20-L20</f>
        <v>24000</v>
      </c>
      <c r="Y20" s="2">
        <f>(E20+F20)*Premissas!$B$14</f>
        <v>20</v>
      </c>
    </row>
    <row r="21">
      <c r="A21" s="2" t="n">
        <v>19</v>
      </c>
      <c r="B21" s="2">
        <f>Agenda!C20</f>
        <v>0</v>
      </c>
      <c r="C21" s="2">
        <f>IF(A21&gt;3,INDEX($B$3:$B$26,A21-3),0)</f>
        <v>0</v>
      </c>
      <c r="D21" s="2">
        <f>Agenda!D20</f>
        <v>0</v>
      </c>
      <c r="E21" s="2">
        <f>E20+C21-D21</f>
        <v>2</v>
      </c>
      <c r="F21" s="2">
        <f>SUM(B19:B21)</f>
        <v>0</v>
      </c>
      <c r="G21" s="2">
        <f>Premissas!$B$2*(Premissas!$B$16*B21+Premissas!$B$17*B20+Premissas!$B$18*B19)</f>
        <v>0</v>
      </c>
      <c r="H21" s="2">
        <f>E21*Premissas!$B$3</f>
        <v>24000</v>
      </c>
      <c r="I21" s="2">
        <f>G21+H21</f>
        <v>24000</v>
      </c>
      <c r="J21" s="2">
        <f>Premissas!$B$2*(Premissas!$B$16*B21+Premissas!$B$17*B19+Premissas!$B$18*B18)</f>
        <v>0</v>
      </c>
      <c r="K21" s="2">
        <f>H20</f>
        <v>24000</v>
      </c>
      <c r="L21" s="2">
        <f>J21+K21</f>
        <v>24000</v>
      </c>
      <c r="M21" s="2">
        <f>IF(A21&lt;=12,Premissas!$B$10,Premissas!$B$11)</f>
        <v>42000</v>
      </c>
      <c r="N21" s="2">
        <f>V21*Premissas!$B$6</f>
        <v>0</v>
      </c>
      <c r="O21" s="2">
        <f>W21*Premissas!$B$6</f>
        <v>3600</v>
      </c>
      <c r="P21" s="2">
        <f>I21*Premissas!$B$8</f>
        <v>2880</v>
      </c>
      <c r="Q21" s="2">
        <f>L21*Premissas!$B$9</f>
        <v>1200</v>
      </c>
      <c r="R21" s="2">
        <f>SUM(M21:Q21)</f>
        <v>49680</v>
      </c>
      <c r="S21" s="2">
        <f>L21-R21</f>
        <v>-25680</v>
      </c>
      <c r="T21" s="2">
        <f>T20+S21</f>
        <v>-706400</v>
      </c>
      <c r="U21" s="2">
        <f>H21*(1-Premissas!$B$8-Premissas!$B$9)-O21-M21</f>
        <v>-25680</v>
      </c>
      <c r="V21" s="2">
        <f>F21*Premissas!$B$4*(1+Premissas!$B$5)/3</f>
        <v>0</v>
      </c>
      <c r="W21" s="2">
        <f>E21*Premissas!$B$7</f>
        <v>20</v>
      </c>
      <c r="X21" s="2">
        <f>X20+I21-L21</f>
        <v>24000</v>
      </c>
      <c r="Y21" s="2">
        <f>(E21+F21)*Premissas!$B$14</f>
        <v>20</v>
      </c>
    </row>
    <row r="22">
      <c r="A22" s="2" t="n">
        <v>20</v>
      </c>
      <c r="B22" s="2">
        <f>Agenda!C21</f>
        <v>0</v>
      </c>
      <c r="C22" s="2">
        <f>IF(A22&gt;3,INDEX($B$3:$B$26,A22-3),0)</f>
        <v>0</v>
      </c>
      <c r="D22" s="2">
        <f>Agenda!D21</f>
        <v>0</v>
      </c>
      <c r="E22" s="2">
        <f>E21+C22-D22</f>
        <v>2</v>
      </c>
      <c r="F22" s="2">
        <f>SUM(B20:B22)</f>
        <v>0</v>
      </c>
      <c r="G22" s="2">
        <f>Premissas!$B$2*(Premissas!$B$16*B22+Premissas!$B$17*B21+Premissas!$B$18*B20)</f>
        <v>0</v>
      </c>
      <c r="H22" s="2">
        <f>E22*Premissas!$B$3</f>
        <v>24000</v>
      </c>
      <c r="I22" s="2">
        <f>G22+H22</f>
        <v>24000</v>
      </c>
      <c r="J22" s="2">
        <f>Premissas!$B$2*(Premissas!$B$16*B22+Premissas!$B$17*B20+Premissas!$B$18*B19)</f>
        <v>0</v>
      </c>
      <c r="K22" s="2">
        <f>H21</f>
        <v>24000</v>
      </c>
      <c r="L22" s="2">
        <f>J22+K22</f>
        <v>24000</v>
      </c>
      <c r="M22" s="2">
        <f>IF(A22&lt;=12,Premissas!$B$10,Premissas!$B$11)</f>
        <v>42000</v>
      </c>
      <c r="N22" s="2">
        <f>V22*Premissas!$B$6</f>
        <v>0</v>
      </c>
      <c r="O22" s="2">
        <f>W22*Premissas!$B$6</f>
        <v>3600</v>
      </c>
      <c r="P22" s="2">
        <f>I22*Premissas!$B$8</f>
        <v>2880</v>
      </c>
      <c r="Q22" s="2">
        <f>L22*Premissas!$B$9</f>
        <v>1200</v>
      </c>
      <c r="R22" s="2">
        <f>SUM(M22:Q22)</f>
        <v>49680</v>
      </c>
      <c r="S22" s="2">
        <f>L22-R22</f>
        <v>-25680</v>
      </c>
      <c r="T22" s="2">
        <f>T21+S22</f>
        <v>-732080</v>
      </c>
      <c r="U22" s="2">
        <f>H22*(1-Premissas!$B$8-Premissas!$B$9)-O22-M22</f>
        <v>-25680</v>
      </c>
      <c r="V22" s="2">
        <f>F22*Premissas!$B$4*(1+Premissas!$B$5)/3</f>
        <v>0</v>
      </c>
      <c r="W22" s="2">
        <f>E22*Premissas!$B$7</f>
        <v>20</v>
      </c>
      <c r="X22" s="2">
        <f>X21+I22-L22</f>
        <v>24000</v>
      </c>
      <c r="Y22" s="2">
        <f>(E22+F22)*Premissas!$B$14</f>
        <v>20</v>
      </c>
    </row>
    <row r="23">
      <c r="A23" s="2" t="n">
        <v>21</v>
      </c>
      <c r="B23" s="2">
        <f>Agenda!C22</f>
        <v>1</v>
      </c>
      <c r="C23" s="2">
        <f>IF(A23&gt;3,INDEX($B$3:$B$26,A23-3),0)</f>
        <v>0</v>
      </c>
      <c r="D23" s="2">
        <f>Agenda!D22</f>
        <v>0</v>
      </c>
      <c r="E23" s="2">
        <f>E22+C23-D23</f>
        <v>2</v>
      </c>
      <c r="F23" s="2">
        <f>SUM(B21:B23)</f>
        <v>1</v>
      </c>
      <c r="G23" s="2">
        <f>Premissas!$B$2*(Premissas!$B$16*B23+Premissas!$B$17*B22+Premissas!$B$18*B21)</f>
        <v>80000</v>
      </c>
      <c r="H23" s="2">
        <f>E23*Premissas!$B$3</f>
        <v>24000</v>
      </c>
      <c r="I23" s="2">
        <f>G23+H23</f>
        <v>104000</v>
      </c>
      <c r="J23" s="2">
        <f>Premissas!$B$2*(Premissas!$B$16*B23+Premissas!$B$17*B21+Premissas!$B$18*B20)</f>
        <v>80000</v>
      </c>
      <c r="K23" s="2">
        <f>H22</f>
        <v>24000</v>
      </c>
      <c r="L23" s="2">
        <f>J23+K23</f>
        <v>104000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3600</v>
      </c>
      <c r="P23" s="2">
        <f>I23*Premissas!$B$8</f>
        <v>12480</v>
      </c>
      <c r="Q23" s="2">
        <f>L23*Premissas!$B$9</f>
        <v>5200</v>
      </c>
      <c r="R23" s="2">
        <f>SUM(M23:Q23)</f>
        <v>106480</v>
      </c>
      <c r="S23" s="2">
        <f>L23-R23</f>
        <v>-2480</v>
      </c>
      <c r="T23" s="2">
        <f>T22+S23</f>
        <v>-734560</v>
      </c>
      <c r="U23" s="2">
        <f>H23*(1-Premissas!$B$8-Premissas!$B$9)-O23-M23</f>
        <v>-25680</v>
      </c>
      <c r="V23" s="2">
        <f>F23*Premissas!$B$4*(1+Premissas!$B$5)/3</f>
        <v>240</v>
      </c>
      <c r="W23" s="2">
        <f>E23*Premissas!$B$7</f>
        <v>20</v>
      </c>
      <c r="X23" s="2">
        <f>X22+I23-L23</f>
        <v>24000</v>
      </c>
      <c r="Y23" s="2">
        <f>(E23+F23)*Premissas!$B$14</f>
        <v>30</v>
      </c>
    </row>
    <row r="24">
      <c r="A24" s="2" t="n">
        <v>22</v>
      </c>
      <c r="B24" s="2">
        <f>Agenda!C23</f>
        <v>0</v>
      </c>
      <c r="C24" s="2">
        <f>IF(A24&gt;3,INDEX($B$3:$B$26,A24-3),0)</f>
        <v>0</v>
      </c>
      <c r="D24" s="2">
        <f>Agenda!D23</f>
        <v>0</v>
      </c>
      <c r="E24" s="2">
        <f>E23+C24-D24</f>
        <v>2</v>
      </c>
      <c r="F24" s="2">
        <f>SUM(B22:B24)</f>
        <v>1</v>
      </c>
      <c r="G24" s="2">
        <f>Premissas!$B$2*(Premissas!$B$16*B24+Premissas!$B$17*B23+Premissas!$B$18*B22)</f>
        <v>80000</v>
      </c>
      <c r="H24" s="2">
        <f>E24*Premissas!$B$3</f>
        <v>24000</v>
      </c>
      <c r="I24" s="2">
        <f>G24+H24</f>
        <v>104000</v>
      </c>
      <c r="J24" s="2">
        <f>Premissas!$B$2*(Premissas!$B$16*B24+Premissas!$B$17*B22+Premissas!$B$18*B21)</f>
        <v>0</v>
      </c>
      <c r="K24" s="2">
        <f>H23</f>
        <v>24000</v>
      </c>
      <c r="L24" s="2">
        <f>J24+K24</f>
        <v>24000</v>
      </c>
      <c r="M24" s="2">
        <f>IF(A24&lt;=12,Premissas!$B$10,Premissas!$B$11)</f>
        <v>42000</v>
      </c>
      <c r="N24" s="2">
        <f>V24*Premissas!$B$6</f>
        <v>43200</v>
      </c>
      <c r="O24" s="2">
        <f>W24*Premissas!$B$6</f>
        <v>3600</v>
      </c>
      <c r="P24" s="2">
        <f>I24*Premissas!$B$8</f>
        <v>12480</v>
      </c>
      <c r="Q24" s="2">
        <f>L24*Premissas!$B$9</f>
        <v>1200</v>
      </c>
      <c r="R24" s="2">
        <f>SUM(M24:Q24)</f>
        <v>102480</v>
      </c>
      <c r="S24" s="2">
        <f>L24-R24</f>
        <v>-78480</v>
      </c>
      <c r="T24" s="2">
        <f>T23+S24</f>
        <v>-813040</v>
      </c>
      <c r="U24" s="2">
        <f>H24*(1-Premissas!$B$8-Premissas!$B$9)-O24-M24</f>
        <v>-25680</v>
      </c>
      <c r="V24" s="2">
        <f>F24*Premissas!$B$4*(1+Premissas!$B$5)/3</f>
        <v>240</v>
      </c>
      <c r="W24" s="2">
        <f>E24*Premissas!$B$7</f>
        <v>20</v>
      </c>
      <c r="X24" s="2">
        <f>X23+I24-L24</f>
        <v>104000</v>
      </c>
      <c r="Y24" s="2">
        <f>(E24+F24)*Premissas!$B$14</f>
        <v>30</v>
      </c>
    </row>
    <row r="25">
      <c r="A25" s="2" t="n">
        <v>23</v>
      </c>
      <c r="B25" s="2">
        <f>Agenda!C24</f>
        <v>0</v>
      </c>
      <c r="C25" s="2">
        <f>IF(A25&gt;3,INDEX($B$3:$B$26,A25-3),0)</f>
        <v>0</v>
      </c>
      <c r="D25" s="2">
        <f>Agenda!D24</f>
        <v>0</v>
      </c>
      <c r="E25" s="2">
        <f>E24+C25-D25</f>
        <v>2</v>
      </c>
      <c r="F25" s="2">
        <f>SUM(B23:B25)</f>
        <v>1</v>
      </c>
      <c r="G25" s="2">
        <f>Premissas!$B$2*(Premissas!$B$16*B25+Premissas!$B$17*B24+Premissas!$B$18*B23)</f>
        <v>40000</v>
      </c>
      <c r="H25" s="2">
        <f>E25*Premissas!$B$3</f>
        <v>24000</v>
      </c>
      <c r="I25" s="2">
        <f>G25+H25</f>
        <v>64000</v>
      </c>
      <c r="J25" s="2">
        <f>Premissas!$B$2*(Premissas!$B$16*B25+Premissas!$B$17*B23+Premissas!$B$18*B22)</f>
        <v>80000</v>
      </c>
      <c r="K25" s="2">
        <f>H24</f>
        <v>24000</v>
      </c>
      <c r="L25" s="2">
        <f>J25+K25</f>
        <v>104000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3600</v>
      </c>
      <c r="P25" s="2">
        <f>I25*Premissas!$B$8</f>
        <v>7680</v>
      </c>
      <c r="Q25" s="2">
        <f>L25*Premissas!$B$9</f>
        <v>5200</v>
      </c>
      <c r="R25" s="2">
        <f>SUM(M25:Q25)</f>
        <v>101680</v>
      </c>
      <c r="S25" s="2">
        <f>L25-R25</f>
        <v>2320</v>
      </c>
      <c r="T25" s="2">
        <f>T24+S25</f>
        <v>-810720</v>
      </c>
      <c r="U25" s="2">
        <f>H25*(1-Premissas!$B$8-Premissas!$B$9)-O25-M25</f>
        <v>-25680</v>
      </c>
      <c r="V25" s="2">
        <f>F25*Premissas!$B$4*(1+Premissas!$B$5)/3</f>
        <v>240</v>
      </c>
      <c r="W25" s="2">
        <f>E25*Premissas!$B$7</f>
        <v>20</v>
      </c>
      <c r="X25" s="2">
        <f>X24+I25-L25</f>
        <v>64000</v>
      </c>
      <c r="Y25" s="2">
        <f>(E25+F25)*Premissas!$B$14</f>
        <v>30</v>
      </c>
    </row>
    <row r="26">
      <c r="A26" s="2" t="n">
        <v>24</v>
      </c>
      <c r="B26" s="2">
        <f>Agenda!C25</f>
        <v>0</v>
      </c>
      <c r="C26" s="2">
        <f>IF(A26&gt;3,INDEX($B$3:$B$26,A26-3),0)</f>
        <v>1</v>
      </c>
      <c r="D26" s="2">
        <f>Agenda!D25</f>
        <v>1</v>
      </c>
      <c r="E26" s="2">
        <f>E25+C26-D26</f>
        <v>2</v>
      </c>
      <c r="F26" s="2">
        <f>SUM(B24:B26)</f>
        <v>0</v>
      </c>
      <c r="G26" s="2">
        <f>Premissas!$B$2*(Premissas!$B$16*B26+Premissas!$B$17*B25+Premissas!$B$18*B24)</f>
        <v>0</v>
      </c>
      <c r="H26" s="2">
        <f>E26*Premissas!$B$3</f>
        <v>24000</v>
      </c>
      <c r="I26" s="2">
        <f>G26+H26</f>
        <v>24000</v>
      </c>
      <c r="J26" s="2">
        <f>Premissas!$B$2*(Premissas!$B$16*B26+Premissas!$B$17*B24+Premissas!$B$18*B23)</f>
        <v>40000</v>
      </c>
      <c r="K26" s="2">
        <f>H25</f>
        <v>24000</v>
      </c>
      <c r="L26" s="2">
        <f>J26+K26</f>
        <v>64000</v>
      </c>
      <c r="M26" s="2">
        <f>IF(A26&lt;=12,Premissas!$B$10,Premissas!$B$11)</f>
        <v>42000</v>
      </c>
      <c r="N26" s="2">
        <f>V26*Premissas!$B$6</f>
        <v>0</v>
      </c>
      <c r="O26" s="2">
        <f>W26*Premissas!$B$6</f>
        <v>3600</v>
      </c>
      <c r="P26" s="2">
        <f>I26*Premissas!$B$8</f>
        <v>2880</v>
      </c>
      <c r="Q26" s="2">
        <f>L26*Premissas!$B$9</f>
        <v>3200</v>
      </c>
      <c r="R26" s="2">
        <f>SUM(M26:Q26)</f>
        <v>51680</v>
      </c>
      <c r="S26" s="2">
        <f>L26-R26</f>
        <v>12320</v>
      </c>
      <c r="T26" s="2">
        <f>T25+S26</f>
        <v>-798400</v>
      </c>
      <c r="U26" s="2">
        <f>H26*(1-Premissas!$B$8-Premissas!$B$9)-O26-M26</f>
        <v>-25680</v>
      </c>
      <c r="V26" s="2">
        <f>F26*Premissas!$B$4*(1+Premissas!$B$5)/3</f>
        <v>0</v>
      </c>
      <c r="W26" s="2">
        <f>E26*Premissas!$B$7</f>
        <v>20</v>
      </c>
      <c r="X26" s="2">
        <f>X25+I26-L26</f>
        <v>24000</v>
      </c>
      <c r="Y26" s="2">
        <f>(E26+F26)*Premissas!$B$14</f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Agenda!C26</f>
        <v>0</v>
      </c>
      <c r="C3" s="2">
        <f>IF(A3&gt;3,INDEX($B$3:$B$26,A3-3),0)</f>
        <v>0</v>
      </c>
      <c r="D3" s="2">
        <f>Agenda!D26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Agenda!C27</f>
        <v>0</v>
      </c>
      <c r="C4" s="2">
        <f>IF(A4&gt;3,INDEX($B$3:$B$26,A4-3),0)</f>
        <v>0</v>
      </c>
      <c r="D4" s="2">
        <f>Agenda!D27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Agenda!C28</f>
        <v>0</v>
      </c>
      <c r="C5" s="2">
        <f>IF(A5&gt;3,INDEX($B$3:$B$26,A5-3),0)</f>
        <v>0</v>
      </c>
      <c r="D5" s="2">
        <f>Agenda!D28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Agenda!C29</f>
        <v>0</v>
      </c>
      <c r="C6" s="2">
        <f>IF(A6&gt;3,INDEX($B$3:$B$26,A6-3),0)</f>
        <v>0</v>
      </c>
      <c r="D6" s="2">
        <f>Agenda!D29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Agenda!C30</f>
        <v>0</v>
      </c>
      <c r="C7" s="2">
        <f>IF(A7&gt;3,INDEX($B$3:$B$26,A7-3),0)</f>
        <v>0</v>
      </c>
      <c r="D7" s="2">
        <f>Agenda!D30</f>
        <v>0</v>
      </c>
      <c r="E7" s="2">
        <f>E6+C7-D7</f>
        <v>0</v>
      </c>
      <c r="F7" s="2">
        <f>SUM(B5:B7)</f>
        <v>0</v>
      </c>
      <c r="G7" s="2">
        <f>Premissas!$B$2*(Premissas!$B$16*B7+Premissas!$B$17*B6+Premissas!$B$18*B5)</f>
        <v>0</v>
      </c>
      <c r="H7" s="2">
        <f>E7*Premissas!$B$3</f>
        <v>0</v>
      </c>
      <c r="I7" s="2">
        <f>G7+H7</f>
        <v>0</v>
      </c>
      <c r="J7" s="2">
        <f>Premissas!$B$2*(Premissas!$B$16*B7+Premissas!$B$17*B5+Premissas!$B$18*B4)</f>
        <v>0</v>
      </c>
      <c r="K7" s="2">
        <f>H6</f>
        <v>0</v>
      </c>
      <c r="L7" s="2">
        <f>J7+K7</f>
        <v>0</v>
      </c>
      <c r="M7" s="2">
        <f>IF(A7&lt;=12,Premissas!$B$10,Premissas!$B$11)</f>
        <v>37000</v>
      </c>
      <c r="N7" s="2">
        <f>V7*Premissas!$B$6</f>
        <v>0</v>
      </c>
      <c r="O7" s="2">
        <f>W7*Premissas!$B$6</f>
        <v>0</v>
      </c>
      <c r="P7" s="2">
        <f>I7*Premissas!$B$8</f>
        <v>0</v>
      </c>
      <c r="Q7" s="2">
        <f>L7*Premissas!$B$9</f>
        <v>0</v>
      </c>
      <c r="R7" s="2">
        <f>SUM(M7:Q7)</f>
        <v>37000</v>
      </c>
      <c r="S7" s="2">
        <f>L7-R7</f>
        <v>-37000</v>
      </c>
      <c r="T7" s="2">
        <f>T6+S7</f>
        <v>-285000</v>
      </c>
      <c r="U7" s="2">
        <f>H7*(1-Premissas!$B$8-Premissas!$B$9)-O7-M7</f>
        <v>-37000</v>
      </c>
      <c r="V7" s="2">
        <f>F7*Premissas!$B$4*(1+Premissas!$B$5)/3</f>
        <v>0</v>
      </c>
      <c r="W7" s="2">
        <f>E7*Premissas!$B$7</f>
        <v>0</v>
      </c>
      <c r="X7" s="2">
        <f>X6+I7-L7</f>
        <v>0</v>
      </c>
      <c r="Y7" s="2">
        <f>(E7+F7)*Premissas!$B$14</f>
        <v>0</v>
      </c>
    </row>
    <row r="8">
      <c r="A8" s="2" t="n">
        <v>6</v>
      </c>
      <c r="B8" s="2">
        <f>Agenda!C31</f>
        <v>0</v>
      </c>
      <c r="C8" s="2">
        <f>IF(A8&gt;3,INDEX($B$3:$B$26,A8-3),0)</f>
        <v>0</v>
      </c>
      <c r="D8" s="2">
        <f>Agenda!D31</f>
        <v>0</v>
      </c>
      <c r="E8" s="2">
        <f>E7+C8-D8</f>
        <v>0</v>
      </c>
      <c r="F8" s="2">
        <f>SUM(B6:B8)</f>
        <v>0</v>
      </c>
      <c r="G8" s="2">
        <f>Premissas!$B$2*(Premissas!$B$16*B8+Premissas!$B$17*B7+Premissas!$B$18*B6)</f>
        <v>0</v>
      </c>
      <c r="H8" s="2">
        <f>E8*Premissas!$B$3</f>
        <v>0</v>
      </c>
      <c r="I8" s="2">
        <f>G8+H8</f>
        <v>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0</v>
      </c>
      <c r="O8" s="2">
        <f>W8*Premissas!$B$6</f>
        <v>0</v>
      </c>
      <c r="P8" s="2">
        <f>I8*Premissas!$B$8</f>
        <v>0</v>
      </c>
      <c r="Q8" s="2">
        <f>L8*Premissas!$B$9</f>
        <v>0</v>
      </c>
      <c r="R8" s="2">
        <f>SUM(M8:Q8)</f>
        <v>37000</v>
      </c>
      <c r="S8" s="2">
        <f>L8-R8</f>
        <v>-37000</v>
      </c>
      <c r="T8" s="2">
        <f>T7+S8</f>
        <v>-322000</v>
      </c>
      <c r="U8" s="2">
        <f>H8*(1-Premissas!$B$8-Premissas!$B$9)-O8-M8</f>
        <v>-37000</v>
      </c>
      <c r="V8" s="2">
        <f>F8*Premissas!$B$4*(1+Premissas!$B$5)/3</f>
        <v>0</v>
      </c>
      <c r="W8" s="2">
        <f>E8*Premissas!$B$7</f>
        <v>0</v>
      </c>
      <c r="X8" s="2">
        <f>X7+I8-L8</f>
        <v>0</v>
      </c>
      <c r="Y8" s="2">
        <f>(E8+F8)*Premissas!$B$14</f>
        <v>0</v>
      </c>
    </row>
    <row r="9">
      <c r="A9" s="2" t="n">
        <v>7</v>
      </c>
      <c r="B9" s="2">
        <f>Agenda!C32</f>
        <v>1</v>
      </c>
      <c r="C9" s="2">
        <f>IF(A9&gt;3,INDEX($B$3:$B$26,A9-3),0)</f>
        <v>0</v>
      </c>
      <c r="D9" s="2">
        <f>Agenda!D32</f>
        <v>0</v>
      </c>
      <c r="E9" s="2">
        <f>E8+C9-D9</f>
        <v>0</v>
      </c>
      <c r="F9" s="2">
        <f>SUM(B7:B9)</f>
        <v>1</v>
      </c>
      <c r="G9" s="2">
        <f>Premissas!$B$2*(Premissas!$B$16*B9+Premissas!$B$17*B8+Premissas!$B$18*B7)</f>
        <v>80000</v>
      </c>
      <c r="H9" s="2">
        <f>E9*Premissas!$B$3</f>
        <v>0</v>
      </c>
      <c r="I9" s="2">
        <f>G9+H9</f>
        <v>80000</v>
      </c>
      <c r="J9" s="2">
        <f>Premissas!$B$2*(Premissas!$B$16*B9+Premissas!$B$17*B7+Premissas!$B$18*B6)</f>
        <v>80000</v>
      </c>
      <c r="K9" s="2">
        <f>H8</f>
        <v>0</v>
      </c>
      <c r="L9" s="2">
        <f>J9+K9</f>
        <v>80000</v>
      </c>
      <c r="M9" s="2">
        <f>IF(A9&lt;=12,Premissas!$B$10,Premissas!$B$11)</f>
        <v>37000</v>
      </c>
      <c r="N9" s="2">
        <f>V9*Premissas!$B$6</f>
        <v>43200</v>
      </c>
      <c r="O9" s="2">
        <f>W9*Premissas!$B$6</f>
        <v>0</v>
      </c>
      <c r="P9" s="2">
        <f>I9*Premissas!$B$8</f>
        <v>9600</v>
      </c>
      <c r="Q9" s="2">
        <f>L9*Premissas!$B$9</f>
        <v>4000</v>
      </c>
      <c r="R9" s="2">
        <f>SUM(M9:Q9)</f>
        <v>93800</v>
      </c>
      <c r="S9" s="2">
        <f>L9-R9</f>
        <v>-13800</v>
      </c>
      <c r="T9" s="2">
        <f>T8+S9</f>
        <v>-335800</v>
      </c>
      <c r="U9" s="2">
        <f>H9*(1-Premissas!$B$8-Premissas!$B$9)-O9-M9</f>
        <v>-37000</v>
      </c>
      <c r="V9" s="2">
        <f>F9*Premissas!$B$4*(1+Premissas!$B$5)/3</f>
        <v>240</v>
      </c>
      <c r="W9" s="2">
        <f>E9*Premissas!$B$7</f>
        <v>0</v>
      </c>
      <c r="X9" s="2">
        <f>X8+I9-L9</f>
        <v>0</v>
      </c>
      <c r="Y9" s="2">
        <f>(E9+F9)*Premissas!$B$14</f>
        <v>10</v>
      </c>
    </row>
    <row r="10">
      <c r="A10" s="2" t="n">
        <v>8</v>
      </c>
      <c r="B10" s="2">
        <f>Agenda!C33</f>
        <v>0</v>
      </c>
      <c r="C10" s="2">
        <f>IF(A10&gt;3,INDEX($B$3:$B$26,A10-3),0)</f>
        <v>0</v>
      </c>
      <c r="D10" s="2">
        <f>Agenda!D33</f>
        <v>0</v>
      </c>
      <c r="E10" s="2">
        <f>E9+C10-D10</f>
        <v>0</v>
      </c>
      <c r="F10" s="2">
        <f>SUM(B8:B10)</f>
        <v>1</v>
      </c>
      <c r="G10" s="2">
        <f>Premissas!$B$2*(Premissas!$B$16*B10+Premissas!$B$17*B9+Premissas!$B$18*B8)</f>
        <v>80000</v>
      </c>
      <c r="H10" s="2">
        <f>E10*Premissas!$B$3</f>
        <v>0</v>
      </c>
      <c r="I10" s="2">
        <f>G10+H10</f>
        <v>80000</v>
      </c>
      <c r="J10" s="2">
        <f>Premissas!$B$2*(Premissas!$B$16*B10+Premissas!$B$17*B8+Premissas!$B$18*B7)</f>
        <v>0</v>
      </c>
      <c r="K10" s="2">
        <f>H9</f>
        <v>0</v>
      </c>
      <c r="L10" s="2">
        <f>J10+K10</f>
        <v>0</v>
      </c>
      <c r="M10" s="2">
        <f>IF(A10&lt;=12,Premissas!$B$10,Premissas!$B$11)</f>
        <v>37000</v>
      </c>
      <c r="N10" s="2">
        <f>V10*Premissas!$B$6</f>
        <v>43200</v>
      </c>
      <c r="O10" s="2">
        <f>W10*Premissas!$B$6</f>
        <v>0</v>
      </c>
      <c r="P10" s="2">
        <f>I10*Premissas!$B$8</f>
        <v>9600</v>
      </c>
      <c r="Q10" s="2">
        <f>L10*Premissas!$B$9</f>
        <v>0</v>
      </c>
      <c r="R10" s="2">
        <f>SUM(M10:Q10)</f>
        <v>89800</v>
      </c>
      <c r="S10" s="2">
        <f>L10-R10</f>
        <v>-89800</v>
      </c>
      <c r="T10" s="2">
        <f>T9+S10</f>
        <v>-425600</v>
      </c>
      <c r="U10" s="2">
        <f>H10*(1-Premissas!$B$8-Premissas!$B$9)-O10-M10</f>
        <v>-37000</v>
      </c>
      <c r="V10" s="2">
        <f>F10*Premissas!$B$4*(1+Premissas!$B$5)/3</f>
        <v>240</v>
      </c>
      <c r="W10" s="2">
        <f>E10*Premissas!$B$7</f>
        <v>0</v>
      </c>
      <c r="X10" s="2">
        <f>X9+I10-L10</f>
        <v>80000</v>
      </c>
      <c r="Y10" s="2">
        <f>(E10+F10)*Premissas!$B$14</f>
        <v>10</v>
      </c>
    </row>
    <row r="11">
      <c r="A11" s="2" t="n">
        <v>9</v>
      </c>
      <c r="B11" s="2">
        <f>Agenda!C34</f>
        <v>0</v>
      </c>
      <c r="C11" s="2">
        <f>IF(A11&gt;3,INDEX($B$3:$B$26,A11-3),0)</f>
        <v>0</v>
      </c>
      <c r="D11" s="2">
        <f>Agenda!D34</f>
        <v>0</v>
      </c>
      <c r="E11" s="2">
        <f>E10+C11-D11</f>
        <v>0</v>
      </c>
      <c r="F11" s="2">
        <f>SUM(B9:B11)</f>
        <v>1</v>
      </c>
      <c r="G11" s="2">
        <f>Premissas!$B$2*(Premissas!$B$16*B11+Premissas!$B$17*B10+Premissas!$B$18*B9)</f>
        <v>40000</v>
      </c>
      <c r="H11" s="2">
        <f>E11*Premissas!$B$3</f>
        <v>0</v>
      </c>
      <c r="I11" s="2">
        <f>G11+H11</f>
        <v>40000</v>
      </c>
      <c r="J11" s="2">
        <f>Premissas!$B$2*(Premissas!$B$16*B11+Premissas!$B$17*B9+Premissas!$B$18*B8)</f>
        <v>80000</v>
      </c>
      <c r="K11" s="2">
        <f>H10</f>
        <v>0</v>
      </c>
      <c r="L11" s="2">
        <f>J11+K11</f>
        <v>80000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0</v>
      </c>
      <c r="P11" s="2">
        <f>I11*Premissas!$B$8</f>
        <v>4800</v>
      </c>
      <c r="Q11" s="2">
        <f>L11*Premissas!$B$9</f>
        <v>4000</v>
      </c>
      <c r="R11" s="2">
        <f>SUM(M11:Q11)</f>
        <v>89000</v>
      </c>
      <c r="S11" s="2">
        <f>L11-R11</f>
        <v>-9000</v>
      </c>
      <c r="T11" s="2">
        <f>T10+S11</f>
        <v>-434600</v>
      </c>
      <c r="U11" s="2">
        <f>H11*(1-Premissas!$B$8-Premissas!$B$9)-O11-M11</f>
        <v>-37000</v>
      </c>
      <c r="V11" s="2">
        <f>F11*Premissas!$B$4*(1+Premissas!$B$5)/3</f>
        <v>240</v>
      </c>
      <c r="W11" s="2">
        <f>E11*Premissas!$B$7</f>
        <v>0</v>
      </c>
      <c r="X11" s="2">
        <f>X10+I11-L11</f>
        <v>40000</v>
      </c>
      <c r="Y11" s="2">
        <f>(E11+F11)*Premissas!$B$14</f>
        <v>10</v>
      </c>
    </row>
    <row r="12">
      <c r="A12" s="2" t="n">
        <v>10</v>
      </c>
      <c r="B12" s="2">
        <f>Agenda!C35</f>
        <v>0</v>
      </c>
      <c r="C12" s="2">
        <f>IF(A12&gt;3,INDEX($B$3:$B$26,A12-3),0)</f>
        <v>1</v>
      </c>
      <c r="D12" s="2">
        <f>Agenda!D35</f>
        <v>0</v>
      </c>
      <c r="E12" s="2">
        <f>E11+C12-D12</f>
        <v>1</v>
      </c>
      <c r="F12" s="2">
        <f>SUM(B10:B12)</f>
        <v>0</v>
      </c>
      <c r="G12" s="2">
        <f>Premissas!$B$2*(Premissas!$B$16*B12+Premissas!$B$17*B11+Premissas!$B$18*B10)</f>
        <v>0</v>
      </c>
      <c r="H12" s="2">
        <f>E12*Premissas!$B$3</f>
        <v>12000</v>
      </c>
      <c r="I12" s="2">
        <f>G12+H12</f>
        <v>12000</v>
      </c>
      <c r="J12" s="2">
        <f>Premissas!$B$2*(Premissas!$B$16*B12+Premissas!$B$17*B10+Premissas!$B$18*B9)</f>
        <v>40000</v>
      </c>
      <c r="K12" s="2">
        <f>H11</f>
        <v>0</v>
      </c>
      <c r="L12" s="2">
        <f>J12+K12</f>
        <v>40000</v>
      </c>
      <c r="M12" s="2">
        <f>IF(A12&lt;=12,Premissas!$B$10,Premissas!$B$11)</f>
        <v>37000</v>
      </c>
      <c r="N12" s="2">
        <f>V12*Premissas!$B$6</f>
        <v>0</v>
      </c>
      <c r="O12" s="2">
        <f>W12*Premissas!$B$6</f>
        <v>1800</v>
      </c>
      <c r="P12" s="2">
        <f>I12*Premissas!$B$8</f>
        <v>1440</v>
      </c>
      <c r="Q12" s="2">
        <f>L12*Premissas!$B$9</f>
        <v>2000</v>
      </c>
      <c r="R12" s="2">
        <f>SUM(M12:Q12)</f>
        <v>42240</v>
      </c>
      <c r="S12" s="2">
        <f>L12-R12</f>
        <v>-2240.00000000001</v>
      </c>
      <c r="T12" s="2">
        <f>T11+S12</f>
        <v>-436840</v>
      </c>
      <c r="U12" s="2">
        <f>H12*(1-Premissas!$B$8-Premissas!$B$9)-O12-M12</f>
        <v>-28840</v>
      </c>
      <c r="V12" s="2">
        <f>F12*Premissas!$B$4*(1+Premissas!$B$5)/3</f>
        <v>0</v>
      </c>
      <c r="W12" s="2">
        <f>E12*Premissas!$B$7</f>
        <v>10</v>
      </c>
      <c r="X12" s="2">
        <f>X11+I12-L12</f>
        <v>12000</v>
      </c>
      <c r="Y12" s="2">
        <f>(E12+F12)*Premissas!$B$14</f>
        <v>10</v>
      </c>
    </row>
    <row r="13">
      <c r="A13" s="2" t="n">
        <v>11</v>
      </c>
      <c r="B13" s="2">
        <f>Agenda!C36</f>
        <v>1</v>
      </c>
      <c r="C13" s="2">
        <f>IF(A13&gt;3,INDEX($B$3:$B$26,A13-3),0)</f>
        <v>0</v>
      </c>
      <c r="D13" s="2">
        <f>Agenda!D36</f>
        <v>0</v>
      </c>
      <c r="E13" s="2">
        <f>E12+C13-D13</f>
        <v>1</v>
      </c>
      <c r="F13" s="2">
        <f>SUM(B11:B13)</f>
        <v>1</v>
      </c>
      <c r="G13" s="2">
        <f>Premissas!$B$2*(Premissas!$B$16*B13+Premissas!$B$17*B12+Premissas!$B$18*B11)</f>
        <v>80000</v>
      </c>
      <c r="H13" s="2">
        <f>E13*Premissas!$B$3</f>
        <v>12000</v>
      </c>
      <c r="I13" s="2">
        <f>G13+H13</f>
        <v>92000</v>
      </c>
      <c r="J13" s="2">
        <f>Premissas!$B$2*(Premissas!$B$16*B13+Premissas!$B$17*B11+Premissas!$B$18*B10)</f>
        <v>80000</v>
      </c>
      <c r="K13" s="2">
        <f>H12</f>
        <v>12000</v>
      </c>
      <c r="L13" s="2">
        <f>J13+K13</f>
        <v>92000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1800</v>
      </c>
      <c r="P13" s="2">
        <f>I13*Premissas!$B$8</f>
        <v>11040</v>
      </c>
      <c r="Q13" s="2">
        <f>L13*Premissas!$B$9</f>
        <v>4600</v>
      </c>
      <c r="R13" s="2">
        <f>SUM(M13:Q13)</f>
        <v>97640</v>
      </c>
      <c r="S13" s="2">
        <f>L13-R13</f>
        <v>-5640</v>
      </c>
      <c r="T13" s="2">
        <f>T12+S13</f>
        <v>-442480</v>
      </c>
      <c r="U13" s="2">
        <f>H13*(1-Premissas!$B$8-Premissas!$B$9)-O13-M13</f>
        <v>-28840</v>
      </c>
      <c r="V13" s="2">
        <f>F13*Premissas!$B$4*(1+Premissas!$B$5)/3</f>
        <v>240</v>
      </c>
      <c r="W13" s="2">
        <f>E13*Premissas!$B$7</f>
        <v>10</v>
      </c>
      <c r="X13" s="2">
        <f>X12+I13-L13</f>
        <v>12000</v>
      </c>
      <c r="Y13" s="2">
        <f>(E13+F13)*Premissas!$B$14</f>
        <v>20</v>
      </c>
    </row>
    <row r="14">
      <c r="A14" s="2" t="n">
        <v>12</v>
      </c>
      <c r="B14" s="2">
        <f>Agenda!C37</f>
        <v>0</v>
      </c>
      <c r="C14" s="2">
        <f>IF(A14&gt;3,INDEX($B$3:$B$26,A14-3),0)</f>
        <v>0</v>
      </c>
      <c r="D14" s="2">
        <f>Agenda!D37</f>
        <v>0</v>
      </c>
      <c r="E14" s="2">
        <f>E13+C14-D14</f>
        <v>1</v>
      </c>
      <c r="F14" s="2">
        <f>SUM(B12:B14)</f>
        <v>1</v>
      </c>
      <c r="G14" s="2">
        <f>Premissas!$B$2*(Premissas!$B$16*B14+Premissas!$B$17*B13+Premissas!$B$18*B12)</f>
        <v>80000</v>
      </c>
      <c r="H14" s="2">
        <f>E14*Premissas!$B$3</f>
        <v>12000</v>
      </c>
      <c r="I14" s="2">
        <f>G14+H14</f>
        <v>92000</v>
      </c>
      <c r="J14" s="2">
        <f>Premissas!$B$2*(Premissas!$B$16*B14+Premissas!$B$17*B12+Premissas!$B$18*B11)</f>
        <v>0</v>
      </c>
      <c r="K14" s="2">
        <f>H13</f>
        <v>12000</v>
      </c>
      <c r="L14" s="2">
        <f>J14+K14</f>
        <v>12000</v>
      </c>
      <c r="M14" s="2">
        <f>IF(A14&lt;=12,Premissas!$B$10,Premissas!$B$11)</f>
        <v>37000</v>
      </c>
      <c r="N14" s="2">
        <f>V14*Premissas!$B$6</f>
        <v>43200</v>
      </c>
      <c r="O14" s="2">
        <f>W14*Premissas!$B$6</f>
        <v>1800</v>
      </c>
      <c r="P14" s="2">
        <f>I14*Premissas!$B$8</f>
        <v>11040</v>
      </c>
      <c r="Q14" s="2">
        <f>L14*Premissas!$B$9</f>
        <v>600</v>
      </c>
      <c r="R14" s="2">
        <f>SUM(M14:Q14)</f>
        <v>93640</v>
      </c>
      <c r="S14" s="2">
        <f>L14-R14</f>
        <v>-81640</v>
      </c>
      <c r="T14" s="2">
        <f>T13+S14</f>
        <v>-524120</v>
      </c>
      <c r="U14" s="2">
        <f>H14*(1-Premissas!$B$8-Premissas!$B$9)-O14-M14</f>
        <v>-28840</v>
      </c>
      <c r="V14" s="2">
        <f>F14*Premissas!$B$4*(1+Premissas!$B$5)/3</f>
        <v>240</v>
      </c>
      <c r="W14" s="2">
        <f>E14*Premissas!$B$7</f>
        <v>10</v>
      </c>
      <c r="X14" s="2">
        <f>X13+I14-L14</f>
        <v>92000</v>
      </c>
      <c r="Y14" s="2">
        <f>(E14+F14)*Premissas!$B$14</f>
        <v>20</v>
      </c>
    </row>
    <row r="15">
      <c r="A15" s="2" t="n">
        <v>13</v>
      </c>
      <c r="B15" s="2">
        <f>Agenda!C38</f>
        <v>0</v>
      </c>
      <c r="C15" s="2">
        <f>IF(A15&gt;3,INDEX($B$3:$B$26,A15-3),0)</f>
        <v>0</v>
      </c>
      <c r="D15" s="2">
        <f>Agenda!D38</f>
        <v>0</v>
      </c>
      <c r="E15" s="2">
        <f>E14+C15-D15</f>
        <v>1</v>
      </c>
      <c r="F15" s="2">
        <f>SUM(B13:B15)</f>
        <v>1</v>
      </c>
      <c r="G15" s="2">
        <f>Premissas!$B$2*(Premissas!$B$16*B15+Premissas!$B$17*B14+Premissas!$B$18*B13)</f>
        <v>40000</v>
      </c>
      <c r="H15" s="2">
        <f>E15*Premissas!$B$3</f>
        <v>12000</v>
      </c>
      <c r="I15" s="2">
        <f>G15+H15</f>
        <v>52000</v>
      </c>
      <c r="J15" s="2">
        <f>Premissas!$B$2*(Premissas!$B$16*B15+Premissas!$B$17*B13+Premissas!$B$18*B12)</f>
        <v>80000</v>
      </c>
      <c r="K15" s="2">
        <f>H14</f>
        <v>12000</v>
      </c>
      <c r="L15" s="2">
        <f>J15+K15</f>
        <v>92000</v>
      </c>
      <c r="M15" s="2">
        <f>IF(A15&lt;=12,Premissas!$B$10,Premissas!$B$11)</f>
        <v>42000</v>
      </c>
      <c r="N15" s="2">
        <f>V15*Premissas!$B$6</f>
        <v>43200</v>
      </c>
      <c r="O15" s="2">
        <f>W15*Premissas!$B$6</f>
        <v>1800</v>
      </c>
      <c r="P15" s="2">
        <f>I15*Premissas!$B$8</f>
        <v>6240</v>
      </c>
      <c r="Q15" s="2">
        <f>L15*Premissas!$B$9</f>
        <v>4600</v>
      </c>
      <c r="R15" s="2">
        <f>SUM(M15:Q15)</f>
        <v>97840</v>
      </c>
      <c r="S15" s="2">
        <f>L15-R15</f>
        <v>-5840</v>
      </c>
      <c r="T15" s="2">
        <f>T14+S15</f>
        <v>-529960</v>
      </c>
      <c r="U15" s="2">
        <f>H15*(1-Premissas!$B$8-Premissas!$B$9)-O15-M15</f>
        <v>-33840</v>
      </c>
      <c r="V15" s="2">
        <f>F15*Premissas!$B$4*(1+Premissas!$B$5)/3</f>
        <v>240</v>
      </c>
      <c r="W15" s="2">
        <f>E15*Premissas!$B$7</f>
        <v>10</v>
      </c>
      <c r="X15" s="2">
        <f>X14+I15-L15</f>
        <v>52000</v>
      </c>
      <c r="Y15" s="2">
        <f>(E15+F15)*Premissas!$B$14</f>
        <v>20</v>
      </c>
    </row>
    <row r="16">
      <c r="A16" s="2" t="n">
        <v>14</v>
      </c>
      <c r="B16" s="2">
        <f>Agenda!C39</f>
        <v>0</v>
      </c>
      <c r="C16" s="2">
        <f>IF(A16&gt;3,INDEX($B$3:$B$26,A16-3),0)</f>
        <v>1</v>
      </c>
      <c r="D16" s="2">
        <f>Agenda!D39</f>
        <v>0</v>
      </c>
      <c r="E16" s="2">
        <f>E15+C16-D16</f>
        <v>2</v>
      </c>
      <c r="F16" s="2">
        <f>SUM(B14:B16)</f>
        <v>0</v>
      </c>
      <c r="G16" s="2">
        <f>Premissas!$B$2*(Premissas!$B$16*B16+Premissas!$B$17*B15+Premissas!$B$18*B14)</f>
        <v>0</v>
      </c>
      <c r="H16" s="2">
        <f>E16*Premissas!$B$3</f>
        <v>24000</v>
      </c>
      <c r="I16" s="2">
        <f>G16+H16</f>
        <v>24000</v>
      </c>
      <c r="J16" s="2">
        <f>Premissas!$B$2*(Premissas!$B$16*B16+Premissas!$B$17*B14+Premissas!$B$18*B13)</f>
        <v>40000</v>
      </c>
      <c r="K16" s="2">
        <f>H15</f>
        <v>12000</v>
      </c>
      <c r="L16" s="2">
        <f>J16+K16</f>
        <v>52000</v>
      </c>
      <c r="M16" s="2">
        <f>IF(A16&lt;=12,Premissas!$B$10,Premissas!$B$11)</f>
        <v>42000</v>
      </c>
      <c r="N16" s="2">
        <f>V16*Premissas!$B$6</f>
        <v>0</v>
      </c>
      <c r="O16" s="2">
        <f>W16*Premissas!$B$6</f>
        <v>3600</v>
      </c>
      <c r="P16" s="2">
        <f>I16*Premissas!$B$8</f>
        <v>2880</v>
      </c>
      <c r="Q16" s="2">
        <f>L16*Premissas!$B$9</f>
        <v>2600</v>
      </c>
      <c r="R16" s="2">
        <f>SUM(M16:Q16)</f>
        <v>51080</v>
      </c>
      <c r="S16" s="2">
        <f>L16-R16</f>
        <v>919.999999999993</v>
      </c>
      <c r="T16" s="2">
        <f>T15+S16</f>
        <v>-529040</v>
      </c>
      <c r="U16" s="2">
        <f>H16*(1-Premissas!$B$8-Premissas!$B$9)-O16-M16</f>
        <v>-25680</v>
      </c>
      <c r="V16" s="2">
        <f>F16*Premissas!$B$4*(1+Premissas!$B$5)/3</f>
        <v>0</v>
      </c>
      <c r="W16" s="2">
        <f>E16*Premissas!$B$7</f>
        <v>20</v>
      </c>
      <c r="X16" s="2">
        <f>X15+I16-L16</f>
        <v>24000</v>
      </c>
      <c r="Y16" s="2">
        <f>(E16+F16)*Premissas!$B$14</f>
        <v>20</v>
      </c>
    </row>
    <row r="17">
      <c r="A17" s="2" t="n">
        <v>15</v>
      </c>
      <c r="B17" s="2">
        <f>Agenda!C40</f>
        <v>1</v>
      </c>
      <c r="C17" s="2">
        <f>IF(A17&gt;3,INDEX($B$3:$B$26,A17-3),0)</f>
        <v>0</v>
      </c>
      <c r="D17" s="2">
        <f>Agenda!D40</f>
        <v>0</v>
      </c>
      <c r="E17" s="2">
        <f>E16+C17-D17</f>
        <v>2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24000</v>
      </c>
      <c r="I17" s="2">
        <f>G17+H17</f>
        <v>104000</v>
      </c>
      <c r="J17" s="2">
        <f>Premissas!$B$2*(Premissas!$B$16*B17+Premissas!$B$17*B15+Premissas!$B$18*B14)</f>
        <v>80000</v>
      </c>
      <c r="K17" s="2">
        <f>H16</f>
        <v>24000</v>
      </c>
      <c r="L17" s="2">
        <f>J17+K17</f>
        <v>104000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3600</v>
      </c>
      <c r="P17" s="2">
        <f>I17*Premissas!$B$8</f>
        <v>12480</v>
      </c>
      <c r="Q17" s="2">
        <f>L17*Premissas!$B$9</f>
        <v>5200</v>
      </c>
      <c r="R17" s="2">
        <f>SUM(M17:Q17)</f>
        <v>106480</v>
      </c>
      <c r="S17" s="2">
        <f>L17-R17</f>
        <v>-2480</v>
      </c>
      <c r="T17" s="2">
        <f>T16+S17</f>
        <v>-531520</v>
      </c>
      <c r="U17" s="2">
        <f>H17*(1-Premissas!$B$8-Premissas!$B$9)-O17-M17</f>
        <v>-25680</v>
      </c>
      <c r="V17" s="2">
        <f>F17*Premissas!$B$4*(1+Premissas!$B$5)/3</f>
        <v>240</v>
      </c>
      <c r="W17" s="2">
        <f>E17*Premissas!$B$7</f>
        <v>20</v>
      </c>
      <c r="X17" s="2">
        <f>X16+I17-L17</f>
        <v>24000</v>
      </c>
      <c r="Y17" s="2">
        <f>(E17+F17)*Premissas!$B$14</f>
        <v>30</v>
      </c>
    </row>
    <row r="18">
      <c r="A18" s="2" t="n">
        <v>16</v>
      </c>
      <c r="B18" s="2">
        <f>Agenda!C41</f>
        <v>0</v>
      </c>
      <c r="C18" s="2">
        <f>IF(A18&gt;3,INDEX($B$3:$B$26,A18-3),0)</f>
        <v>0</v>
      </c>
      <c r="D18" s="2">
        <f>Agenda!D41</f>
        <v>0</v>
      </c>
      <c r="E18" s="2">
        <f>E17+C18-D18</f>
        <v>2</v>
      </c>
      <c r="F18" s="2">
        <f>SUM(B16:B18)</f>
        <v>1</v>
      </c>
      <c r="G18" s="2">
        <f>Premissas!$B$2*(Premissas!$B$16*B18+Premissas!$B$17*B17+Premissas!$B$18*B16)</f>
        <v>80000</v>
      </c>
      <c r="H18" s="2">
        <f>E18*Premissas!$B$3</f>
        <v>24000</v>
      </c>
      <c r="I18" s="2">
        <f>G18+H18</f>
        <v>104000</v>
      </c>
      <c r="J18" s="2">
        <f>Premissas!$B$2*(Premissas!$B$16*B18+Premissas!$B$17*B16+Premissas!$B$18*B15)</f>
        <v>0</v>
      </c>
      <c r="K18" s="2">
        <f>H17</f>
        <v>24000</v>
      </c>
      <c r="L18" s="2">
        <f>J18+K18</f>
        <v>24000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3600</v>
      </c>
      <c r="P18" s="2">
        <f>I18*Premissas!$B$8</f>
        <v>12480</v>
      </c>
      <c r="Q18" s="2">
        <f>L18*Premissas!$B$9</f>
        <v>1200</v>
      </c>
      <c r="R18" s="2">
        <f>SUM(M18:Q18)</f>
        <v>102480</v>
      </c>
      <c r="S18" s="2">
        <f>L18-R18</f>
        <v>-78480</v>
      </c>
      <c r="T18" s="2">
        <f>T17+S18</f>
        <v>-610000</v>
      </c>
      <c r="U18" s="2">
        <f>H18*(1-Premissas!$B$8-Premissas!$B$9)-O18-M18</f>
        <v>-25680</v>
      </c>
      <c r="V18" s="2">
        <f>F18*Premissas!$B$4*(1+Premissas!$B$5)/3</f>
        <v>240</v>
      </c>
      <c r="W18" s="2">
        <f>E18*Premissas!$B$7</f>
        <v>20</v>
      </c>
      <c r="X18" s="2">
        <f>X17+I18-L18</f>
        <v>104000</v>
      </c>
      <c r="Y18" s="2">
        <f>(E18+F18)*Premissas!$B$14</f>
        <v>30</v>
      </c>
    </row>
    <row r="19">
      <c r="A19" s="2" t="n">
        <v>17</v>
      </c>
      <c r="B19" s="2">
        <f>Agenda!C42</f>
        <v>0</v>
      </c>
      <c r="C19" s="2">
        <f>IF(A19&gt;3,INDEX($B$3:$B$26,A19-3),0)</f>
        <v>0</v>
      </c>
      <c r="D19" s="2">
        <f>Agenda!D42</f>
        <v>0</v>
      </c>
      <c r="E19" s="2">
        <f>E18+C19-D19</f>
        <v>2</v>
      </c>
      <c r="F19" s="2">
        <f>SUM(B17:B19)</f>
        <v>1</v>
      </c>
      <c r="G19" s="2">
        <f>Premissas!$B$2*(Premissas!$B$16*B19+Premissas!$B$17*B18+Premissas!$B$18*B17)</f>
        <v>40000</v>
      </c>
      <c r="H19" s="2">
        <f>E19*Premissas!$B$3</f>
        <v>24000</v>
      </c>
      <c r="I19" s="2">
        <f>G19+H19</f>
        <v>64000</v>
      </c>
      <c r="J19" s="2">
        <f>Premissas!$B$2*(Premissas!$B$16*B19+Premissas!$B$17*B17+Premissas!$B$18*B16)</f>
        <v>80000</v>
      </c>
      <c r="K19" s="2">
        <f>H18</f>
        <v>24000</v>
      </c>
      <c r="L19" s="2">
        <f>J19+K19</f>
        <v>104000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3600</v>
      </c>
      <c r="P19" s="2">
        <f>I19*Premissas!$B$8</f>
        <v>7680</v>
      </c>
      <c r="Q19" s="2">
        <f>L19*Premissas!$B$9</f>
        <v>5200</v>
      </c>
      <c r="R19" s="2">
        <f>SUM(M19:Q19)</f>
        <v>101680</v>
      </c>
      <c r="S19" s="2">
        <f>L19-R19</f>
        <v>2320</v>
      </c>
      <c r="T19" s="2">
        <f>T18+S19</f>
        <v>-607680</v>
      </c>
      <c r="U19" s="2">
        <f>H19*(1-Premissas!$B$8-Premissas!$B$9)-O19-M19</f>
        <v>-25680</v>
      </c>
      <c r="V19" s="2">
        <f>F19*Premissas!$B$4*(1+Premissas!$B$5)/3</f>
        <v>240</v>
      </c>
      <c r="W19" s="2">
        <f>E19*Premissas!$B$7</f>
        <v>20</v>
      </c>
      <c r="X19" s="2">
        <f>X18+I19-L19</f>
        <v>64000</v>
      </c>
      <c r="Y19" s="2">
        <f>(E19+F19)*Premissas!$B$14</f>
        <v>30</v>
      </c>
    </row>
    <row r="20">
      <c r="A20" s="2" t="n">
        <v>18</v>
      </c>
      <c r="B20" s="2">
        <f>Agenda!C43</f>
        <v>0</v>
      </c>
      <c r="C20" s="2">
        <f>IF(A20&gt;3,INDEX($B$3:$B$26,A20-3),0)</f>
        <v>1</v>
      </c>
      <c r="D20" s="2">
        <f>Agenda!D43</f>
        <v>0</v>
      </c>
      <c r="E20" s="2">
        <f>E19+C20-D20</f>
        <v>3</v>
      </c>
      <c r="F20" s="2">
        <f>SUM(B18:B20)</f>
        <v>0</v>
      </c>
      <c r="G20" s="2">
        <f>Premissas!$B$2*(Premissas!$B$16*B20+Premissas!$B$17*B19+Premissas!$B$18*B18)</f>
        <v>0</v>
      </c>
      <c r="H20" s="2">
        <f>E20*Premissas!$B$3</f>
        <v>36000</v>
      </c>
      <c r="I20" s="2">
        <f>G20+H20</f>
        <v>36000</v>
      </c>
      <c r="J20" s="2">
        <f>Premissas!$B$2*(Premissas!$B$16*B20+Premissas!$B$17*B18+Premissas!$B$18*B17)</f>
        <v>40000</v>
      </c>
      <c r="K20" s="2">
        <f>H19</f>
        <v>24000</v>
      </c>
      <c r="L20" s="2">
        <f>J20+K20</f>
        <v>64000</v>
      </c>
      <c r="M20" s="2">
        <f>IF(A20&lt;=12,Premissas!$B$10,Premissas!$B$11)</f>
        <v>42000</v>
      </c>
      <c r="N20" s="2">
        <f>V20*Premissas!$B$6</f>
        <v>0</v>
      </c>
      <c r="O20" s="2">
        <f>W20*Premissas!$B$6</f>
        <v>5400</v>
      </c>
      <c r="P20" s="2">
        <f>I20*Premissas!$B$8</f>
        <v>4320</v>
      </c>
      <c r="Q20" s="2">
        <f>L20*Premissas!$B$9</f>
        <v>3200</v>
      </c>
      <c r="R20" s="2">
        <f>SUM(M20:Q20)</f>
        <v>54920</v>
      </c>
      <c r="S20" s="2">
        <f>L20-R20</f>
        <v>9079.99999999999</v>
      </c>
      <c r="T20" s="2">
        <f>T19+S20</f>
        <v>-598600</v>
      </c>
      <c r="U20" s="2">
        <f>H20*(1-Premissas!$B$8-Premissas!$B$9)-O20-M20</f>
        <v>-17520</v>
      </c>
      <c r="V20" s="2">
        <f>F20*Premissas!$B$4*(1+Premissas!$B$5)/3</f>
        <v>0</v>
      </c>
      <c r="W20" s="2">
        <f>E20*Premissas!$B$7</f>
        <v>30</v>
      </c>
      <c r="X20" s="2">
        <f>X19+I20-L20</f>
        <v>36000</v>
      </c>
      <c r="Y20" s="2">
        <f>(E20+F20)*Premissas!$B$14</f>
        <v>30</v>
      </c>
    </row>
    <row r="21">
      <c r="A21" s="2" t="n">
        <v>19</v>
      </c>
      <c r="B21" s="2">
        <f>Agenda!C44</f>
        <v>1</v>
      </c>
      <c r="C21" s="2">
        <f>IF(A21&gt;3,INDEX($B$3:$B$26,A21-3),0)</f>
        <v>0</v>
      </c>
      <c r="D21" s="2">
        <f>Agenda!D44</f>
        <v>0</v>
      </c>
      <c r="E21" s="2">
        <f>E20+C21-D21</f>
        <v>3</v>
      </c>
      <c r="F21" s="2">
        <f>SUM(B19:B21)</f>
        <v>1</v>
      </c>
      <c r="G21" s="2">
        <f>Premissas!$B$2*(Premissas!$B$16*B21+Premissas!$B$17*B20+Premissas!$B$18*B19)</f>
        <v>80000</v>
      </c>
      <c r="H21" s="2">
        <f>E21*Premissas!$B$3</f>
        <v>36000</v>
      </c>
      <c r="I21" s="2">
        <f>G21+H21</f>
        <v>116000</v>
      </c>
      <c r="J21" s="2">
        <f>Premissas!$B$2*(Premissas!$B$16*B21+Premissas!$B$17*B19+Premissas!$B$18*B18)</f>
        <v>80000</v>
      </c>
      <c r="K21" s="2">
        <f>H20</f>
        <v>36000</v>
      </c>
      <c r="L21" s="2">
        <f>J21+K21</f>
        <v>116000</v>
      </c>
      <c r="M21" s="2">
        <f>IF(A21&lt;=12,Premissas!$B$10,Premissas!$B$11)</f>
        <v>42000</v>
      </c>
      <c r="N21" s="2">
        <f>V21*Premissas!$B$6</f>
        <v>43200</v>
      </c>
      <c r="O21" s="2">
        <f>W21*Premissas!$B$6</f>
        <v>5400</v>
      </c>
      <c r="P21" s="2">
        <f>I21*Premissas!$B$8</f>
        <v>13920</v>
      </c>
      <c r="Q21" s="2">
        <f>L21*Premissas!$B$9</f>
        <v>5800</v>
      </c>
      <c r="R21" s="2">
        <f>SUM(M21:Q21)</f>
        <v>110320</v>
      </c>
      <c r="S21" s="2">
        <f>L21-R21</f>
        <v>5680</v>
      </c>
      <c r="T21" s="2">
        <f>T20+S21</f>
        <v>-592920</v>
      </c>
      <c r="U21" s="2">
        <f>H21*(1-Premissas!$B$8-Premissas!$B$9)-O21-M21</f>
        <v>-17520</v>
      </c>
      <c r="V21" s="2">
        <f>F21*Premissas!$B$4*(1+Premissas!$B$5)/3</f>
        <v>240</v>
      </c>
      <c r="W21" s="2">
        <f>E21*Premissas!$B$7</f>
        <v>30</v>
      </c>
      <c r="X21" s="2">
        <f>X20+I21-L21</f>
        <v>36000</v>
      </c>
      <c r="Y21" s="2">
        <f>(E21+F21)*Premissas!$B$14</f>
        <v>40</v>
      </c>
    </row>
    <row r="22">
      <c r="A22" s="2" t="n">
        <v>20</v>
      </c>
      <c r="B22" s="2">
        <f>Agenda!C45</f>
        <v>0</v>
      </c>
      <c r="C22" s="2">
        <f>IF(A22&gt;3,INDEX($B$3:$B$26,A22-3),0)</f>
        <v>0</v>
      </c>
      <c r="D22" s="2">
        <f>Agenda!D45</f>
        <v>0</v>
      </c>
      <c r="E22" s="2">
        <f>E21+C22-D22</f>
        <v>3</v>
      </c>
      <c r="F22" s="2">
        <f>SUM(B20:B22)</f>
        <v>1</v>
      </c>
      <c r="G22" s="2">
        <f>Premissas!$B$2*(Premissas!$B$16*B22+Premissas!$B$17*B21+Premissas!$B$18*B20)</f>
        <v>80000</v>
      </c>
      <c r="H22" s="2">
        <f>E22*Premissas!$B$3</f>
        <v>36000</v>
      </c>
      <c r="I22" s="2">
        <f>G22+H22</f>
        <v>116000</v>
      </c>
      <c r="J22" s="2">
        <f>Premissas!$B$2*(Premissas!$B$16*B22+Premissas!$B$17*B20+Premissas!$B$18*B19)</f>
        <v>0</v>
      </c>
      <c r="K22" s="2">
        <f>H21</f>
        <v>36000</v>
      </c>
      <c r="L22" s="2">
        <f>J22+K22</f>
        <v>36000</v>
      </c>
      <c r="M22" s="2">
        <f>IF(A22&lt;=12,Premissas!$B$10,Premissas!$B$11)</f>
        <v>42000</v>
      </c>
      <c r="N22" s="2">
        <f>V22*Premissas!$B$6</f>
        <v>43200</v>
      </c>
      <c r="O22" s="2">
        <f>W22*Premissas!$B$6</f>
        <v>5400</v>
      </c>
      <c r="P22" s="2">
        <f>I22*Premissas!$B$8</f>
        <v>13920</v>
      </c>
      <c r="Q22" s="2">
        <f>L22*Premissas!$B$9</f>
        <v>1800</v>
      </c>
      <c r="R22" s="2">
        <f>SUM(M22:Q22)</f>
        <v>106320</v>
      </c>
      <c r="S22" s="2">
        <f>L22-R22</f>
        <v>-70320</v>
      </c>
      <c r="T22" s="2">
        <f>T21+S22</f>
        <v>-663240</v>
      </c>
      <c r="U22" s="2">
        <f>H22*(1-Premissas!$B$8-Premissas!$B$9)-O22-M22</f>
        <v>-17520</v>
      </c>
      <c r="V22" s="2">
        <f>F22*Premissas!$B$4*(1+Premissas!$B$5)/3</f>
        <v>240</v>
      </c>
      <c r="W22" s="2">
        <f>E22*Premissas!$B$7</f>
        <v>30</v>
      </c>
      <c r="X22" s="2">
        <f>X21+I22-L22</f>
        <v>116000</v>
      </c>
      <c r="Y22" s="2">
        <f>(E22+F22)*Premissas!$B$14</f>
        <v>40</v>
      </c>
    </row>
    <row r="23">
      <c r="A23" s="2" t="n">
        <v>21</v>
      </c>
      <c r="B23" s="2">
        <f>Agenda!C46</f>
        <v>0</v>
      </c>
      <c r="C23" s="2">
        <f>IF(A23&gt;3,INDEX($B$3:$B$26,A23-3),0)</f>
        <v>0</v>
      </c>
      <c r="D23" s="2">
        <f>Agenda!D46</f>
        <v>0</v>
      </c>
      <c r="E23" s="2">
        <f>E22+C23-D23</f>
        <v>3</v>
      </c>
      <c r="F23" s="2">
        <f>SUM(B21:B23)</f>
        <v>1</v>
      </c>
      <c r="G23" s="2">
        <f>Premissas!$B$2*(Premissas!$B$16*B23+Premissas!$B$17*B22+Premissas!$B$18*B21)</f>
        <v>40000</v>
      </c>
      <c r="H23" s="2">
        <f>E23*Premissas!$B$3</f>
        <v>36000</v>
      </c>
      <c r="I23" s="2">
        <f>G23+H23</f>
        <v>76000</v>
      </c>
      <c r="J23" s="2">
        <f>Premissas!$B$2*(Premissas!$B$16*B23+Premissas!$B$17*B21+Premissas!$B$18*B20)</f>
        <v>80000</v>
      </c>
      <c r="K23" s="2">
        <f>H22</f>
        <v>36000</v>
      </c>
      <c r="L23" s="2">
        <f>J23+K23</f>
        <v>116000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5400</v>
      </c>
      <c r="P23" s="2">
        <f>I23*Premissas!$B$8</f>
        <v>9120</v>
      </c>
      <c r="Q23" s="2">
        <f>L23*Premissas!$B$9</f>
        <v>5800</v>
      </c>
      <c r="R23" s="2">
        <f>SUM(M23:Q23)</f>
        <v>105520</v>
      </c>
      <c r="S23" s="2">
        <f>L23-R23</f>
        <v>10480</v>
      </c>
      <c r="T23" s="2">
        <f>T22+S23</f>
        <v>-652760</v>
      </c>
      <c r="U23" s="2">
        <f>H23*(1-Premissas!$B$8-Premissas!$B$9)-O23-M23</f>
        <v>-17520</v>
      </c>
      <c r="V23" s="2">
        <f>F23*Premissas!$B$4*(1+Premissas!$B$5)/3</f>
        <v>240</v>
      </c>
      <c r="W23" s="2">
        <f>E23*Premissas!$B$7</f>
        <v>30</v>
      </c>
      <c r="X23" s="2">
        <f>X22+I23-L23</f>
        <v>76000</v>
      </c>
      <c r="Y23" s="2">
        <f>(E23+F23)*Premissas!$B$14</f>
        <v>40</v>
      </c>
    </row>
    <row r="24">
      <c r="A24" s="2" t="n">
        <v>22</v>
      </c>
      <c r="B24" s="2">
        <f>Agenda!C47</f>
        <v>0</v>
      </c>
      <c r="C24" s="2">
        <f>IF(A24&gt;3,INDEX($B$3:$B$26,A24-3),0)</f>
        <v>1</v>
      </c>
      <c r="D24" s="2">
        <f>Agenda!D47</f>
        <v>1</v>
      </c>
      <c r="E24" s="2">
        <f>E23+C24-D24</f>
        <v>3</v>
      </c>
      <c r="F24" s="2">
        <f>SUM(B22:B24)</f>
        <v>0</v>
      </c>
      <c r="G24" s="2">
        <f>Premissas!$B$2*(Premissas!$B$16*B24+Premissas!$B$17*B23+Premissas!$B$18*B22)</f>
        <v>0</v>
      </c>
      <c r="H24" s="2">
        <f>E24*Premissas!$B$3</f>
        <v>36000</v>
      </c>
      <c r="I24" s="2">
        <f>G24+H24</f>
        <v>36000</v>
      </c>
      <c r="J24" s="2">
        <f>Premissas!$B$2*(Premissas!$B$16*B24+Premissas!$B$17*B22+Premissas!$B$18*B21)</f>
        <v>40000</v>
      </c>
      <c r="K24" s="2">
        <f>H23</f>
        <v>36000</v>
      </c>
      <c r="L24" s="2">
        <f>J24+K24</f>
        <v>76000</v>
      </c>
      <c r="M24" s="2">
        <f>IF(A24&lt;=12,Premissas!$B$10,Premissas!$B$11)</f>
        <v>42000</v>
      </c>
      <c r="N24" s="2">
        <f>V24*Premissas!$B$6</f>
        <v>0</v>
      </c>
      <c r="O24" s="2">
        <f>W24*Premissas!$B$6</f>
        <v>5400</v>
      </c>
      <c r="P24" s="2">
        <f>I24*Premissas!$B$8</f>
        <v>4320</v>
      </c>
      <c r="Q24" s="2">
        <f>L24*Premissas!$B$9</f>
        <v>3800</v>
      </c>
      <c r="R24" s="2">
        <f>SUM(M24:Q24)</f>
        <v>55520</v>
      </c>
      <c r="S24" s="2">
        <f>L24-R24</f>
        <v>20480</v>
      </c>
      <c r="T24" s="2">
        <f>T23+S24</f>
        <v>-632280</v>
      </c>
      <c r="U24" s="2">
        <f>H24*(1-Premissas!$B$8-Premissas!$B$9)-O24-M24</f>
        <v>-17520</v>
      </c>
      <c r="V24" s="2">
        <f>F24*Premissas!$B$4*(1+Premissas!$B$5)/3</f>
        <v>0</v>
      </c>
      <c r="W24" s="2">
        <f>E24*Premissas!$B$7</f>
        <v>30</v>
      </c>
      <c r="X24" s="2">
        <f>X23+I24-L24</f>
        <v>36000</v>
      </c>
      <c r="Y24" s="2">
        <f>(E24+F24)*Premissas!$B$14</f>
        <v>30</v>
      </c>
    </row>
    <row r="25">
      <c r="A25" s="2" t="n">
        <v>23</v>
      </c>
      <c r="B25" s="2">
        <f>Agenda!C48</f>
        <v>1</v>
      </c>
      <c r="C25" s="2">
        <f>IF(A25&gt;3,INDEX($B$3:$B$26,A25-3),0)</f>
        <v>0</v>
      </c>
      <c r="D25" s="2">
        <f>Agenda!D48</f>
        <v>0</v>
      </c>
      <c r="E25" s="2">
        <f>E24+C25-D25</f>
        <v>3</v>
      </c>
      <c r="F25" s="2">
        <f>SUM(B23:B25)</f>
        <v>1</v>
      </c>
      <c r="G25" s="2">
        <f>Premissas!$B$2*(Premissas!$B$16*B25+Premissas!$B$17*B24+Premissas!$B$18*B23)</f>
        <v>80000</v>
      </c>
      <c r="H25" s="2">
        <f>E25*Premissas!$B$3</f>
        <v>36000</v>
      </c>
      <c r="I25" s="2">
        <f>G25+H25</f>
        <v>116000</v>
      </c>
      <c r="J25" s="2">
        <f>Premissas!$B$2*(Premissas!$B$16*B25+Premissas!$B$17*B23+Premissas!$B$18*B22)</f>
        <v>80000</v>
      </c>
      <c r="K25" s="2">
        <f>H24</f>
        <v>36000</v>
      </c>
      <c r="L25" s="2">
        <f>J25+K25</f>
        <v>116000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5400</v>
      </c>
      <c r="P25" s="2">
        <f>I25*Premissas!$B$8</f>
        <v>13920</v>
      </c>
      <c r="Q25" s="2">
        <f>L25*Premissas!$B$9</f>
        <v>5800</v>
      </c>
      <c r="R25" s="2">
        <f>SUM(M25:Q25)</f>
        <v>110320</v>
      </c>
      <c r="S25" s="2">
        <f>L25-R25</f>
        <v>5680</v>
      </c>
      <c r="T25" s="2">
        <f>T24+S25</f>
        <v>-626600</v>
      </c>
      <c r="U25" s="2">
        <f>H25*(1-Premissas!$B$8-Premissas!$B$9)-O25-M25</f>
        <v>-17520</v>
      </c>
      <c r="V25" s="2">
        <f>F25*Premissas!$B$4*(1+Premissas!$B$5)/3</f>
        <v>240</v>
      </c>
      <c r="W25" s="2">
        <f>E25*Premissas!$B$7</f>
        <v>30</v>
      </c>
      <c r="X25" s="2">
        <f>X24+I25-L25</f>
        <v>36000</v>
      </c>
      <c r="Y25" s="2">
        <f>(E25+F25)*Premissas!$B$14</f>
        <v>40</v>
      </c>
    </row>
    <row r="26">
      <c r="A26" s="2" t="n">
        <v>24</v>
      </c>
      <c r="B26" s="2">
        <f>Agenda!C49</f>
        <v>0</v>
      </c>
      <c r="C26" s="2">
        <f>IF(A26&gt;3,INDEX($B$3:$B$26,A26-3),0)</f>
        <v>0</v>
      </c>
      <c r="D26" s="2">
        <f>Agenda!D49</f>
        <v>0</v>
      </c>
      <c r="E26" s="2">
        <f>E25+C26-D26</f>
        <v>3</v>
      </c>
      <c r="F26" s="2">
        <f>SUM(B24:B26)</f>
        <v>1</v>
      </c>
      <c r="G26" s="2">
        <f>Premissas!$B$2*(Premissas!$B$16*B26+Premissas!$B$17*B25+Premissas!$B$18*B24)</f>
        <v>80000</v>
      </c>
      <c r="H26" s="2">
        <f>E26*Premissas!$B$3</f>
        <v>36000</v>
      </c>
      <c r="I26" s="2">
        <f>G26+H26</f>
        <v>116000</v>
      </c>
      <c r="J26" s="2">
        <f>Premissas!$B$2*(Premissas!$B$16*B26+Premissas!$B$17*B24+Premissas!$B$18*B23)</f>
        <v>0</v>
      </c>
      <c r="K26" s="2">
        <f>H25</f>
        <v>36000</v>
      </c>
      <c r="L26" s="2">
        <f>J26+K26</f>
        <v>36000</v>
      </c>
      <c r="M26" s="2">
        <f>IF(A26&lt;=12,Premissas!$B$10,Premissas!$B$11)</f>
        <v>42000</v>
      </c>
      <c r="N26" s="2">
        <f>V26*Premissas!$B$6</f>
        <v>43200</v>
      </c>
      <c r="O26" s="2">
        <f>W26*Premissas!$B$6</f>
        <v>5400</v>
      </c>
      <c r="P26" s="2">
        <f>I26*Premissas!$B$8</f>
        <v>13920</v>
      </c>
      <c r="Q26" s="2">
        <f>L26*Premissas!$B$9</f>
        <v>1800</v>
      </c>
      <c r="R26" s="2">
        <f>SUM(M26:Q26)</f>
        <v>106320</v>
      </c>
      <c r="S26" s="2">
        <f>L26-R26</f>
        <v>-70320</v>
      </c>
      <c r="T26" s="2">
        <f>T25+S26</f>
        <v>-696920</v>
      </c>
      <c r="U26" s="2">
        <f>H26*(1-Premissas!$B$8-Premissas!$B$9)-O26-M26</f>
        <v>-17520</v>
      </c>
      <c r="V26" s="2">
        <f>F26*Premissas!$B$4*(1+Premissas!$B$5)/3</f>
        <v>240</v>
      </c>
      <c r="W26" s="2">
        <f>E26*Premissas!$B$7</f>
        <v>30</v>
      </c>
      <c r="X26" s="2">
        <f>X25+I26-L26</f>
        <v>116000</v>
      </c>
      <c r="Y26" s="2">
        <f>(E26+F26)*Premissas!$B$14</f>
        <v>40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6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46" customHeight="1">
      <c r="A1" s="1" t="inlineStr">
        <is>
          <t>Mês</t>
        </is>
      </c>
      <c r="B1" s="1" t="inlineStr">
        <is>
          <t>Novas implantações</t>
        </is>
      </c>
      <c r="C1" s="1" t="inlineStr">
        <is>
          <t>Novas assinaturas</t>
        </is>
      </c>
      <c r="D1" s="1" t="inlineStr">
        <is>
          <t>Saídas</t>
        </is>
      </c>
      <c r="E1" s="1" t="inlineStr">
        <is>
          <t>Assinantes ativos</t>
        </is>
      </c>
      <c r="F1" s="1" t="inlineStr">
        <is>
          <t>Implantações em curso</t>
        </is>
      </c>
      <c r="G1" s="1" t="inlineStr">
        <is>
          <t>Setup faturado</t>
        </is>
      </c>
      <c r="H1" s="1" t="inlineStr">
        <is>
          <t>Assinatura faturada</t>
        </is>
      </c>
      <c r="I1" s="1" t="inlineStr">
        <is>
          <t>Faturamento total</t>
        </is>
      </c>
      <c r="J1" s="1" t="inlineStr">
        <is>
          <t>Setup recebido</t>
        </is>
      </c>
      <c r="K1" s="1" t="inlineStr">
        <is>
          <t>Assinatura recebida</t>
        </is>
      </c>
      <c r="L1" s="1" t="inlineStr">
        <is>
          <t>Recebimentos totais</t>
        </is>
      </c>
      <c r="M1" s="1" t="inlineStr">
        <is>
          <t>Fixo</t>
        </is>
      </c>
      <c r="N1" s="1" t="inlineStr">
        <is>
          <t>Custo implantação</t>
        </is>
      </c>
      <c r="O1" s="1" t="inlineStr">
        <is>
          <t>Custo curadoria</t>
        </is>
      </c>
      <c r="P1" s="1" t="inlineStr">
        <is>
          <t>Provisão tributos</t>
        </is>
      </c>
      <c r="Q1" s="1" t="inlineStr">
        <is>
          <t>Reserva comercial</t>
        </is>
      </c>
      <c r="R1" s="1" t="inlineStr">
        <is>
          <t>Saídas totais</t>
        </is>
      </c>
      <c r="S1" s="1" t="inlineStr">
        <is>
          <t>Caixa mensal</t>
        </is>
      </c>
      <c r="T1" s="1" t="inlineStr">
        <is>
          <t>Acumulado sem aporte</t>
        </is>
      </c>
      <c r="U1" s="1" t="inlineStr">
        <is>
          <t>Resultado recorrente pré-depreciação</t>
        </is>
      </c>
      <c r="V1" s="1" t="inlineStr">
        <is>
          <t>Horas implantação</t>
        </is>
      </c>
      <c r="W1" s="1" t="inlineStr">
        <is>
          <t>Horas curadoria</t>
        </is>
      </c>
      <c r="X1" s="1" t="inlineStr">
        <is>
          <t>Contas a receber</t>
        </is>
      </c>
      <c r="Y1" s="1" t="inlineStr">
        <is>
          <t>Pessoas com acesso</t>
        </is>
      </c>
    </row>
    <row r="2">
      <c r="A2" s="2" t="n">
        <v>0</v>
      </c>
      <c r="B2" s="2" t="n">
        <v>0</v>
      </c>
      <c r="C2" s="2" t="n">
        <v>0</v>
      </c>
      <c r="D2" s="2" t="n">
        <v>0</v>
      </c>
      <c r="E2" s="2" t="n">
        <v>0</v>
      </c>
      <c r="F2" s="2" t="n">
        <v>0</v>
      </c>
      <c r="G2" s="2" t="n">
        <v>0</v>
      </c>
      <c r="H2" s="2" t="n">
        <v>0</v>
      </c>
      <c r="I2" s="2" t="n">
        <v>0</v>
      </c>
      <c r="J2" s="2" t="n">
        <v>0</v>
      </c>
      <c r="K2" s="2" t="n">
        <v>0</v>
      </c>
      <c r="L2" s="2" t="n">
        <v>0</v>
      </c>
      <c r="M2" s="2" t="n">
        <v>0</v>
      </c>
      <c r="N2" s="2" t="n">
        <v>0</v>
      </c>
      <c r="O2" s="2" t="n">
        <v>0</v>
      </c>
      <c r="P2" s="2" t="n">
        <v>0</v>
      </c>
      <c r="Q2" s="2" t="n">
        <v>0</v>
      </c>
      <c r="R2" s="2">
        <f>Infraestrutura!D15</f>
        <v>100000</v>
      </c>
      <c r="S2" s="2">
        <f>-R2</f>
        <v>-100000</v>
      </c>
      <c r="T2" s="2">
        <f>S2</f>
        <v>-100000</v>
      </c>
      <c r="U2" s="2" t="n">
        <v>0</v>
      </c>
      <c r="V2" s="2" t="n">
        <v>0</v>
      </c>
      <c r="W2" s="2" t="n">
        <v>0</v>
      </c>
      <c r="X2" s="2" t="n">
        <v>0</v>
      </c>
      <c r="Y2" s="2" t="n">
        <v>0</v>
      </c>
    </row>
    <row r="3">
      <c r="A3" s="2" t="n">
        <v>1</v>
      </c>
      <c r="B3" s="2">
        <f>Agenda!C50</f>
        <v>0</v>
      </c>
      <c r="C3" s="2">
        <f>IF(A3&gt;3,INDEX($B$3:$B$26,A3-3),0)</f>
        <v>0</v>
      </c>
      <c r="D3" s="2">
        <f>Agenda!D50</f>
        <v>0</v>
      </c>
      <c r="E3" s="2">
        <f>E2+C3-D3</f>
        <v>0</v>
      </c>
      <c r="F3" s="2">
        <f>SUM(B3:B3)</f>
        <v>0</v>
      </c>
      <c r="G3" s="2">
        <f>Premissas!$B$2*(Premissas!$B$16*B3+Premissas!$B$17*0+Premissas!$B$18*0)</f>
        <v>0</v>
      </c>
      <c r="H3" s="2">
        <f>E3*Premissas!$B$3</f>
        <v>0</v>
      </c>
      <c r="I3" s="2">
        <f>G3+H3</f>
        <v>0</v>
      </c>
      <c r="J3" s="2">
        <f>Premissas!$B$2*(Premissas!$B$16*B3+Premissas!$B$17*0+Premissas!$B$18*0)</f>
        <v>0</v>
      </c>
      <c r="K3" s="2">
        <f>H2</f>
        <v>0</v>
      </c>
      <c r="L3" s="2">
        <f>J3+K3</f>
        <v>0</v>
      </c>
      <c r="M3" s="2">
        <f>IF(A3&lt;=12,Premissas!$B$10,Premissas!$B$11)</f>
        <v>37000</v>
      </c>
      <c r="N3" s="2">
        <f>V3*Premissas!$B$6</f>
        <v>0</v>
      </c>
      <c r="O3" s="2">
        <f>W3*Premissas!$B$6</f>
        <v>0</v>
      </c>
      <c r="P3" s="2">
        <f>I3*Premissas!$B$8</f>
        <v>0</v>
      </c>
      <c r="Q3" s="2">
        <f>L3*Premissas!$B$9</f>
        <v>0</v>
      </c>
      <c r="R3" s="2">
        <f>SUM(M3:Q3)</f>
        <v>37000</v>
      </c>
      <c r="S3" s="2">
        <f>L3-R3</f>
        <v>-37000</v>
      </c>
      <c r="T3" s="2">
        <f>T2+S3</f>
        <v>-137000</v>
      </c>
      <c r="U3" s="2">
        <f>H3*(1-Premissas!$B$8-Premissas!$B$9)-O3-M3</f>
        <v>-37000</v>
      </c>
      <c r="V3" s="2">
        <f>F3*Premissas!$B$4*(1+Premissas!$B$5)/3</f>
        <v>0</v>
      </c>
      <c r="W3" s="2">
        <f>E3*Premissas!$B$7</f>
        <v>0</v>
      </c>
      <c r="X3" s="2">
        <f>X2+I3-L3</f>
        <v>0</v>
      </c>
      <c r="Y3" s="2">
        <f>(E3+F3)*Premissas!$B$14</f>
        <v>0</v>
      </c>
    </row>
    <row r="4">
      <c r="A4" s="2" t="n">
        <v>2</v>
      </c>
      <c r="B4" s="2">
        <f>Agenda!C51</f>
        <v>0</v>
      </c>
      <c r="C4" s="2">
        <f>IF(A4&gt;3,INDEX($B$3:$B$26,A4-3),0)</f>
        <v>0</v>
      </c>
      <c r="D4" s="2">
        <f>Agenda!D51</f>
        <v>0</v>
      </c>
      <c r="E4" s="2">
        <f>E3+C4-D4</f>
        <v>0</v>
      </c>
      <c r="F4" s="2">
        <f>SUM(B3:B4)</f>
        <v>0</v>
      </c>
      <c r="G4" s="2">
        <f>Premissas!$B$2*(Premissas!$B$16*B4+Premissas!$B$17*B3+Premissas!$B$18*0)</f>
        <v>0</v>
      </c>
      <c r="H4" s="2">
        <f>E4*Premissas!$B$3</f>
        <v>0</v>
      </c>
      <c r="I4" s="2">
        <f>G4+H4</f>
        <v>0</v>
      </c>
      <c r="J4" s="2">
        <f>Premissas!$B$2*(Premissas!$B$16*B4+Premissas!$B$17*0+Premissas!$B$18*0)</f>
        <v>0</v>
      </c>
      <c r="K4" s="2">
        <f>H3</f>
        <v>0</v>
      </c>
      <c r="L4" s="2">
        <f>J4+K4</f>
        <v>0</v>
      </c>
      <c r="M4" s="2">
        <f>IF(A4&lt;=12,Premissas!$B$10,Premissas!$B$11)</f>
        <v>37000</v>
      </c>
      <c r="N4" s="2">
        <f>V4*Premissas!$B$6</f>
        <v>0</v>
      </c>
      <c r="O4" s="2">
        <f>W4*Premissas!$B$6</f>
        <v>0</v>
      </c>
      <c r="P4" s="2">
        <f>I4*Premissas!$B$8</f>
        <v>0</v>
      </c>
      <c r="Q4" s="2">
        <f>L4*Premissas!$B$9</f>
        <v>0</v>
      </c>
      <c r="R4" s="2">
        <f>SUM(M4:Q4)</f>
        <v>37000</v>
      </c>
      <c r="S4" s="2">
        <f>L4-R4</f>
        <v>-37000</v>
      </c>
      <c r="T4" s="2">
        <f>T3+S4</f>
        <v>-174000</v>
      </c>
      <c r="U4" s="2">
        <f>H4*(1-Premissas!$B$8-Premissas!$B$9)-O4-M4</f>
        <v>-37000</v>
      </c>
      <c r="V4" s="2">
        <f>F4*Premissas!$B$4*(1+Premissas!$B$5)/3</f>
        <v>0</v>
      </c>
      <c r="W4" s="2">
        <f>E4*Premissas!$B$7</f>
        <v>0</v>
      </c>
      <c r="X4" s="2">
        <f>X3+I4-L4</f>
        <v>0</v>
      </c>
      <c r="Y4" s="2">
        <f>(E4+F4)*Premissas!$B$14</f>
        <v>0</v>
      </c>
    </row>
    <row r="5">
      <c r="A5" s="2" t="n">
        <v>3</v>
      </c>
      <c r="B5" s="2">
        <f>Agenda!C52</f>
        <v>0</v>
      </c>
      <c r="C5" s="2">
        <f>IF(A5&gt;3,INDEX($B$3:$B$26,A5-3),0)</f>
        <v>0</v>
      </c>
      <c r="D5" s="2">
        <f>Agenda!D52</f>
        <v>0</v>
      </c>
      <c r="E5" s="2">
        <f>E4+C5-D5</f>
        <v>0</v>
      </c>
      <c r="F5" s="2">
        <f>SUM(B3:B5)</f>
        <v>0</v>
      </c>
      <c r="G5" s="2">
        <f>Premissas!$B$2*(Premissas!$B$16*B5+Premissas!$B$17*B4+Premissas!$B$18*B3)</f>
        <v>0</v>
      </c>
      <c r="H5" s="2">
        <f>E5*Premissas!$B$3</f>
        <v>0</v>
      </c>
      <c r="I5" s="2">
        <f>G5+H5</f>
        <v>0</v>
      </c>
      <c r="J5" s="2">
        <f>Premissas!$B$2*(Premissas!$B$16*B5+Premissas!$B$17*B3+Premissas!$B$18*0)</f>
        <v>0</v>
      </c>
      <c r="K5" s="2">
        <f>H4</f>
        <v>0</v>
      </c>
      <c r="L5" s="2">
        <f>J5+K5</f>
        <v>0</v>
      </c>
      <c r="M5" s="2">
        <f>IF(A5&lt;=12,Premissas!$B$10,Premissas!$B$11)</f>
        <v>37000</v>
      </c>
      <c r="N5" s="2">
        <f>V5*Premissas!$B$6</f>
        <v>0</v>
      </c>
      <c r="O5" s="2">
        <f>W5*Premissas!$B$6</f>
        <v>0</v>
      </c>
      <c r="P5" s="2">
        <f>I5*Premissas!$B$8</f>
        <v>0</v>
      </c>
      <c r="Q5" s="2">
        <f>L5*Premissas!$B$9</f>
        <v>0</v>
      </c>
      <c r="R5" s="2">
        <f>SUM(M5:Q5)</f>
        <v>37000</v>
      </c>
      <c r="S5" s="2">
        <f>L5-R5</f>
        <v>-37000</v>
      </c>
      <c r="T5" s="2">
        <f>T4+S5</f>
        <v>-211000</v>
      </c>
      <c r="U5" s="2">
        <f>H5*(1-Premissas!$B$8-Premissas!$B$9)-O5-M5</f>
        <v>-37000</v>
      </c>
      <c r="V5" s="2">
        <f>F5*Premissas!$B$4*(1+Premissas!$B$5)/3</f>
        <v>0</v>
      </c>
      <c r="W5" s="2">
        <f>E5*Premissas!$B$7</f>
        <v>0</v>
      </c>
      <c r="X5" s="2">
        <f>X4+I5-L5</f>
        <v>0</v>
      </c>
      <c r="Y5" s="2">
        <f>(E5+F5)*Premissas!$B$14</f>
        <v>0</v>
      </c>
    </row>
    <row r="6">
      <c r="A6" s="2" t="n">
        <v>4</v>
      </c>
      <c r="B6" s="2">
        <f>Agenda!C53</f>
        <v>0</v>
      </c>
      <c r="C6" s="2">
        <f>IF(A6&gt;3,INDEX($B$3:$B$26,A6-3),0)</f>
        <v>0</v>
      </c>
      <c r="D6" s="2">
        <f>Agenda!D53</f>
        <v>0</v>
      </c>
      <c r="E6" s="2">
        <f>E5+C6-D6</f>
        <v>0</v>
      </c>
      <c r="F6" s="2">
        <f>SUM(B4:B6)</f>
        <v>0</v>
      </c>
      <c r="G6" s="2">
        <f>Premissas!$B$2*(Premissas!$B$16*B6+Premissas!$B$17*B5+Premissas!$B$18*B4)</f>
        <v>0</v>
      </c>
      <c r="H6" s="2">
        <f>E6*Premissas!$B$3</f>
        <v>0</v>
      </c>
      <c r="I6" s="2">
        <f>G6+H6</f>
        <v>0</v>
      </c>
      <c r="J6" s="2">
        <f>Premissas!$B$2*(Premissas!$B$16*B6+Premissas!$B$17*B4+Premissas!$B$18*B3)</f>
        <v>0</v>
      </c>
      <c r="K6" s="2">
        <f>H5</f>
        <v>0</v>
      </c>
      <c r="L6" s="2">
        <f>J6+K6</f>
        <v>0</v>
      </c>
      <c r="M6" s="2">
        <f>IF(A6&lt;=12,Premissas!$B$10,Premissas!$B$11)</f>
        <v>37000</v>
      </c>
      <c r="N6" s="2">
        <f>V6*Premissas!$B$6</f>
        <v>0</v>
      </c>
      <c r="O6" s="2">
        <f>W6*Premissas!$B$6</f>
        <v>0</v>
      </c>
      <c r="P6" s="2">
        <f>I6*Premissas!$B$8</f>
        <v>0</v>
      </c>
      <c r="Q6" s="2">
        <f>L6*Premissas!$B$9</f>
        <v>0</v>
      </c>
      <c r="R6" s="2">
        <f>SUM(M6:Q6)</f>
        <v>37000</v>
      </c>
      <c r="S6" s="2">
        <f>L6-R6</f>
        <v>-37000</v>
      </c>
      <c r="T6" s="2">
        <f>T5+S6</f>
        <v>-248000</v>
      </c>
      <c r="U6" s="2">
        <f>H6*(1-Premissas!$B$8-Premissas!$B$9)-O6-M6</f>
        <v>-37000</v>
      </c>
      <c r="V6" s="2">
        <f>F6*Premissas!$B$4*(1+Premissas!$B$5)/3</f>
        <v>0</v>
      </c>
      <c r="W6" s="2">
        <f>E6*Premissas!$B$7</f>
        <v>0</v>
      </c>
      <c r="X6" s="2">
        <f>X5+I6-L6</f>
        <v>0</v>
      </c>
      <c r="Y6" s="2">
        <f>(E6+F6)*Premissas!$B$14</f>
        <v>0</v>
      </c>
    </row>
    <row r="7">
      <c r="A7" s="2" t="n">
        <v>5</v>
      </c>
      <c r="B7" s="2">
        <f>Agenda!C54</f>
        <v>1</v>
      </c>
      <c r="C7" s="2">
        <f>IF(A7&gt;3,INDEX($B$3:$B$26,A7-3),0)</f>
        <v>0</v>
      </c>
      <c r="D7" s="2">
        <f>Agenda!D54</f>
        <v>0</v>
      </c>
      <c r="E7" s="2">
        <f>E6+C7-D7</f>
        <v>0</v>
      </c>
      <c r="F7" s="2">
        <f>SUM(B5:B7)</f>
        <v>1</v>
      </c>
      <c r="G7" s="2">
        <f>Premissas!$B$2*(Premissas!$B$16*B7+Premissas!$B$17*B6+Premissas!$B$18*B5)</f>
        <v>80000</v>
      </c>
      <c r="H7" s="2">
        <f>E7*Premissas!$B$3</f>
        <v>0</v>
      </c>
      <c r="I7" s="2">
        <f>G7+H7</f>
        <v>80000</v>
      </c>
      <c r="J7" s="2">
        <f>Premissas!$B$2*(Premissas!$B$16*B7+Premissas!$B$17*B5+Premissas!$B$18*B4)</f>
        <v>80000</v>
      </c>
      <c r="K7" s="2">
        <f>H6</f>
        <v>0</v>
      </c>
      <c r="L7" s="2">
        <f>J7+K7</f>
        <v>80000</v>
      </c>
      <c r="M7" s="2">
        <f>IF(A7&lt;=12,Premissas!$B$10,Premissas!$B$11)</f>
        <v>37000</v>
      </c>
      <c r="N7" s="2">
        <f>V7*Premissas!$B$6</f>
        <v>43200</v>
      </c>
      <c r="O7" s="2">
        <f>W7*Premissas!$B$6</f>
        <v>0</v>
      </c>
      <c r="P7" s="2">
        <f>I7*Premissas!$B$8</f>
        <v>9600</v>
      </c>
      <c r="Q7" s="2">
        <f>L7*Premissas!$B$9</f>
        <v>4000</v>
      </c>
      <c r="R7" s="2">
        <f>SUM(M7:Q7)</f>
        <v>93800</v>
      </c>
      <c r="S7" s="2">
        <f>L7-R7</f>
        <v>-13800</v>
      </c>
      <c r="T7" s="2">
        <f>T6+S7</f>
        <v>-261800</v>
      </c>
      <c r="U7" s="2">
        <f>H7*(1-Premissas!$B$8-Premissas!$B$9)-O7-M7</f>
        <v>-37000</v>
      </c>
      <c r="V7" s="2">
        <f>F7*Premissas!$B$4*(1+Premissas!$B$5)/3</f>
        <v>240</v>
      </c>
      <c r="W7" s="2">
        <f>E7*Premissas!$B$7</f>
        <v>0</v>
      </c>
      <c r="X7" s="2">
        <f>X6+I7-L7</f>
        <v>0</v>
      </c>
      <c r="Y7" s="2">
        <f>(E7+F7)*Premissas!$B$14</f>
        <v>10</v>
      </c>
    </row>
    <row r="8">
      <c r="A8" s="2" t="n">
        <v>6</v>
      </c>
      <c r="B8" s="2">
        <f>Agenda!C55</f>
        <v>0</v>
      </c>
      <c r="C8" s="2">
        <f>IF(A8&gt;3,INDEX($B$3:$B$26,A8-3),0)</f>
        <v>0</v>
      </c>
      <c r="D8" s="2">
        <f>Agenda!D55</f>
        <v>0</v>
      </c>
      <c r="E8" s="2">
        <f>E7+C8-D8</f>
        <v>0</v>
      </c>
      <c r="F8" s="2">
        <f>SUM(B6:B8)</f>
        <v>1</v>
      </c>
      <c r="G8" s="2">
        <f>Premissas!$B$2*(Premissas!$B$16*B8+Premissas!$B$17*B7+Premissas!$B$18*B6)</f>
        <v>80000</v>
      </c>
      <c r="H8" s="2">
        <f>E8*Premissas!$B$3</f>
        <v>0</v>
      </c>
      <c r="I8" s="2">
        <f>G8+H8</f>
        <v>80000</v>
      </c>
      <c r="J8" s="2">
        <f>Premissas!$B$2*(Premissas!$B$16*B8+Premissas!$B$17*B6+Premissas!$B$18*B5)</f>
        <v>0</v>
      </c>
      <c r="K8" s="2">
        <f>H7</f>
        <v>0</v>
      </c>
      <c r="L8" s="2">
        <f>J8+K8</f>
        <v>0</v>
      </c>
      <c r="M8" s="2">
        <f>IF(A8&lt;=12,Premissas!$B$10,Premissas!$B$11)</f>
        <v>37000</v>
      </c>
      <c r="N8" s="2">
        <f>V8*Premissas!$B$6</f>
        <v>43200</v>
      </c>
      <c r="O8" s="2">
        <f>W8*Premissas!$B$6</f>
        <v>0</v>
      </c>
      <c r="P8" s="2">
        <f>I8*Premissas!$B$8</f>
        <v>9600</v>
      </c>
      <c r="Q8" s="2">
        <f>L8*Premissas!$B$9</f>
        <v>0</v>
      </c>
      <c r="R8" s="2">
        <f>SUM(M8:Q8)</f>
        <v>89800</v>
      </c>
      <c r="S8" s="2">
        <f>L8-R8</f>
        <v>-89800</v>
      </c>
      <c r="T8" s="2">
        <f>T7+S8</f>
        <v>-351600</v>
      </c>
      <c r="U8" s="2">
        <f>H8*(1-Premissas!$B$8-Premissas!$B$9)-O8-M8</f>
        <v>-37000</v>
      </c>
      <c r="V8" s="2">
        <f>F8*Premissas!$B$4*(1+Premissas!$B$5)/3</f>
        <v>240</v>
      </c>
      <c r="W8" s="2">
        <f>E8*Premissas!$B$7</f>
        <v>0</v>
      </c>
      <c r="X8" s="2">
        <f>X7+I8-L8</f>
        <v>80000</v>
      </c>
      <c r="Y8" s="2">
        <f>(E8+F8)*Premissas!$B$14</f>
        <v>10</v>
      </c>
    </row>
    <row r="9">
      <c r="A9" s="2" t="n">
        <v>7</v>
      </c>
      <c r="B9" s="2">
        <f>Agenda!C56</f>
        <v>0</v>
      </c>
      <c r="C9" s="2">
        <f>IF(A9&gt;3,INDEX($B$3:$B$26,A9-3),0)</f>
        <v>0</v>
      </c>
      <c r="D9" s="2">
        <f>Agenda!D56</f>
        <v>0</v>
      </c>
      <c r="E9" s="2">
        <f>E8+C9-D9</f>
        <v>0</v>
      </c>
      <c r="F9" s="2">
        <f>SUM(B7:B9)</f>
        <v>1</v>
      </c>
      <c r="G9" s="2">
        <f>Premissas!$B$2*(Premissas!$B$16*B9+Premissas!$B$17*B8+Premissas!$B$18*B7)</f>
        <v>40000</v>
      </c>
      <c r="H9" s="2">
        <f>E9*Premissas!$B$3</f>
        <v>0</v>
      </c>
      <c r="I9" s="2">
        <f>G9+H9</f>
        <v>40000</v>
      </c>
      <c r="J9" s="2">
        <f>Premissas!$B$2*(Premissas!$B$16*B9+Premissas!$B$17*B7+Premissas!$B$18*B6)</f>
        <v>80000</v>
      </c>
      <c r="K9" s="2">
        <f>H8</f>
        <v>0</v>
      </c>
      <c r="L9" s="2">
        <f>J9+K9</f>
        <v>80000</v>
      </c>
      <c r="M9" s="2">
        <f>IF(A9&lt;=12,Premissas!$B$10,Premissas!$B$11)</f>
        <v>37000</v>
      </c>
      <c r="N9" s="2">
        <f>V9*Premissas!$B$6</f>
        <v>43200</v>
      </c>
      <c r="O9" s="2">
        <f>W9*Premissas!$B$6</f>
        <v>0</v>
      </c>
      <c r="P9" s="2">
        <f>I9*Premissas!$B$8</f>
        <v>4800</v>
      </c>
      <c r="Q9" s="2">
        <f>L9*Premissas!$B$9</f>
        <v>4000</v>
      </c>
      <c r="R9" s="2">
        <f>SUM(M9:Q9)</f>
        <v>89000</v>
      </c>
      <c r="S9" s="2">
        <f>L9-R9</f>
        <v>-9000</v>
      </c>
      <c r="T9" s="2">
        <f>T8+S9</f>
        <v>-360600</v>
      </c>
      <c r="U9" s="2">
        <f>H9*(1-Premissas!$B$8-Premissas!$B$9)-O9-M9</f>
        <v>-37000</v>
      </c>
      <c r="V9" s="2">
        <f>F9*Premissas!$B$4*(1+Premissas!$B$5)/3</f>
        <v>240</v>
      </c>
      <c r="W9" s="2">
        <f>E9*Premissas!$B$7</f>
        <v>0</v>
      </c>
      <c r="X9" s="2">
        <f>X8+I9-L9</f>
        <v>40000</v>
      </c>
      <c r="Y9" s="2">
        <f>(E9+F9)*Premissas!$B$14</f>
        <v>10</v>
      </c>
    </row>
    <row r="10">
      <c r="A10" s="2" t="n">
        <v>8</v>
      </c>
      <c r="B10" s="2">
        <f>Agenda!C57</f>
        <v>1</v>
      </c>
      <c r="C10" s="2">
        <f>IF(A10&gt;3,INDEX($B$3:$B$26,A10-3),0)</f>
        <v>1</v>
      </c>
      <c r="D10" s="2">
        <f>Agenda!D57</f>
        <v>0</v>
      </c>
      <c r="E10" s="2">
        <f>E9+C10-D10</f>
        <v>1</v>
      </c>
      <c r="F10" s="2">
        <f>SUM(B8:B10)</f>
        <v>1</v>
      </c>
      <c r="G10" s="2">
        <f>Premissas!$B$2*(Premissas!$B$16*B10+Premissas!$B$17*B9+Premissas!$B$18*B8)</f>
        <v>80000</v>
      </c>
      <c r="H10" s="2">
        <f>E10*Premissas!$B$3</f>
        <v>12000</v>
      </c>
      <c r="I10" s="2">
        <f>G10+H10</f>
        <v>92000</v>
      </c>
      <c r="J10" s="2">
        <f>Premissas!$B$2*(Premissas!$B$16*B10+Premissas!$B$17*B8+Premissas!$B$18*B7)</f>
        <v>120000</v>
      </c>
      <c r="K10" s="2">
        <f>H9</f>
        <v>0</v>
      </c>
      <c r="L10" s="2">
        <f>J10+K10</f>
        <v>120000</v>
      </c>
      <c r="M10" s="2">
        <f>IF(A10&lt;=12,Premissas!$B$10,Premissas!$B$11)</f>
        <v>37000</v>
      </c>
      <c r="N10" s="2">
        <f>V10*Premissas!$B$6</f>
        <v>43200</v>
      </c>
      <c r="O10" s="2">
        <f>W10*Premissas!$B$6</f>
        <v>1800</v>
      </c>
      <c r="P10" s="2">
        <f>I10*Premissas!$B$8</f>
        <v>11040</v>
      </c>
      <c r="Q10" s="2">
        <f>L10*Premissas!$B$9</f>
        <v>6000</v>
      </c>
      <c r="R10" s="2">
        <f>SUM(M10:Q10)</f>
        <v>99040</v>
      </c>
      <c r="S10" s="2">
        <f>L10-R10</f>
        <v>20960</v>
      </c>
      <c r="T10" s="2">
        <f>T9+S10</f>
        <v>-339640</v>
      </c>
      <c r="U10" s="2">
        <f>H10*(1-Premissas!$B$8-Premissas!$B$9)-O10-M10</f>
        <v>-28840</v>
      </c>
      <c r="V10" s="2">
        <f>F10*Premissas!$B$4*(1+Premissas!$B$5)/3</f>
        <v>240</v>
      </c>
      <c r="W10" s="2">
        <f>E10*Premissas!$B$7</f>
        <v>10</v>
      </c>
      <c r="X10" s="2">
        <f>X9+I10-L10</f>
        <v>12000</v>
      </c>
      <c r="Y10" s="2">
        <f>(E10+F10)*Premissas!$B$14</f>
        <v>20</v>
      </c>
    </row>
    <row r="11">
      <c r="A11" s="2" t="n">
        <v>9</v>
      </c>
      <c r="B11" s="2">
        <f>Agenda!C58</f>
        <v>0</v>
      </c>
      <c r="C11" s="2">
        <f>IF(A11&gt;3,INDEX($B$3:$B$26,A11-3),0)</f>
        <v>0</v>
      </c>
      <c r="D11" s="2">
        <f>Agenda!D58</f>
        <v>0</v>
      </c>
      <c r="E11" s="2">
        <f>E10+C11-D11</f>
        <v>1</v>
      </c>
      <c r="F11" s="2">
        <f>SUM(B9:B11)</f>
        <v>1</v>
      </c>
      <c r="G11" s="2">
        <f>Premissas!$B$2*(Premissas!$B$16*B11+Premissas!$B$17*B10+Premissas!$B$18*B9)</f>
        <v>80000</v>
      </c>
      <c r="H11" s="2">
        <f>E11*Premissas!$B$3</f>
        <v>12000</v>
      </c>
      <c r="I11" s="2">
        <f>G11+H11</f>
        <v>92000</v>
      </c>
      <c r="J11" s="2">
        <f>Premissas!$B$2*(Premissas!$B$16*B11+Premissas!$B$17*B9+Premissas!$B$18*B8)</f>
        <v>0</v>
      </c>
      <c r="K11" s="2">
        <f>H10</f>
        <v>12000</v>
      </c>
      <c r="L11" s="2">
        <f>J11+K11</f>
        <v>12000</v>
      </c>
      <c r="M11" s="2">
        <f>IF(A11&lt;=12,Premissas!$B$10,Premissas!$B$11)</f>
        <v>37000</v>
      </c>
      <c r="N11" s="2">
        <f>V11*Premissas!$B$6</f>
        <v>43200</v>
      </c>
      <c r="O11" s="2">
        <f>W11*Premissas!$B$6</f>
        <v>1800</v>
      </c>
      <c r="P11" s="2">
        <f>I11*Premissas!$B$8</f>
        <v>11040</v>
      </c>
      <c r="Q11" s="2">
        <f>L11*Premissas!$B$9</f>
        <v>600</v>
      </c>
      <c r="R11" s="2">
        <f>SUM(M11:Q11)</f>
        <v>93640</v>
      </c>
      <c r="S11" s="2">
        <f>L11-R11</f>
        <v>-81640</v>
      </c>
      <c r="T11" s="2">
        <f>T10+S11</f>
        <v>-421280</v>
      </c>
      <c r="U11" s="2">
        <f>H11*(1-Premissas!$B$8-Premissas!$B$9)-O11-M11</f>
        <v>-28840</v>
      </c>
      <c r="V11" s="2">
        <f>F11*Premissas!$B$4*(1+Premissas!$B$5)/3</f>
        <v>240</v>
      </c>
      <c r="W11" s="2">
        <f>E11*Premissas!$B$7</f>
        <v>10</v>
      </c>
      <c r="X11" s="2">
        <f>X10+I11-L11</f>
        <v>92000</v>
      </c>
      <c r="Y11" s="2">
        <f>(E11+F11)*Premissas!$B$14</f>
        <v>20</v>
      </c>
    </row>
    <row r="12">
      <c r="A12" s="2" t="n">
        <v>10</v>
      </c>
      <c r="B12" s="2">
        <f>Agenda!C59</f>
        <v>0</v>
      </c>
      <c r="C12" s="2">
        <f>IF(A12&gt;3,INDEX($B$3:$B$26,A12-3),0)</f>
        <v>0</v>
      </c>
      <c r="D12" s="2">
        <f>Agenda!D59</f>
        <v>0</v>
      </c>
      <c r="E12" s="2">
        <f>E11+C12-D12</f>
        <v>1</v>
      </c>
      <c r="F12" s="2">
        <f>SUM(B10:B12)</f>
        <v>1</v>
      </c>
      <c r="G12" s="2">
        <f>Premissas!$B$2*(Premissas!$B$16*B12+Premissas!$B$17*B11+Premissas!$B$18*B10)</f>
        <v>40000</v>
      </c>
      <c r="H12" s="2">
        <f>E12*Premissas!$B$3</f>
        <v>12000</v>
      </c>
      <c r="I12" s="2">
        <f>G12+H12</f>
        <v>52000</v>
      </c>
      <c r="J12" s="2">
        <f>Premissas!$B$2*(Premissas!$B$16*B12+Premissas!$B$17*B10+Premissas!$B$18*B9)</f>
        <v>80000</v>
      </c>
      <c r="K12" s="2">
        <f>H11</f>
        <v>12000</v>
      </c>
      <c r="L12" s="2">
        <f>J12+K12</f>
        <v>92000</v>
      </c>
      <c r="M12" s="2">
        <f>IF(A12&lt;=12,Premissas!$B$10,Premissas!$B$11)</f>
        <v>37000</v>
      </c>
      <c r="N12" s="2">
        <f>V12*Premissas!$B$6</f>
        <v>43200</v>
      </c>
      <c r="O12" s="2">
        <f>W12*Premissas!$B$6</f>
        <v>1800</v>
      </c>
      <c r="P12" s="2">
        <f>I12*Premissas!$B$8</f>
        <v>6240</v>
      </c>
      <c r="Q12" s="2">
        <f>L12*Premissas!$B$9</f>
        <v>4600</v>
      </c>
      <c r="R12" s="2">
        <f>SUM(M12:Q12)</f>
        <v>92840</v>
      </c>
      <c r="S12" s="2">
        <f>L12-R12</f>
        <v>-840</v>
      </c>
      <c r="T12" s="2">
        <f>T11+S12</f>
        <v>-422120</v>
      </c>
      <c r="U12" s="2">
        <f>H12*(1-Premissas!$B$8-Premissas!$B$9)-O12-M12</f>
        <v>-28840</v>
      </c>
      <c r="V12" s="2">
        <f>F12*Premissas!$B$4*(1+Premissas!$B$5)/3</f>
        <v>240</v>
      </c>
      <c r="W12" s="2">
        <f>E12*Premissas!$B$7</f>
        <v>10</v>
      </c>
      <c r="X12" s="2">
        <f>X11+I12-L12</f>
        <v>52000</v>
      </c>
      <c r="Y12" s="2">
        <f>(E12+F12)*Premissas!$B$14</f>
        <v>20</v>
      </c>
    </row>
    <row r="13">
      <c r="A13" s="2" t="n">
        <v>11</v>
      </c>
      <c r="B13" s="2">
        <f>Agenda!C60</f>
        <v>1</v>
      </c>
      <c r="C13" s="2">
        <f>IF(A13&gt;3,INDEX($B$3:$B$26,A13-3),0)</f>
        <v>1</v>
      </c>
      <c r="D13" s="2">
        <f>Agenda!D60</f>
        <v>0</v>
      </c>
      <c r="E13" s="2">
        <f>E12+C13-D13</f>
        <v>2</v>
      </c>
      <c r="F13" s="2">
        <f>SUM(B11:B13)</f>
        <v>1</v>
      </c>
      <c r="G13" s="2">
        <f>Premissas!$B$2*(Premissas!$B$16*B13+Premissas!$B$17*B12+Premissas!$B$18*B11)</f>
        <v>80000</v>
      </c>
      <c r="H13" s="2">
        <f>E13*Premissas!$B$3</f>
        <v>24000</v>
      </c>
      <c r="I13" s="2">
        <f>G13+H13</f>
        <v>104000</v>
      </c>
      <c r="J13" s="2">
        <f>Premissas!$B$2*(Premissas!$B$16*B13+Premissas!$B$17*B11+Premissas!$B$18*B10)</f>
        <v>120000</v>
      </c>
      <c r="K13" s="2">
        <f>H12</f>
        <v>12000</v>
      </c>
      <c r="L13" s="2">
        <f>J13+K13</f>
        <v>132000</v>
      </c>
      <c r="M13" s="2">
        <f>IF(A13&lt;=12,Premissas!$B$10,Premissas!$B$11)</f>
        <v>37000</v>
      </c>
      <c r="N13" s="2">
        <f>V13*Premissas!$B$6</f>
        <v>43200</v>
      </c>
      <c r="O13" s="2">
        <f>W13*Premissas!$B$6</f>
        <v>3600</v>
      </c>
      <c r="P13" s="2">
        <f>I13*Premissas!$B$8</f>
        <v>12480</v>
      </c>
      <c r="Q13" s="2">
        <f>L13*Premissas!$B$9</f>
        <v>6600</v>
      </c>
      <c r="R13" s="2">
        <f>SUM(M13:Q13)</f>
        <v>102880</v>
      </c>
      <c r="S13" s="2">
        <f>L13-R13</f>
        <v>29120</v>
      </c>
      <c r="T13" s="2">
        <f>T12+S13</f>
        <v>-393000</v>
      </c>
      <c r="U13" s="2">
        <f>H13*(1-Premissas!$B$8-Premissas!$B$9)-O13-M13</f>
        <v>-20680</v>
      </c>
      <c r="V13" s="2">
        <f>F13*Premissas!$B$4*(1+Premissas!$B$5)/3</f>
        <v>240</v>
      </c>
      <c r="W13" s="2">
        <f>E13*Premissas!$B$7</f>
        <v>20</v>
      </c>
      <c r="X13" s="2">
        <f>X12+I13-L13</f>
        <v>24000</v>
      </c>
      <c r="Y13" s="2">
        <f>(E13+F13)*Premissas!$B$14</f>
        <v>30</v>
      </c>
    </row>
    <row r="14">
      <c r="A14" s="2" t="n">
        <v>12</v>
      </c>
      <c r="B14" s="2">
        <f>Agenda!C61</f>
        <v>0</v>
      </c>
      <c r="C14" s="2">
        <f>IF(A14&gt;3,INDEX($B$3:$B$26,A14-3),0)</f>
        <v>0</v>
      </c>
      <c r="D14" s="2">
        <f>Agenda!D61</f>
        <v>0</v>
      </c>
      <c r="E14" s="2">
        <f>E13+C14-D14</f>
        <v>2</v>
      </c>
      <c r="F14" s="2">
        <f>SUM(B12:B14)</f>
        <v>1</v>
      </c>
      <c r="G14" s="2">
        <f>Premissas!$B$2*(Premissas!$B$16*B14+Premissas!$B$17*B13+Premissas!$B$18*B12)</f>
        <v>80000</v>
      </c>
      <c r="H14" s="2">
        <f>E14*Premissas!$B$3</f>
        <v>24000</v>
      </c>
      <c r="I14" s="2">
        <f>G14+H14</f>
        <v>104000</v>
      </c>
      <c r="J14" s="2">
        <f>Premissas!$B$2*(Premissas!$B$16*B14+Premissas!$B$17*B12+Premissas!$B$18*B11)</f>
        <v>0</v>
      </c>
      <c r="K14" s="2">
        <f>H13</f>
        <v>24000</v>
      </c>
      <c r="L14" s="2">
        <f>J14+K14</f>
        <v>24000</v>
      </c>
      <c r="M14" s="2">
        <f>IF(A14&lt;=12,Premissas!$B$10,Premissas!$B$11)</f>
        <v>37000</v>
      </c>
      <c r="N14" s="2">
        <f>V14*Premissas!$B$6</f>
        <v>43200</v>
      </c>
      <c r="O14" s="2">
        <f>W14*Premissas!$B$6</f>
        <v>3600</v>
      </c>
      <c r="P14" s="2">
        <f>I14*Premissas!$B$8</f>
        <v>12480</v>
      </c>
      <c r="Q14" s="2">
        <f>L14*Premissas!$B$9</f>
        <v>1200</v>
      </c>
      <c r="R14" s="2">
        <f>SUM(M14:Q14)</f>
        <v>97480</v>
      </c>
      <c r="S14" s="2">
        <f>L14-R14</f>
        <v>-73480</v>
      </c>
      <c r="T14" s="2">
        <f>T13+S14</f>
        <v>-466480</v>
      </c>
      <c r="U14" s="2">
        <f>H14*(1-Premissas!$B$8-Premissas!$B$9)-O14-M14</f>
        <v>-20680</v>
      </c>
      <c r="V14" s="2">
        <f>F14*Premissas!$B$4*(1+Premissas!$B$5)/3</f>
        <v>240</v>
      </c>
      <c r="W14" s="2">
        <f>E14*Premissas!$B$7</f>
        <v>20</v>
      </c>
      <c r="X14" s="2">
        <f>X13+I14-L14</f>
        <v>104000</v>
      </c>
      <c r="Y14" s="2">
        <f>(E14+F14)*Premissas!$B$14</f>
        <v>30</v>
      </c>
    </row>
    <row r="15">
      <c r="A15" s="2" t="n">
        <v>13</v>
      </c>
      <c r="B15" s="2">
        <f>Agenda!C62</f>
        <v>0</v>
      </c>
      <c r="C15" s="2">
        <f>IF(A15&gt;3,INDEX($B$3:$B$26,A15-3),0)</f>
        <v>0</v>
      </c>
      <c r="D15" s="2">
        <f>Agenda!D62</f>
        <v>0</v>
      </c>
      <c r="E15" s="2">
        <f>E14+C15-D15</f>
        <v>2</v>
      </c>
      <c r="F15" s="2">
        <f>SUM(B13:B15)</f>
        <v>1</v>
      </c>
      <c r="G15" s="2">
        <f>Premissas!$B$2*(Premissas!$B$16*B15+Premissas!$B$17*B14+Premissas!$B$18*B13)</f>
        <v>40000</v>
      </c>
      <c r="H15" s="2">
        <f>E15*Premissas!$B$3</f>
        <v>24000</v>
      </c>
      <c r="I15" s="2">
        <f>G15+H15</f>
        <v>64000</v>
      </c>
      <c r="J15" s="2">
        <f>Premissas!$B$2*(Premissas!$B$16*B15+Premissas!$B$17*B13+Premissas!$B$18*B12)</f>
        <v>80000</v>
      </c>
      <c r="K15" s="2">
        <f>H14</f>
        <v>24000</v>
      </c>
      <c r="L15" s="2">
        <f>J15+K15</f>
        <v>104000</v>
      </c>
      <c r="M15" s="2">
        <f>IF(A15&lt;=12,Premissas!$B$10,Premissas!$B$11)</f>
        <v>42000</v>
      </c>
      <c r="N15" s="2">
        <f>V15*Premissas!$B$6</f>
        <v>43200</v>
      </c>
      <c r="O15" s="2">
        <f>W15*Premissas!$B$6</f>
        <v>3600</v>
      </c>
      <c r="P15" s="2">
        <f>I15*Premissas!$B$8</f>
        <v>7680</v>
      </c>
      <c r="Q15" s="2">
        <f>L15*Premissas!$B$9</f>
        <v>5200</v>
      </c>
      <c r="R15" s="2">
        <f>SUM(M15:Q15)</f>
        <v>101680</v>
      </c>
      <c r="S15" s="2">
        <f>L15-R15</f>
        <v>2320</v>
      </c>
      <c r="T15" s="2">
        <f>T14+S15</f>
        <v>-464160</v>
      </c>
      <c r="U15" s="2">
        <f>H15*(1-Premissas!$B$8-Premissas!$B$9)-O15-M15</f>
        <v>-25680</v>
      </c>
      <c r="V15" s="2">
        <f>F15*Premissas!$B$4*(1+Premissas!$B$5)/3</f>
        <v>240</v>
      </c>
      <c r="W15" s="2">
        <f>E15*Premissas!$B$7</f>
        <v>20</v>
      </c>
      <c r="X15" s="2">
        <f>X14+I15-L15</f>
        <v>64000</v>
      </c>
      <c r="Y15" s="2">
        <f>(E15+F15)*Premissas!$B$14</f>
        <v>30</v>
      </c>
    </row>
    <row r="16">
      <c r="A16" s="2" t="n">
        <v>14</v>
      </c>
      <c r="B16" s="2">
        <f>Agenda!C63</f>
        <v>1</v>
      </c>
      <c r="C16" s="2">
        <f>IF(A16&gt;3,INDEX($B$3:$B$26,A16-3),0)</f>
        <v>1</v>
      </c>
      <c r="D16" s="2">
        <f>Agenda!D63</f>
        <v>0</v>
      </c>
      <c r="E16" s="2">
        <f>E15+C16-D16</f>
        <v>3</v>
      </c>
      <c r="F16" s="2">
        <f>SUM(B14:B16)</f>
        <v>1</v>
      </c>
      <c r="G16" s="2">
        <f>Premissas!$B$2*(Premissas!$B$16*B16+Premissas!$B$17*B15+Premissas!$B$18*B14)</f>
        <v>80000</v>
      </c>
      <c r="H16" s="2">
        <f>E16*Premissas!$B$3</f>
        <v>36000</v>
      </c>
      <c r="I16" s="2">
        <f>G16+H16</f>
        <v>116000</v>
      </c>
      <c r="J16" s="2">
        <f>Premissas!$B$2*(Premissas!$B$16*B16+Premissas!$B$17*B14+Premissas!$B$18*B13)</f>
        <v>120000</v>
      </c>
      <c r="K16" s="2">
        <f>H15</f>
        <v>24000</v>
      </c>
      <c r="L16" s="2">
        <f>J16+K16</f>
        <v>144000</v>
      </c>
      <c r="M16" s="2">
        <f>IF(A16&lt;=12,Premissas!$B$10,Premissas!$B$11)</f>
        <v>42000</v>
      </c>
      <c r="N16" s="2">
        <f>V16*Premissas!$B$6</f>
        <v>43200</v>
      </c>
      <c r="O16" s="2">
        <f>W16*Premissas!$B$6</f>
        <v>5400</v>
      </c>
      <c r="P16" s="2">
        <f>I16*Premissas!$B$8</f>
        <v>13920</v>
      </c>
      <c r="Q16" s="2">
        <f>L16*Premissas!$B$9</f>
        <v>7200</v>
      </c>
      <c r="R16" s="2">
        <f>SUM(M16:Q16)</f>
        <v>111720</v>
      </c>
      <c r="S16" s="2">
        <f>L16-R16</f>
        <v>32280</v>
      </c>
      <c r="T16" s="2">
        <f>T15+S16</f>
        <v>-431880</v>
      </c>
      <c r="U16" s="2">
        <f>H16*(1-Premissas!$B$8-Premissas!$B$9)-O16-M16</f>
        <v>-17520</v>
      </c>
      <c r="V16" s="2">
        <f>F16*Premissas!$B$4*(1+Premissas!$B$5)/3</f>
        <v>240</v>
      </c>
      <c r="W16" s="2">
        <f>E16*Premissas!$B$7</f>
        <v>30</v>
      </c>
      <c r="X16" s="2">
        <f>X15+I16-L16</f>
        <v>36000</v>
      </c>
      <c r="Y16" s="2">
        <f>(E16+F16)*Premissas!$B$14</f>
        <v>40</v>
      </c>
    </row>
    <row r="17">
      <c r="A17" s="2" t="n">
        <v>15</v>
      </c>
      <c r="B17" s="2">
        <f>Agenda!C64</f>
        <v>0</v>
      </c>
      <c r="C17" s="2">
        <f>IF(A17&gt;3,INDEX($B$3:$B$26,A17-3),0)</f>
        <v>0</v>
      </c>
      <c r="D17" s="2">
        <f>Agenda!D64</f>
        <v>0</v>
      </c>
      <c r="E17" s="2">
        <f>E16+C17-D17</f>
        <v>3</v>
      </c>
      <c r="F17" s="2">
        <f>SUM(B15:B17)</f>
        <v>1</v>
      </c>
      <c r="G17" s="2">
        <f>Premissas!$B$2*(Premissas!$B$16*B17+Premissas!$B$17*B16+Premissas!$B$18*B15)</f>
        <v>80000</v>
      </c>
      <c r="H17" s="2">
        <f>E17*Premissas!$B$3</f>
        <v>36000</v>
      </c>
      <c r="I17" s="2">
        <f>G17+H17</f>
        <v>116000</v>
      </c>
      <c r="J17" s="2">
        <f>Premissas!$B$2*(Premissas!$B$16*B17+Premissas!$B$17*B15+Premissas!$B$18*B14)</f>
        <v>0</v>
      </c>
      <c r="K17" s="2">
        <f>H16</f>
        <v>36000</v>
      </c>
      <c r="L17" s="2">
        <f>J17+K17</f>
        <v>36000</v>
      </c>
      <c r="M17" s="2">
        <f>IF(A17&lt;=12,Premissas!$B$10,Premissas!$B$11)</f>
        <v>42000</v>
      </c>
      <c r="N17" s="2">
        <f>V17*Premissas!$B$6</f>
        <v>43200</v>
      </c>
      <c r="O17" s="2">
        <f>W17*Premissas!$B$6</f>
        <v>5400</v>
      </c>
      <c r="P17" s="2">
        <f>I17*Premissas!$B$8</f>
        <v>13920</v>
      </c>
      <c r="Q17" s="2">
        <f>L17*Premissas!$B$9</f>
        <v>1800</v>
      </c>
      <c r="R17" s="2">
        <f>SUM(M17:Q17)</f>
        <v>106320</v>
      </c>
      <c r="S17" s="2">
        <f>L17-R17</f>
        <v>-70320</v>
      </c>
      <c r="T17" s="2">
        <f>T16+S17</f>
        <v>-502200</v>
      </c>
      <c r="U17" s="2">
        <f>H17*(1-Premissas!$B$8-Premissas!$B$9)-O17-M17</f>
        <v>-17520</v>
      </c>
      <c r="V17" s="2">
        <f>F17*Premissas!$B$4*(1+Premissas!$B$5)/3</f>
        <v>240</v>
      </c>
      <c r="W17" s="2">
        <f>E17*Premissas!$B$7</f>
        <v>30</v>
      </c>
      <c r="X17" s="2">
        <f>X16+I17-L17</f>
        <v>116000</v>
      </c>
      <c r="Y17" s="2">
        <f>(E17+F17)*Premissas!$B$14</f>
        <v>40</v>
      </c>
    </row>
    <row r="18">
      <c r="A18" s="2" t="n">
        <v>16</v>
      </c>
      <c r="B18" s="2">
        <f>Agenda!C65</f>
        <v>0</v>
      </c>
      <c r="C18" s="2">
        <f>IF(A18&gt;3,INDEX($B$3:$B$26,A18-3),0)</f>
        <v>0</v>
      </c>
      <c r="D18" s="2">
        <f>Agenda!D65</f>
        <v>0</v>
      </c>
      <c r="E18" s="2">
        <f>E17+C18-D18</f>
        <v>3</v>
      </c>
      <c r="F18" s="2">
        <f>SUM(B16:B18)</f>
        <v>1</v>
      </c>
      <c r="G18" s="2">
        <f>Premissas!$B$2*(Premissas!$B$16*B18+Premissas!$B$17*B17+Premissas!$B$18*B16)</f>
        <v>40000</v>
      </c>
      <c r="H18" s="2">
        <f>E18*Premissas!$B$3</f>
        <v>36000</v>
      </c>
      <c r="I18" s="2">
        <f>G18+H18</f>
        <v>76000</v>
      </c>
      <c r="J18" s="2">
        <f>Premissas!$B$2*(Premissas!$B$16*B18+Premissas!$B$17*B16+Premissas!$B$18*B15)</f>
        <v>80000</v>
      </c>
      <c r="K18" s="2">
        <f>H17</f>
        <v>36000</v>
      </c>
      <c r="L18" s="2">
        <f>J18+K18</f>
        <v>116000</v>
      </c>
      <c r="M18" s="2">
        <f>IF(A18&lt;=12,Premissas!$B$10,Premissas!$B$11)</f>
        <v>42000</v>
      </c>
      <c r="N18" s="2">
        <f>V18*Premissas!$B$6</f>
        <v>43200</v>
      </c>
      <c r="O18" s="2">
        <f>W18*Premissas!$B$6</f>
        <v>5400</v>
      </c>
      <c r="P18" s="2">
        <f>I18*Premissas!$B$8</f>
        <v>9120</v>
      </c>
      <c r="Q18" s="2">
        <f>L18*Premissas!$B$9</f>
        <v>5800</v>
      </c>
      <c r="R18" s="2">
        <f>SUM(M18:Q18)</f>
        <v>105520</v>
      </c>
      <c r="S18" s="2">
        <f>L18-R18</f>
        <v>10480</v>
      </c>
      <c r="T18" s="2">
        <f>T17+S18</f>
        <v>-491720</v>
      </c>
      <c r="U18" s="2">
        <f>H18*(1-Premissas!$B$8-Premissas!$B$9)-O18-M18</f>
        <v>-17520</v>
      </c>
      <c r="V18" s="2">
        <f>F18*Premissas!$B$4*(1+Premissas!$B$5)/3</f>
        <v>240</v>
      </c>
      <c r="W18" s="2">
        <f>E18*Premissas!$B$7</f>
        <v>30</v>
      </c>
      <c r="X18" s="2">
        <f>X17+I18-L18</f>
        <v>76000</v>
      </c>
      <c r="Y18" s="2">
        <f>(E18+F18)*Premissas!$B$14</f>
        <v>40</v>
      </c>
    </row>
    <row r="19">
      <c r="A19" s="2" t="n">
        <v>17</v>
      </c>
      <c r="B19" s="2">
        <f>Agenda!C66</f>
        <v>1</v>
      </c>
      <c r="C19" s="2">
        <f>IF(A19&gt;3,INDEX($B$3:$B$26,A19-3),0)</f>
        <v>1</v>
      </c>
      <c r="D19" s="2">
        <f>Agenda!D66</f>
        <v>0</v>
      </c>
      <c r="E19" s="2">
        <f>E18+C19-D19</f>
        <v>4</v>
      </c>
      <c r="F19" s="2">
        <f>SUM(B17:B19)</f>
        <v>1</v>
      </c>
      <c r="G19" s="2">
        <f>Premissas!$B$2*(Premissas!$B$16*B19+Premissas!$B$17*B18+Premissas!$B$18*B17)</f>
        <v>80000</v>
      </c>
      <c r="H19" s="2">
        <f>E19*Premissas!$B$3</f>
        <v>48000</v>
      </c>
      <c r="I19" s="2">
        <f>G19+H19</f>
        <v>128000</v>
      </c>
      <c r="J19" s="2">
        <f>Premissas!$B$2*(Premissas!$B$16*B19+Premissas!$B$17*B17+Premissas!$B$18*B16)</f>
        <v>120000</v>
      </c>
      <c r="K19" s="2">
        <f>H18</f>
        <v>36000</v>
      </c>
      <c r="L19" s="2">
        <f>J19+K19</f>
        <v>156000</v>
      </c>
      <c r="M19" s="2">
        <f>IF(A19&lt;=12,Premissas!$B$10,Premissas!$B$11)</f>
        <v>42000</v>
      </c>
      <c r="N19" s="2">
        <f>V19*Premissas!$B$6</f>
        <v>43200</v>
      </c>
      <c r="O19" s="2">
        <f>W19*Premissas!$B$6</f>
        <v>7200</v>
      </c>
      <c r="P19" s="2">
        <f>I19*Premissas!$B$8</f>
        <v>15360</v>
      </c>
      <c r="Q19" s="2">
        <f>L19*Premissas!$B$9</f>
        <v>7800</v>
      </c>
      <c r="R19" s="2">
        <f>SUM(M19:Q19)</f>
        <v>115560</v>
      </c>
      <c r="S19" s="2">
        <f>L19-R19</f>
        <v>40440</v>
      </c>
      <c r="T19" s="2">
        <f>T18+S19</f>
        <v>-451280</v>
      </c>
      <c r="U19" s="2">
        <f>H19*(1-Premissas!$B$8-Premissas!$B$9)-O19-M19</f>
        <v>-9360</v>
      </c>
      <c r="V19" s="2">
        <f>F19*Premissas!$B$4*(1+Premissas!$B$5)/3</f>
        <v>240</v>
      </c>
      <c r="W19" s="2">
        <f>E19*Premissas!$B$7</f>
        <v>40</v>
      </c>
      <c r="X19" s="2">
        <f>X18+I19-L19</f>
        <v>48000</v>
      </c>
      <c r="Y19" s="2">
        <f>(E19+F19)*Premissas!$B$14</f>
        <v>50</v>
      </c>
    </row>
    <row r="20">
      <c r="A20" s="2" t="n">
        <v>18</v>
      </c>
      <c r="B20" s="2">
        <f>Agenda!C67</f>
        <v>0</v>
      </c>
      <c r="C20" s="2">
        <f>IF(A20&gt;3,INDEX($B$3:$B$26,A20-3),0)</f>
        <v>0</v>
      </c>
      <c r="D20" s="2">
        <f>Agenda!D67</f>
        <v>0</v>
      </c>
      <c r="E20" s="2">
        <f>E19+C20-D20</f>
        <v>4</v>
      </c>
      <c r="F20" s="2">
        <f>SUM(B18:B20)</f>
        <v>1</v>
      </c>
      <c r="G20" s="2">
        <f>Premissas!$B$2*(Premissas!$B$16*B20+Premissas!$B$17*B19+Premissas!$B$18*B18)</f>
        <v>80000</v>
      </c>
      <c r="H20" s="2">
        <f>E20*Premissas!$B$3</f>
        <v>48000</v>
      </c>
      <c r="I20" s="2">
        <f>G20+H20</f>
        <v>128000</v>
      </c>
      <c r="J20" s="2">
        <f>Premissas!$B$2*(Premissas!$B$16*B20+Premissas!$B$17*B18+Premissas!$B$18*B17)</f>
        <v>0</v>
      </c>
      <c r="K20" s="2">
        <f>H19</f>
        <v>48000</v>
      </c>
      <c r="L20" s="2">
        <f>J20+K20</f>
        <v>48000</v>
      </c>
      <c r="M20" s="2">
        <f>IF(A20&lt;=12,Premissas!$B$10,Premissas!$B$11)</f>
        <v>42000</v>
      </c>
      <c r="N20" s="2">
        <f>V20*Premissas!$B$6</f>
        <v>43200</v>
      </c>
      <c r="O20" s="2">
        <f>W20*Premissas!$B$6</f>
        <v>7200</v>
      </c>
      <c r="P20" s="2">
        <f>I20*Premissas!$B$8</f>
        <v>15360</v>
      </c>
      <c r="Q20" s="2">
        <f>L20*Premissas!$B$9</f>
        <v>2400</v>
      </c>
      <c r="R20" s="2">
        <f>SUM(M20:Q20)</f>
        <v>110160</v>
      </c>
      <c r="S20" s="2">
        <f>L20-R20</f>
        <v>-62160</v>
      </c>
      <c r="T20" s="2">
        <f>T19+S20</f>
        <v>-513440</v>
      </c>
      <c r="U20" s="2">
        <f>H20*(1-Premissas!$B$8-Premissas!$B$9)-O20-M20</f>
        <v>-9360</v>
      </c>
      <c r="V20" s="2">
        <f>F20*Premissas!$B$4*(1+Premissas!$B$5)/3</f>
        <v>240</v>
      </c>
      <c r="W20" s="2">
        <f>E20*Premissas!$B$7</f>
        <v>40</v>
      </c>
      <c r="X20" s="2">
        <f>X19+I20-L20</f>
        <v>128000</v>
      </c>
      <c r="Y20" s="2">
        <f>(E20+F20)*Premissas!$B$14</f>
        <v>50</v>
      </c>
    </row>
    <row r="21">
      <c r="A21" s="2" t="n">
        <v>19</v>
      </c>
      <c r="B21" s="2">
        <f>Agenda!C68</f>
        <v>0</v>
      </c>
      <c r="C21" s="2">
        <f>IF(A21&gt;3,INDEX($B$3:$B$26,A21-3),0)</f>
        <v>0</v>
      </c>
      <c r="D21" s="2">
        <f>Agenda!D68</f>
        <v>0</v>
      </c>
      <c r="E21" s="2">
        <f>E20+C21-D21</f>
        <v>4</v>
      </c>
      <c r="F21" s="2">
        <f>SUM(B19:B21)</f>
        <v>1</v>
      </c>
      <c r="G21" s="2">
        <f>Premissas!$B$2*(Premissas!$B$16*B21+Premissas!$B$17*B20+Premissas!$B$18*B19)</f>
        <v>40000</v>
      </c>
      <c r="H21" s="2">
        <f>E21*Premissas!$B$3</f>
        <v>48000</v>
      </c>
      <c r="I21" s="2">
        <f>G21+H21</f>
        <v>88000</v>
      </c>
      <c r="J21" s="2">
        <f>Premissas!$B$2*(Premissas!$B$16*B21+Premissas!$B$17*B19+Premissas!$B$18*B18)</f>
        <v>80000</v>
      </c>
      <c r="K21" s="2">
        <f>H20</f>
        <v>48000</v>
      </c>
      <c r="L21" s="2">
        <f>J21+K21</f>
        <v>128000</v>
      </c>
      <c r="M21" s="2">
        <f>IF(A21&lt;=12,Premissas!$B$10,Premissas!$B$11)</f>
        <v>42000</v>
      </c>
      <c r="N21" s="2">
        <f>V21*Premissas!$B$6</f>
        <v>43200</v>
      </c>
      <c r="O21" s="2">
        <f>W21*Premissas!$B$6</f>
        <v>7200</v>
      </c>
      <c r="P21" s="2">
        <f>I21*Premissas!$B$8</f>
        <v>10560</v>
      </c>
      <c r="Q21" s="2">
        <f>L21*Premissas!$B$9</f>
        <v>6400</v>
      </c>
      <c r="R21" s="2">
        <f>SUM(M21:Q21)</f>
        <v>109360</v>
      </c>
      <c r="S21" s="2">
        <f>L21-R21</f>
        <v>18640</v>
      </c>
      <c r="T21" s="2">
        <f>T20+S21</f>
        <v>-494800</v>
      </c>
      <c r="U21" s="2">
        <f>H21*(1-Premissas!$B$8-Premissas!$B$9)-O21-M21</f>
        <v>-9360</v>
      </c>
      <c r="V21" s="2">
        <f>F21*Premissas!$B$4*(1+Premissas!$B$5)/3</f>
        <v>240</v>
      </c>
      <c r="W21" s="2">
        <f>E21*Premissas!$B$7</f>
        <v>40</v>
      </c>
      <c r="X21" s="2">
        <f>X20+I21-L21</f>
        <v>88000</v>
      </c>
      <c r="Y21" s="2">
        <f>(E21+F21)*Premissas!$B$14</f>
        <v>50</v>
      </c>
    </row>
    <row r="22">
      <c r="A22" s="2" t="n">
        <v>20</v>
      </c>
      <c r="B22" s="2">
        <f>Agenda!C69</f>
        <v>1</v>
      </c>
      <c r="C22" s="2">
        <f>IF(A22&gt;3,INDEX($B$3:$B$26,A22-3),0)</f>
        <v>1</v>
      </c>
      <c r="D22" s="2">
        <f>Agenda!D69</f>
        <v>1</v>
      </c>
      <c r="E22" s="2">
        <f>E21+C22-D22</f>
        <v>4</v>
      </c>
      <c r="F22" s="2">
        <f>SUM(B20:B22)</f>
        <v>1</v>
      </c>
      <c r="G22" s="2">
        <f>Premissas!$B$2*(Premissas!$B$16*B22+Premissas!$B$17*B21+Premissas!$B$18*B20)</f>
        <v>80000</v>
      </c>
      <c r="H22" s="2">
        <f>E22*Premissas!$B$3</f>
        <v>48000</v>
      </c>
      <c r="I22" s="2">
        <f>G22+H22</f>
        <v>128000</v>
      </c>
      <c r="J22" s="2">
        <f>Premissas!$B$2*(Premissas!$B$16*B22+Premissas!$B$17*B20+Premissas!$B$18*B19)</f>
        <v>120000</v>
      </c>
      <c r="K22" s="2">
        <f>H21</f>
        <v>48000</v>
      </c>
      <c r="L22" s="2">
        <f>J22+K22</f>
        <v>168000</v>
      </c>
      <c r="M22" s="2">
        <f>IF(A22&lt;=12,Premissas!$B$10,Premissas!$B$11)</f>
        <v>42000</v>
      </c>
      <c r="N22" s="2">
        <f>V22*Premissas!$B$6</f>
        <v>43200</v>
      </c>
      <c r="O22" s="2">
        <f>W22*Premissas!$B$6</f>
        <v>7200</v>
      </c>
      <c r="P22" s="2">
        <f>I22*Premissas!$B$8</f>
        <v>15360</v>
      </c>
      <c r="Q22" s="2">
        <f>L22*Premissas!$B$9</f>
        <v>8400</v>
      </c>
      <c r="R22" s="2">
        <f>SUM(M22:Q22)</f>
        <v>116160</v>
      </c>
      <c r="S22" s="2">
        <f>L22-R22</f>
        <v>51840</v>
      </c>
      <c r="T22" s="2">
        <f>T21+S22</f>
        <v>-442960</v>
      </c>
      <c r="U22" s="2">
        <f>H22*(1-Premissas!$B$8-Premissas!$B$9)-O22-M22</f>
        <v>-9360</v>
      </c>
      <c r="V22" s="2">
        <f>F22*Premissas!$B$4*(1+Premissas!$B$5)/3</f>
        <v>240</v>
      </c>
      <c r="W22" s="2">
        <f>E22*Premissas!$B$7</f>
        <v>40</v>
      </c>
      <c r="X22" s="2">
        <f>X21+I22-L22</f>
        <v>48000</v>
      </c>
      <c r="Y22" s="2">
        <f>(E22+F22)*Premissas!$B$14</f>
        <v>50</v>
      </c>
    </row>
    <row r="23">
      <c r="A23" s="2" t="n">
        <v>21</v>
      </c>
      <c r="B23" s="2">
        <f>Agenda!C70</f>
        <v>0</v>
      </c>
      <c r="C23" s="2">
        <f>IF(A23&gt;3,INDEX($B$3:$B$26,A23-3),0)</f>
        <v>0</v>
      </c>
      <c r="D23" s="2">
        <f>Agenda!D70</f>
        <v>0</v>
      </c>
      <c r="E23" s="2">
        <f>E22+C23-D23</f>
        <v>4</v>
      </c>
      <c r="F23" s="2">
        <f>SUM(B21:B23)</f>
        <v>1</v>
      </c>
      <c r="G23" s="2">
        <f>Premissas!$B$2*(Premissas!$B$16*B23+Premissas!$B$17*B22+Premissas!$B$18*B21)</f>
        <v>80000</v>
      </c>
      <c r="H23" s="2">
        <f>E23*Premissas!$B$3</f>
        <v>48000</v>
      </c>
      <c r="I23" s="2">
        <f>G23+H23</f>
        <v>128000</v>
      </c>
      <c r="J23" s="2">
        <f>Premissas!$B$2*(Premissas!$B$16*B23+Premissas!$B$17*B21+Premissas!$B$18*B20)</f>
        <v>0</v>
      </c>
      <c r="K23" s="2">
        <f>H22</f>
        <v>48000</v>
      </c>
      <c r="L23" s="2">
        <f>J23+K23</f>
        <v>48000</v>
      </c>
      <c r="M23" s="2">
        <f>IF(A23&lt;=12,Premissas!$B$10,Premissas!$B$11)</f>
        <v>42000</v>
      </c>
      <c r="N23" s="2">
        <f>V23*Premissas!$B$6</f>
        <v>43200</v>
      </c>
      <c r="O23" s="2">
        <f>W23*Premissas!$B$6</f>
        <v>7200</v>
      </c>
      <c r="P23" s="2">
        <f>I23*Premissas!$B$8</f>
        <v>15360</v>
      </c>
      <c r="Q23" s="2">
        <f>L23*Premissas!$B$9</f>
        <v>2400</v>
      </c>
      <c r="R23" s="2">
        <f>SUM(M23:Q23)</f>
        <v>110160</v>
      </c>
      <c r="S23" s="2">
        <f>L23-R23</f>
        <v>-62160</v>
      </c>
      <c r="T23" s="2">
        <f>T22+S23</f>
        <v>-505120</v>
      </c>
      <c r="U23" s="2">
        <f>H23*(1-Premissas!$B$8-Premissas!$B$9)-O23-M23</f>
        <v>-9360</v>
      </c>
      <c r="V23" s="2">
        <f>F23*Premissas!$B$4*(1+Premissas!$B$5)/3</f>
        <v>240</v>
      </c>
      <c r="W23" s="2">
        <f>E23*Premissas!$B$7</f>
        <v>40</v>
      </c>
      <c r="X23" s="2">
        <f>X22+I23-L23</f>
        <v>128000</v>
      </c>
      <c r="Y23" s="2">
        <f>(E23+F23)*Premissas!$B$14</f>
        <v>50</v>
      </c>
    </row>
    <row r="24">
      <c r="A24" s="2" t="n">
        <v>22</v>
      </c>
      <c r="B24" s="2">
        <f>Agenda!C71</f>
        <v>0</v>
      </c>
      <c r="C24" s="2">
        <f>IF(A24&gt;3,INDEX($B$3:$B$26,A24-3),0)</f>
        <v>0</v>
      </c>
      <c r="D24" s="2">
        <f>Agenda!D71</f>
        <v>0</v>
      </c>
      <c r="E24" s="2">
        <f>E23+C24-D24</f>
        <v>4</v>
      </c>
      <c r="F24" s="2">
        <f>SUM(B22:B24)</f>
        <v>1</v>
      </c>
      <c r="G24" s="2">
        <f>Premissas!$B$2*(Premissas!$B$16*B24+Premissas!$B$17*B23+Premissas!$B$18*B22)</f>
        <v>40000</v>
      </c>
      <c r="H24" s="2">
        <f>E24*Premissas!$B$3</f>
        <v>48000</v>
      </c>
      <c r="I24" s="2">
        <f>G24+H24</f>
        <v>88000</v>
      </c>
      <c r="J24" s="2">
        <f>Premissas!$B$2*(Premissas!$B$16*B24+Premissas!$B$17*B22+Premissas!$B$18*B21)</f>
        <v>80000</v>
      </c>
      <c r="K24" s="2">
        <f>H23</f>
        <v>48000</v>
      </c>
      <c r="L24" s="2">
        <f>J24+K24</f>
        <v>128000</v>
      </c>
      <c r="M24" s="2">
        <f>IF(A24&lt;=12,Premissas!$B$10,Premissas!$B$11)</f>
        <v>42000</v>
      </c>
      <c r="N24" s="2">
        <f>V24*Premissas!$B$6</f>
        <v>43200</v>
      </c>
      <c r="O24" s="2">
        <f>W24*Premissas!$B$6</f>
        <v>7200</v>
      </c>
      <c r="P24" s="2">
        <f>I24*Premissas!$B$8</f>
        <v>10560</v>
      </c>
      <c r="Q24" s="2">
        <f>L24*Premissas!$B$9</f>
        <v>6400</v>
      </c>
      <c r="R24" s="2">
        <f>SUM(M24:Q24)</f>
        <v>109360</v>
      </c>
      <c r="S24" s="2">
        <f>L24-R24</f>
        <v>18640</v>
      </c>
      <c r="T24" s="2">
        <f>T23+S24</f>
        <v>-486480</v>
      </c>
      <c r="U24" s="2">
        <f>H24*(1-Premissas!$B$8-Premissas!$B$9)-O24-M24</f>
        <v>-9360</v>
      </c>
      <c r="V24" s="2">
        <f>F24*Premissas!$B$4*(1+Premissas!$B$5)/3</f>
        <v>240</v>
      </c>
      <c r="W24" s="2">
        <f>E24*Premissas!$B$7</f>
        <v>40</v>
      </c>
      <c r="X24" s="2">
        <f>X23+I24-L24</f>
        <v>88000</v>
      </c>
      <c r="Y24" s="2">
        <f>(E24+F24)*Premissas!$B$14</f>
        <v>50</v>
      </c>
    </row>
    <row r="25">
      <c r="A25" s="2" t="n">
        <v>23</v>
      </c>
      <c r="B25" s="2">
        <f>Agenda!C72</f>
        <v>1</v>
      </c>
      <c r="C25" s="2">
        <f>IF(A25&gt;3,INDEX($B$3:$B$26,A25-3),0)</f>
        <v>1</v>
      </c>
      <c r="D25" s="2">
        <f>Agenda!D72</f>
        <v>0</v>
      </c>
      <c r="E25" s="2">
        <f>E24+C25-D25</f>
        <v>5</v>
      </c>
      <c r="F25" s="2">
        <f>SUM(B23:B25)</f>
        <v>1</v>
      </c>
      <c r="G25" s="2">
        <f>Premissas!$B$2*(Premissas!$B$16*B25+Premissas!$B$17*B24+Premissas!$B$18*B23)</f>
        <v>80000</v>
      </c>
      <c r="H25" s="2">
        <f>E25*Premissas!$B$3</f>
        <v>60000</v>
      </c>
      <c r="I25" s="2">
        <f>G25+H25</f>
        <v>140000</v>
      </c>
      <c r="J25" s="2">
        <f>Premissas!$B$2*(Premissas!$B$16*B25+Premissas!$B$17*B23+Premissas!$B$18*B22)</f>
        <v>120000</v>
      </c>
      <c r="K25" s="2">
        <f>H24</f>
        <v>48000</v>
      </c>
      <c r="L25" s="2">
        <f>J25+K25</f>
        <v>168000</v>
      </c>
      <c r="M25" s="2">
        <f>IF(A25&lt;=12,Premissas!$B$10,Premissas!$B$11)</f>
        <v>42000</v>
      </c>
      <c r="N25" s="2">
        <f>V25*Premissas!$B$6</f>
        <v>43200</v>
      </c>
      <c r="O25" s="2">
        <f>W25*Premissas!$B$6</f>
        <v>9000</v>
      </c>
      <c r="P25" s="2">
        <f>I25*Premissas!$B$8</f>
        <v>16800</v>
      </c>
      <c r="Q25" s="2">
        <f>L25*Premissas!$B$9</f>
        <v>8400</v>
      </c>
      <c r="R25" s="2">
        <f>SUM(M25:Q25)</f>
        <v>119400</v>
      </c>
      <c r="S25" s="2">
        <f>L25-R25</f>
        <v>48600</v>
      </c>
      <c r="T25" s="2">
        <f>T24+S25</f>
        <v>-437880</v>
      </c>
      <c r="U25" s="2">
        <f>H25*(1-Premissas!$B$8-Premissas!$B$9)-O25-M25</f>
        <v>-1200</v>
      </c>
      <c r="V25" s="2">
        <f>F25*Premissas!$B$4*(1+Premissas!$B$5)/3</f>
        <v>240</v>
      </c>
      <c r="W25" s="2">
        <f>E25*Premissas!$B$7</f>
        <v>50</v>
      </c>
      <c r="X25" s="2">
        <f>X24+I25-L25</f>
        <v>60000</v>
      </c>
      <c r="Y25" s="2">
        <f>(E25+F25)*Premissas!$B$14</f>
        <v>60</v>
      </c>
    </row>
    <row r="26">
      <c r="A26" s="2" t="n">
        <v>24</v>
      </c>
      <c r="B26" s="2">
        <f>Agenda!C73</f>
        <v>0</v>
      </c>
      <c r="C26" s="2">
        <f>IF(A26&gt;3,INDEX($B$3:$B$26,A26-3),0)</f>
        <v>0</v>
      </c>
      <c r="D26" s="2">
        <f>Agenda!D73</f>
        <v>0</v>
      </c>
      <c r="E26" s="2">
        <f>E25+C26-D26</f>
        <v>5</v>
      </c>
      <c r="F26" s="2">
        <f>SUM(B24:B26)</f>
        <v>1</v>
      </c>
      <c r="G26" s="2">
        <f>Premissas!$B$2*(Premissas!$B$16*B26+Premissas!$B$17*B25+Premissas!$B$18*B24)</f>
        <v>80000</v>
      </c>
      <c r="H26" s="2">
        <f>E26*Premissas!$B$3</f>
        <v>60000</v>
      </c>
      <c r="I26" s="2">
        <f>G26+H26</f>
        <v>140000</v>
      </c>
      <c r="J26" s="2">
        <f>Premissas!$B$2*(Premissas!$B$16*B26+Premissas!$B$17*B24+Premissas!$B$18*B23)</f>
        <v>0</v>
      </c>
      <c r="K26" s="2">
        <f>H25</f>
        <v>60000</v>
      </c>
      <c r="L26" s="2">
        <f>J26+K26</f>
        <v>60000</v>
      </c>
      <c r="M26" s="2">
        <f>IF(A26&lt;=12,Premissas!$B$10,Premissas!$B$11)</f>
        <v>42000</v>
      </c>
      <c r="N26" s="2">
        <f>V26*Premissas!$B$6</f>
        <v>43200</v>
      </c>
      <c r="O26" s="2">
        <f>W26*Premissas!$B$6</f>
        <v>9000</v>
      </c>
      <c r="P26" s="2">
        <f>I26*Premissas!$B$8</f>
        <v>16800</v>
      </c>
      <c r="Q26" s="2">
        <f>L26*Premissas!$B$9</f>
        <v>3000</v>
      </c>
      <c r="R26" s="2">
        <f>SUM(M26:Q26)</f>
        <v>114000</v>
      </c>
      <c r="S26" s="2">
        <f>L26-R26</f>
        <v>-54000</v>
      </c>
      <c r="T26" s="2">
        <f>T25+S26</f>
        <v>-491880</v>
      </c>
      <c r="U26" s="2">
        <f>H26*(1-Premissas!$B$8-Premissas!$B$9)-O26-M26</f>
        <v>-1200</v>
      </c>
      <c r="V26" s="2">
        <f>F26*Premissas!$B$4*(1+Premissas!$B$5)/3</f>
        <v>240</v>
      </c>
      <c r="W26" s="2">
        <f>E26*Premissas!$B$7</f>
        <v>50</v>
      </c>
      <c r="X26" s="2">
        <f>X25+I26-L26</f>
        <v>140000</v>
      </c>
      <c r="Y26" s="2">
        <f>(E26+F26)*Premissas!$B$14</f>
        <v>60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</cols>
  <sheetData>
    <row r="1" ht="46" customHeight="1">
      <c r="A1" s="1" t="inlineStr">
        <is>
          <t>Cenário</t>
        </is>
      </c>
      <c r="B1" s="1" t="inlineStr">
        <is>
          <t>Iniciadas</t>
        </is>
      </c>
      <c r="C1" s="1" t="inlineStr">
        <is>
          <t>Concluídas</t>
        </is>
      </c>
      <c r="D1" s="1" t="inlineStr">
        <is>
          <t>Assinantes M24</t>
        </is>
      </c>
      <c r="E1" s="1" t="inlineStr">
        <is>
          <t>Mensalidade total M24</t>
        </is>
      </c>
      <c r="F1" s="1" t="inlineStr">
        <is>
          <t>Faturamento ano1</t>
        </is>
      </c>
      <c r="G1" s="1" t="inlineStr">
        <is>
          <t>Faturamento ano2</t>
        </is>
      </c>
      <c r="H1" s="1" t="inlineStr">
        <is>
          <t>Recebimentos ano1</t>
        </is>
      </c>
      <c r="I1" s="1" t="inlineStr">
        <is>
          <t>Recebimentos ano2</t>
        </is>
      </c>
      <c r="J1" s="1" t="inlineStr">
        <is>
          <t>Maior déficit</t>
        </is>
      </c>
      <c r="K1" s="1" t="inlineStr">
        <is>
          <t>Reserva</t>
        </is>
      </c>
      <c r="L1" s="1" t="inlineStr">
        <is>
          <t>Capital arredondado</t>
        </is>
      </c>
      <c r="M1" s="1" t="inlineStr">
        <is>
          <t>Caixa acumulado M24</t>
        </is>
      </c>
      <c r="N1" s="1" t="inlineStr">
        <is>
          <t>A receber M24</t>
        </is>
      </c>
      <c r="O1" s="1" t="inlineStr">
        <is>
          <t>Resultado recorrente M24</t>
        </is>
      </c>
      <c r="P1" s="1" t="inlineStr">
        <is>
          <t>Horas diretas máximas</t>
        </is>
      </c>
      <c r="Q1" s="1" t="inlineStr">
        <is>
          <t>Pessoas máximas</t>
        </is>
      </c>
    </row>
    <row r="2">
      <c r="A2" s="2" t="inlineStr">
        <is>
          <t>Conservador</t>
        </is>
      </c>
      <c r="B2" s="2">
        <f>SUM('Conservador'!B3:B26)</f>
        <v>3</v>
      </c>
      <c r="C2" s="2">
        <f>SUM('Conservador'!B3:B24)</f>
        <v>3</v>
      </c>
      <c r="D2" s="2">
        <f>'Conservador'!E26</f>
        <v>2</v>
      </c>
      <c r="E2" s="2">
        <f>'Conservador'!H26</f>
        <v>24000</v>
      </c>
      <c r="F2" s="2">
        <f>SUM('Conservador'!I3:I14)</f>
        <v>212000</v>
      </c>
      <c r="G2" s="2">
        <f>SUM('Conservador'!I15:I26)</f>
        <v>628000</v>
      </c>
      <c r="H2" s="2">
        <f>SUM('Conservador'!L3:L14)</f>
        <v>200000</v>
      </c>
      <c r="I2" s="2">
        <f>SUM('Conservador'!L15:L26)</f>
        <v>616000</v>
      </c>
      <c r="J2" s="2">
        <f>MAX(0,-MIN('Conservador'!T2:T26))</f>
        <v>813040</v>
      </c>
      <c r="K2" s="2">
        <f>MAX(J2*Premissas!$B$12,MAX(Premissas!$B$10,Premissas!$B$11)*Premissas!$B$13)</f>
        <v>126000</v>
      </c>
      <c r="L2" s="2">
        <f>ROUNDUP((J2+K2)/10000,0)*10000</f>
        <v>940000</v>
      </c>
      <c r="M2" s="2">
        <f>'Conservador'!T26</f>
        <v>-798400</v>
      </c>
      <c r="N2" s="2">
        <f>'Conservador'!X26</f>
        <v>24000</v>
      </c>
      <c r="O2" s="2">
        <f>'Conservador'!U26</f>
        <v>-25680</v>
      </c>
      <c r="P2" s="2">
        <f>MAX('Conservador'!V3+'Conservador'!W3,'Conservador'!V4+'Conservador'!W4,'Conservador'!V5+'Conservador'!W5,'Conservador'!V6+'Conservador'!W6,'Conservador'!V7+'Conservador'!W7,'Conservador'!V8+'Conservador'!W8,'Conservador'!V9+'Conservador'!W9,'Conservador'!V10+'Conservador'!W10,'Conservador'!V11+'Conservador'!W11,'Conservador'!V12+'Conservador'!W12,'Conservador'!V13+'Conservador'!W13,'Conservador'!V14+'Conservador'!W14,'Conservador'!V15+'Conservador'!W15,'Conservador'!V16+'Conservador'!W16,'Conservador'!V17+'Conservador'!W17,'Conservador'!V18+'Conservador'!W18,'Conservador'!V19+'Conservador'!W19,'Conservador'!V20+'Conservador'!W20,'Conservador'!V21+'Conservador'!W21,'Conservador'!V22+'Conservador'!W22,'Conservador'!V23+'Conservador'!W23,'Conservador'!V24+'Conservador'!W24,'Conservador'!V25+'Conservador'!W25,'Conservador'!V26+'Conservador'!W26)</f>
        <v>260</v>
      </c>
      <c r="Q2" s="2">
        <f>MAX('Conservador'!Y3:Y26)</f>
        <v>30</v>
      </c>
    </row>
    <row r="3">
      <c r="A3" s="2" t="inlineStr">
        <is>
          <t>Base</t>
        </is>
      </c>
      <c r="B3" s="2">
        <f>SUM('Base'!B3:B26)</f>
        <v>5</v>
      </c>
      <c r="C3" s="2">
        <f>SUM('Base'!B3:B24)</f>
        <v>4</v>
      </c>
      <c r="D3" s="2">
        <f>'Base'!E26</f>
        <v>3</v>
      </c>
      <c r="E3" s="2">
        <f>'Base'!H26</f>
        <v>36000</v>
      </c>
      <c r="F3" s="2">
        <f>SUM('Base'!I3:I14)</f>
        <v>396000</v>
      </c>
      <c r="G3" s="2">
        <f>SUM('Base'!I15:I26)</f>
        <v>960000</v>
      </c>
      <c r="H3" s="2">
        <f>SUM('Base'!L3:L14)</f>
        <v>304000</v>
      </c>
      <c r="I3" s="2">
        <f>SUM('Base'!L15:L26)</f>
        <v>936000</v>
      </c>
      <c r="J3" s="2">
        <f>MAX(0,-MIN('Base'!T2:T26))</f>
        <v>696920</v>
      </c>
      <c r="K3" s="2">
        <f>MAX(J3*Premissas!$B$12,MAX(Premissas!$B$10,Premissas!$B$11)*Premissas!$B$13)</f>
        <v>126000</v>
      </c>
      <c r="L3" s="2">
        <f>ROUNDUP((J3+K3)/10000,0)*10000</f>
        <v>830000</v>
      </c>
      <c r="M3" s="2">
        <f>'Base'!T26</f>
        <v>-696920</v>
      </c>
      <c r="N3" s="2">
        <f>'Base'!X26</f>
        <v>116000</v>
      </c>
      <c r="O3" s="2">
        <f>'Base'!U26</f>
        <v>-17520</v>
      </c>
      <c r="P3" s="2">
        <f>MAX('Base'!V3+'Base'!W3,'Base'!V4+'Base'!W4,'Base'!V5+'Base'!W5,'Base'!V6+'Base'!W6,'Base'!V7+'Base'!W7,'Base'!V8+'Base'!W8,'Base'!V9+'Base'!W9,'Base'!V10+'Base'!W10,'Base'!V11+'Base'!W11,'Base'!V12+'Base'!W12,'Base'!V13+'Base'!W13,'Base'!V14+'Base'!W14,'Base'!V15+'Base'!W15,'Base'!V16+'Base'!W16,'Base'!V17+'Base'!W17,'Base'!V18+'Base'!W18,'Base'!V19+'Base'!W19,'Base'!V20+'Base'!W20,'Base'!V21+'Base'!W21,'Base'!V22+'Base'!W22,'Base'!V23+'Base'!W23,'Base'!V24+'Base'!W24,'Base'!V25+'Base'!W25,'Base'!V26+'Base'!W26)</f>
        <v>270</v>
      </c>
      <c r="Q3" s="2">
        <f>MAX('Base'!Y3:Y26)</f>
        <v>40</v>
      </c>
    </row>
    <row r="4">
      <c r="A4" s="2" t="inlineStr">
        <is>
          <t>Expansao</t>
        </is>
      </c>
      <c r="B4" s="2">
        <f>SUM('Expansao'!B3:B26)</f>
        <v>7</v>
      </c>
      <c r="C4" s="2">
        <f>SUM('Expansao'!B3:B24)</f>
        <v>6</v>
      </c>
      <c r="D4" s="2">
        <f>'Expansao'!E26</f>
        <v>5</v>
      </c>
      <c r="E4" s="2">
        <f>'Expansao'!H26</f>
        <v>60000</v>
      </c>
      <c r="F4" s="2">
        <f>SUM('Expansao'!I3:I14)</f>
        <v>644000</v>
      </c>
      <c r="G4" s="2">
        <f>SUM('Expansao'!I15:I26)</f>
        <v>1340000</v>
      </c>
      <c r="H4" s="2">
        <f>SUM('Expansao'!L3:L14)</f>
        <v>540000</v>
      </c>
      <c r="I4" s="2">
        <f>SUM('Expansao'!L15:L26)</f>
        <v>1304000</v>
      </c>
      <c r="J4" s="2">
        <f>MAX(0,-MIN('Expansao'!T2:T26))</f>
        <v>513440</v>
      </c>
      <c r="K4" s="2">
        <f>MAX(J4*Premissas!$B$12,MAX(Premissas!$B$10,Premissas!$B$11)*Premissas!$B$13)</f>
        <v>126000</v>
      </c>
      <c r="L4" s="2">
        <f>ROUNDUP((J4+K4)/10000,0)*10000</f>
        <v>640000</v>
      </c>
      <c r="M4" s="2">
        <f>'Expansao'!T26</f>
        <v>-491880</v>
      </c>
      <c r="N4" s="2">
        <f>'Expansao'!X26</f>
        <v>140000</v>
      </c>
      <c r="O4" s="2">
        <f>'Expansao'!U26</f>
        <v>-1200</v>
      </c>
      <c r="P4" s="2">
        <f>MAX('Expansao'!V3+'Expansao'!W3,'Expansao'!V4+'Expansao'!W4,'Expansao'!V5+'Expansao'!W5,'Expansao'!V6+'Expansao'!W6,'Expansao'!V7+'Expansao'!W7,'Expansao'!V8+'Expansao'!W8,'Expansao'!V9+'Expansao'!W9,'Expansao'!V10+'Expansao'!W10,'Expansao'!V11+'Expansao'!W11,'Expansao'!V12+'Expansao'!W12,'Expansao'!V13+'Expansao'!W13,'Expansao'!V14+'Expansao'!W14,'Expansao'!V15+'Expansao'!W15,'Expansao'!V16+'Expansao'!W16,'Expansao'!V17+'Expansao'!W17,'Expansao'!V18+'Expansao'!W18,'Expansao'!V19+'Expansao'!W19,'Expansao'!V20+'Expansao'!W20,'Expansao'!V21+'Expansao'!W21,'Expansao'!V22+'Expansao'!W22,'Expansao'!V23+'Expansao'!W23,'Expansao'!V24+'Expansao'!W24,'Expansao'!V25+'Expansao'!W25,'Expansao'!V26+'Expansao'!W26)</f>
        <v>290</v>
      </c>
      <c r="Q4" s="2">
        <f>MAX('Expansao'!Y3:Y26)</f>
        <v>60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46" customHeight="1">
      <c r="A1" s="1" t="inlineStr">
        <is>
          <t>Capacidade condicional, não benchmark</t>
        </is>
      </c>
      <c r="B1" s="1" t="inlineStr">
        <is>
          <t>Valor</t>
        </is>
      </c>
      <c r="C1" s="1" t="inlineStr">
        <is>
          <t>Explicação</t>
        </is>
      </c>
      <c r="D1" s="1" t="n"/>
      <c r="E1" s="1" t="n"/>
      <c r="F1" s="1" t="n"/>
      <c r="G1" s="1" t="n"/>
    </row>
    <row r="2" ht="42" customHeight="1">
      <c r="A2" s="2" t="inlineStr">
        <is>
          <t>Pessoas com acesso: meta inicial</t>
        </is>
      </c>
      <c r="B2" s="2" t="n">
        <v>100</v>
      </c>
      <c r="C2" s="2" t="inlineStr">
        <is>
          <t>Pessoas reais usuárias; não funcionários representados no mapa</t>
        </is>
      </c>
      <c r="D2" s="2" t="n"/>
      <c r="E2" s="2" t="n"/>
      <c r="F2" s="2" t="n"/>
      <c r="G2" s="2" t="n"/>
    </row>
    <row r="3" ht="42" customHeight="1">
      <c r="A3" s="2" t="inlineStr">
        <is>
          <t>Pessoas simultâneas na plataforma</t>
        </is>
      </c>
      <c r="B3" s="2" t="n">
        <v>20</v>
      </c>
      <c r="C3" s="2" t="inlineStr">
        <is>
          <t>Meta para consulta ao mapa e registros, a validar no servidor web</t>
        </is>
      </c>
      <c r="D3" s="2" t="n"/>
      <c r="E3" s="2" t="n"/>
      <c r="F3" s="2" t="n"/>
      <c r="G3" s="2" t="n"/>
    </row>
    <row r="4" ht="42" customHeight="1">
      <c r="A4" s="2" t="inlineStr">
        <is>
          <t>Fração que usa IA por dia</t>
        </is>
      </c>
      <c r="B4" s="3" t="n">
        <v>0.4</v>
      </c>
      <c r="C4" s="2" t="inlineStr">
        <is>
          <t>Hipótese de uso, não pesquisa de clientes</t>
        </is>
      </c>
      <c r="D4" s="2" t="n"/>
      <c r="E4" s="2" t="n"/>
      <c r="F4" s="2" t="n"/>
      <c r="G4" s="2" t="n"/>
    </row>
    <row r="5" ht="42" customHeight="1">
      <c r="A5" s="2" t="inlineStr">
        <is>
          <t>Perguntas por usuário ativo/dia</t>
        </is>
      </c>
      <c r="B5" s="2" t="n">
        <v>6</v>
      </c>
      <c r="C5" s="2" t="inlineStr">
        <is>
          <t>Respostas curtas, contexto delimitado</t>
        </is>
      </c>
      <c r="D5" s="2" t="n"/>
      <c r="E5" s="2" t="n"/>
      <c r="F5" s="2" t="n"/>
      <c r="G5" s="2" t="n"/>
    </row>
    <row r="6" ht="42" customHeight="1">
      <c r="A6" s="2" t="inlineStr">
        <is>
          <t>Horas de atendimento/dia</t>
        </is>
      </c>
      <c r="B6" s="2" t="n">
        <v>8</v>
      </c>
      <c r="C6" s="2" t="inlineStr">
        <is>
          <t>Dias úteis; sem promessa de plantão 24x7</t>
        </is>
      </c>
      <c r="D6" s="2" t="n"/>
      <c r="E6" s="2" t="n"/>
      <c r="F6" s="2" t="n"/>
      <c r="G6" s="2" t="n"/>
    </row>
    <row r="7" ht="42" customHeight="1">
      <c r="A7" s="2" t="inlineStr">
        <is>
          <t>Multiplicador da hora de pico</t>
        </is>
      </c>
      <c r="B7" s="2" t="n">
        <v>2</v>
      </c>
      <c r="C7" s="2" t="inlineStr">
        <is>
          <t>Hora mais movimentada = dobro da média</t>
        </is>
      </c>
      <c r="D7" s="2" t="n"/>
      <c r="E7" s="2" t="n"/>
      <c r="F7" s="2" t="n"/>
      <c r="G7" s="2" t="n"/>
    </row>
    <row r="8" ht="42" customHeight="1">
      <c r="A8" s="2" t="inlineStr">
        <is>
          <t>Saída média por pergunta (tokens)</t>
        </is>
      </c>
      <c r="B8" s="2" t="n">
        <v>300</v>
      </c>
      <c r="C8" s="2" t="inlineStr">
        <is>
          <t>Unidades de texto; não equivale a 300 palavras</t>
        </is>
      </c>
      <c r="D8" s="2" t="n"/>
      <c r="E8" s="2" t="n"/>
      <c r="F8" s="2" t="n"/>
      <c r="G8" s="2" t="n"/>
    </row>
    <row r="9" ht="42" customHeight="1">
      <c r="A9" s="2" t="inlineStr">
        <is>
          <t>Geração mínima alvo (tokens/segundo)</t>
        </is>
      </c>
      <c r="B9" s="2" t="n">
        <v>20</v>
      </c>
      <c r="C9" s="2" t="inlineStr">
        <is>
          <t>Meta a medir em uma DGX, não desempenho observado</t>
        </is>
      </c>
      <c r="D9" s="2" t="n"/>
      <c r="E9" s="2" t="n"/>
      <c r="F9" s="2" t="n"/>
      <c r="G9" s="2" t="n"/>
    </row>
    <row r="10" ht="42" customHeight="1">
      <c r="A10" s="2" t="inlineStr">
        <is>
          <t>Outros segundos por pergunta</t>
        </is>
      </c>
      <c r="B10" s="2" t="n">
        <v>5</v>
      </c>
      <c r="C10" s="2" t="inlineStr">
        <is>
          <t>Busca, preparação, entrada do modelo e rede; meta a medir</t>
        </is>
      </c>
      <c r="D10" s="2" t="n"/>
      <c r="E10" s="2" t="n"/>
      <c r="F10" s="2" t="n"/>
      <c r="G10" s="2" t="n"/>
    </row>
    <row r="11" ht="42" customHeight="1">
      <c r="A11" s="2" t="inlineStr">
        <is>
          <t>Fração da capacidade usada no planejamento</t>
        </is>
      </c>
      <c r="B11" s="3" t="n">
        <v>0.5</v>
      </c>
      <c r="C11" s="2" t="inlineStr">
        <is>
          <t>Metade reservada para variação, manutenção e segurança de operação</t>
        </is>
      </c>
      <c r="D11" s="2" t="n"/>
      <c r="E11" s="2" t="n"/>
      <c r="F11" s="2" t="n"/>
      <c r="G11" s="2" t="n"/>
    </row>
    <row r="12" ht="42" customHeight="1">
      <c r="A12" s="2" t="inlineStr">
        <is>
          <t>Pedidos aguardando na fila</t>
        </is>
      </c>
      <c r="B12" s="2" t="n">
        <v>2</v>
      </c>
      <c r="C12" s="2" t="inlineStr">
        <is>
          <t>Além de um pedido em execução; excedentes explicitamente limitados</t>
        </is>
      </c>
      <c r="D12" s="2" t="n"/>
      <c r="E12" s="2" t="n"/>
      <c r="F12" s="2" t="n"/>
      <c r="G12" s="2" t="n"/>
    </row>
    <row r="13" ht="42" customHeight="1">
      <c r="A13" s="2" t="inlineStr">
        <is>
          <t>Pessoas médias por empresa na projeção</t>
        </is>
      </c>
      <c r="B13" s="2">
        <f>Premissas!B14</f>
        <v>10</v>
      </c>
      <c r="C13" s="2" t="inlineStr">
        <is>
          <t>10 participantes por contrato; inclui ambientes em implantação</t>
        </is>
      </c>
      <c r="D13" s="2" t="n"/>
      <c r="E13" s="2" t="n"/>
      <c r="F13" s="2" t="n"/>
      <c r="G13" s="2" t="n"/>
    </row>
    <row r="14" ht="42" customHeight="1">
      <c r="A14" s="2" t="inlineStr">
        <is>
          <t>Servidor web: CPUs virtuais alvo</t>
        </is>
      </c>
      <c r="B14" s="2" t="n">
        <v>4</v>
      </c>
      <c r="C14" s="2" t="inlineStr">
        <is>
          <t>Configuração a testar e cotar dentro dos R$1 mil/mês</t>
        </is>
      </c>
      <c r="D14" s="2" t="n"/>
      <c r="E14" s="2" t="n"/>
      <c r="F14" s="2" t="n"/>
      <c r="G14" s="2" t="n"/>
    </row>
    <row r="15" ht="42" customHeight="1">
      <c r="A15" s="2" t="inlineStr">
        <is>
          <t>Servidor web: memória GB alvo</t>
        </is>
      </c>
      <c r="B15" s="2" t="n">
        <v>8</v>
      </c>
      <c r="C15" s="2" t="inlineStr">
        <is>
          <t>Banco e backup segregados logicamente, fora da DGX</t>
        </is>
      </c>
      <c r="D15" s="2" t="n"/>
      <c r="E15" s="2" t="n"/>
      <c r="F15" s="2" t="n"/>
      <c r="G15" s="2" t="n"/>
    </row>
    <row r="16" ht="42" customHeight="1">
      <c r="A16" s="2" t="inlineStr">
        <is>
          <t>Execuções de IA simultâneas</t>
        </is>
      </c>
      <c r="B16" s="2" t="n">
        <v>1</v>
      </c>
      <c r="C16" s="2" t="inlineStr">
        <is>
          <t>Desenvolvimento e processamento em lote fora do atendimento</t>
        </is>
      </c>
      <c r="D16" s="2" t="n"/>
      <c r="E16" s="2" t="n"/>
      <c r="F16" s="2" t="n"/>
      <c r="G16" s="2" t="n"/>
    </row>
    <row r="17" ht="42" customHeight="1">
      <c r="A17" s="2" t="inlineStr">
        <is>
          <t>Origem dos números</t>
        </is>
      </c>
      <c r="B17" s="2" t="n"/>
      <c r="C17" s="2" t="inlineStr">
        <is>
          <t>Metas operacionais propostas; hardware não foi ensaiado</t>
        </is>
      </c>
      <c r="D17" s="2" t="n"/>
      <c r="E17" s="2" t="n"/>
      <c r="F17" s="2" t="n"/>
      <c r="G17" s="2" t="n"/>
    </row>
    <row r="18" ht="42" customHeight="1">
      <c r="A18" s="2" t="inlineStr">
        <is>
          <t>Tempo calculado por pergunta, segundos</t>
        </is>
      </c>
      <c r="B18" s="2">
        <f>B8/B9+B10</f>
        <v>20</v>
      </c>
      <c r="C18" s="2" t="inlineStr">
        <is>
          <t>Exige atingir os dois parâmetros de tempo acima</t>
        </is>
      </c>
      <c r="D18" s="2" t="n"/>
      <c r="E18" s="2" t="n"/>
      <c r="F18" s="2" t="n"/>
      <c r="G18" s="2" t="n"/>
    </row>
    <row r="19" ht="42" customHeight="1">
      <c r="A19" s="2" t="inlineStr">
        <is>
          <t>Perguntas/hora, máximo aritmético</t>
        </is>
      </c>
      <c r="B19" s="2">
        <f>3600/B18</f>
        <v>180</v>
      </c>
      <c r="C19" s="2" t="inlineStr">
        <is>
          <t>Sem margem de planejamento</t>
        </is>
      </c>
      <c r="D19" s="2" t="n"/>
      <c r="E19" s="2" t="n"/>
      <c r="F19" s="2" t="n"/>
      <c r="G19" s="2" t="n"/>
    </row>
    <row r="20" ht="42" customHeight="1">
      <c r="A20" s="2" t="inlineStr">
        <is>
          <t>Perguntas/hora após margem</t>
        </is>
      </c>
      <c r="B20" s="2">
        <f>B19*B11</f>
        <v>90</v>
      </c>
      <c r="C20" s="2" t="inlineStr">
        <is>
          <t>Capacidade planejada, condicionada ao teste</t>
        </is>
      </c>
      <c r="D20" s="2" t="n"/>
      <c r="E20" s="2" t="n"/>
      <c r="F20" s="2" t="n"/>
      <c r="G20" s="2" t="n"/>
    </row>
    <row r="21" ht="42" customHeight="1">
      <c r="A21" s="2" t="inlineStr">
        <is>
          <t>Usuários ativos de IA/dia</t>
        </is>
      </c>
      <c r="B21" s="2">
        <f>B2*B4</f>
        <v>40</v>
      </c>
      <c r="C21" s="2" t="inlineStr">
        <is>
          <t>Não é simultaneidade</t>
        </is>
      </c>
      <c r="D21" s="2" t="n"/>
      <c r="E21" s="2" t="n"/>
      <c r="F21" s="2" t="n"/>
      <c r="G21" s="2" t="n"/>
    </row>
    <row r="22" ht="42" customHeight="1">
      <c r="A22" s="2" t="inlineStr">
        <is>
          <t>Perguntas/dia</t>
        </is>
      </c>
      <c r="B22" s="2">
        <f>B21*B5</f>
        <v>240</v>
      </c>
      <c r="C22" s="2" t="inlineStr">
        <is>
          <t>Demanda do perfil</t>
        </is>
      </c>
      <c r="D22" s="2" t="n"/>
      <c r="E22" s="2" t="n"/>
      <c r="F22" s="2" t="n"/>
      <c r="G22" s="2" t="n"/>
    </row>
    <row r="23" ht="42" customHeight="1">
      <c r="A23" s="2" t="inlineStr">
        <is>
          <t>Perguntas/hora média</t>
        </is>
      </c>
      <c r="B23" s="2">
        <f>B22/B6</f>
        <v>30</v>
      </c>
      <c r="C23" s="2" t="inlineStr">
        <is>
          <t>Demanda do perfil</t>
        </is>
      </c>
      <c r="D23" s="2" t="n"/>
      <c r="E23" s="2" t="n"/>
      <c r="F23" s="2" t="n"/>
      <c r="G23" s="2" t="n"/>
    </row>
    <row r="24" ht="42" customHeight="1">
      <c r="A24" s="2" t="inlineStr">
        <is>
          <t>Perguntas/hora de pico</t>
        </is>
      </c>
      <c r="B24" s="2">
        <f>B23*B7</f>
        <v>60</v>
      </c>
      <c r="C24" s="2" t="inlineStr">
        <is>
          <t>Demanda do perfil</t>
        </is>
      </c>
      <c r="D24" s="2" t="n"/>
      <c r="E24" s="2" t="n"/>
      <c r="F24" s="2" t="n"/>
      <c r="G24" s="2" t="n"/>
    </row>
    <row r="25" ht="42" customHeight="1">
      <c r="A25" s="2" t="inlineStr">
        <is>
          <t>Uso da capacidade planejada no pico</t>
        </is>
      </c>
      <c r="B25" s="3">
        <f>B24/B20</f>
        <v>0.666666666666667</v>
      </c>
      <c r="C25" s="2" t="inlineStr">
        <is>
          <t>Deve ficar abaixo de 100% e com qualidade aprovada</t>
        </is>
      </c>
      <c r="D25" s="2" t="n"/>
      <c r="E25" s="2" t="n"/>
      <c r="F25" s="2" t="n"/>
      <c r="G25" s="2" t="n"/>
    </row>
    <row r="26" ht="42" customHeight="1">
      <c r="A26" s="2" t="inlineStr">
        <is>
          <t>Tempo de três pedidos admitidos em rajada</t>
        </is>
      </c>
      <c r="B26" s="2">
        <f>B18*(B12+1)</f>
        <v>60</v>
      </c>
      <c r="C26" s="2" t="inlineStr">
        <is>
          <t>Segundos até terminar o último, se o tempo-alvo for constante</t>
        </is>
      </c>
      <c r="D26" s="2" t="n"/>
      <c r="E26" s="2" t="n"/>
      <c r="F26" s="2" t="n"/>
      <c r="G26" s="2" t="n"/>
    </row>
    <row r="27" ht="42" customHeight="1">
      <c r="A27" s="2" t="inlineStr">
        <is>
          <t>Pessoas no limite aritmético deste perfil</t>
        </is>
      </c>
      <c r="B27" s="2">
        <f>B20*B6/(B4*B5*B7)</f>
        <v>150</v>
      </c>
      <c r="C27" s="2" t="inlineStr">
        <is>
          <t>Não é autorização de vender este volume; arredondamentos não são benchmark</t>
        </is>
      </c>
      <c r="D27" s="2" t="n"/>
      <c r="E27" s="2" t="n"/>
      <c r="F27" s="2" t="n"/>
      <c r="G27" s="2" t="n"/>
    </row>
    <row r="28" ht="42" customHeight="1">
      <c r="A28" s="2" t="inlineStr">
        <is>
          <t>Folga de perguntas por hora no pico</t>
        </is>
      </c>
      <c r="B28" s="2">
        <f>B20-B24</f>
        <v>30</v>
      </c>
      <c r="C28" s="2" t="inlineStr">
        <is>
          <t>Com 100 pessoas, 30 perguntas/h de folga no perfil</t>
        </is>
      </c>
      <c r="D28" s="2" t="n"/>
      <c r="E28" s="2" t="n"/>
      <c r="F28" s="2" t="n"/>
      <c r="G28" s="2" t="n"/>
    </row>
    <row r="29" ht="42" customHeight="1">
      <c r="A29" s="2" t="n"/>
      <c r="B29" s="2" t="n"/>
      <c r="C29" s="2" t="n"/>
      <c r="D29" s="2" t="n"/>
      <c r="E29" s="2" t="n"/>
      <c r="F29" s="2" t="n"/>
      <c r="G29" s="2" t="n"/>
    </row>
    <row r="30" ht="42" customHeight="1">
      <c r="A30" s="2" t="inlineStr">
        <is>
          <t>Pessoas</t>
        </is>
      </c>
      <c r="B30" s="2" t="inlineStr">
        <is>
          <t>Ativos IA/dia</t>
        </is>
      </c>
      <c r="C30" s="2" t="inlineStr">
        <is>
          <t>Perguntas/dia</t>
        </is>
      </c>
      <c r="D30" s="2" t="inlineStr">
        <is>
          <t>Pico/h</t>
        </is>
      </c>
      <c r="E30" s="2" t="inlineStr">
        <is>
          <t>Capacidade planejada/h</t>
        </is>
      </c>
      <c r="F30" s="2" t="inlineStr">
        <is>
          <t>Uso do limite</t>
        </is>
      </c>
      <c r="G30" s="2" t="inlineStr">
        <is>
          <t>Leitura</t>
        </is>
      </c>
    </row>
    <row r="31" ht="42" customHeight="1">
      <c r="A31" s="2" t="n">
        <v>50</v>
      </c>
      <c r="B31" s="2">
        <f>A31*$B$4</f>
        <v>20</v>
      </c>
      <c r="C31" s="2">
        <f>B31*$B$5</f>
        <v>120</v>
      </c>
      <c r="D31" s="2">
        <f>C31/$B$6*$B$7</f>
        <v>30</v>
      </c>
      <c r="E31" s="2">
        <f>$B$20</f>
        <v>90</v>
      </c>
      <c r="F31" s="3">
        <f>D31/E31</f>
        <v>0.333333333333333</v>
      </c>
      <c r="G31" s="2" t="inlineStr">
        <is>
          <t>Ensaio reduzido</t>
        </is>
      </c>
    </row>
    <row r="32" ht="42" customHeight="1">
      <c r="A32" s="2" t="n">
        <v>100</v>
      </c>
      <c r="B32" s="2">
        <f>A32*$B$4</f>
        <v>40</v>
      </c>
      <c r="C32" s="2">
        <f>B32*$B$5</f>
        <v>240</v>
      </c>
      <c r="D32" s="2">
        <f>C32/$B$6*$B$7</f>
        <v>60</v>
      </c>
      <c r="E32" s="2">
        <f>$B$20</f>
        <v>90</v>
      </c>
      <c r="F32" s="3">
        <f>D32/E32</f>
        <v>0.666666666666667</v>
      </c>
      <c r="G32" s="2" t="inlineStr">
        <is>
          <t>Meta inicial</t>
        </is>
      </c>
    </row>
    <row r="33" ht="42" customHeight="1">
      <c r="A33" s="2" t="n">
        <v>150</v>
      </c>
      <c r="B33" s="2">
        <f>A33*$B$4</f>
        <v>60</v>
      </c>
      <c r="C33" s="2">
        <f>B33*$B$5</f>
        <v>360</v>
      </c>
      <c r="D33" s="2">
        <f>C33/$B$6*$B$7</f>
        <v>90</v>
      </c>
      <c r="E33" s="2">
        <f>$B$20</f>
        <v>90</v>
      </c>
      <c r="F33" s="3">
        <f>D33/E33</f>
        <v>1</v>
      </c>
      <c r="G33" s="2" t="inlineStr">
        <is>
          <t>Sem folga adicional; não admitir sem novo teste</t>
        </is>
      </c>
    </row>
    <row r="34" ht="42" customHeight="1">
      <c r="A34" s="2" t="n">
        <v>200</v>
      </c>
      <c r="B34" s="2">
        <f>A34*$B$4</f>
        <v>80</v>
      </c>
      <c r="C34" s="2">
        <f>B34*$B$5</f>
        <v>480</v>
      </c>
      <c r="D34" s="2">
        <f>C34/$B$6*$B$7</f>
        <v>120</v>
      </c>
      <c r="E34" s="2">
        <f>$B$20</f>
        <v>90</v>
      </c>
      <c r="F34" s="3">
        <f>D34/E34</f>
        <v>1.33333333333333</v>
      </c>
      <c r="G34" s="2" t="inlineStr">
        <is>
          <t>Excede o perfil; precisa mudar uso ou ampliar capacidade</t>
        </is>
      </c>
    </row>
    <row r="35" ht="42" customHeight="1">
      <c r="A35" s="2" t="n"/>
      <c r="B35" s="2" t="n"/>
      <c r="C35" s="2" t="n"/>
      <c r="D35" s="2" t="n"/>
      <c r="E35" s="2" t="n"/>
      <c r="F35" s="2" t="n"/>
      <c r="G35" s="2" t="n"/>
    </row>
    <row r="36" ht="42" customHeight="1">
      <c r="A36" s="2" t="inlineStr">
        <is>
          <t>Cenário</t>
        </is>
      </c>
      <c r="B36" s="2" t="inlineStr">
        <is>
          <t>Pessoas máximas</t>
        </is>
      </c>
      <c r="C36" s="2" t="inlineStr">
        <is>
          <t>Horas diretas máximas</t>
        </is>
      </c>
      <c r="D36" s="2" t="inlineStr">
        <is>
          <t>Equivalentes a120h produtivas</t>
        </is>
      </c>
      <c r="E36" s="2" t="inlineStr">
        <is>
          <t>Observação</t>
        </is>
      </c>
      <c r="F36" s="2" t="n"/>
      <c r="G36" s="2" t="n"/>
    </row>
    <row r="37" ht="42" customHeight="1">
      <c r="A37" s="2" t="inlineStr">
        <is>
          <t>Conservador</t>
        </is>
      </c>
      <c r="B37" s="2">
        <f>Resumo!Q2</f>
        <v>30</v>
      </c>
      <c r="C37" s="2">
        <f>Resumo!P2</f>
        <v>260</v>
      </c>
      <c r="D37" s="2">
        <f>C37/Premissas!B15</f>
        <v>2.16666666666667</v>
      </c>
      <c r="E37" s="2" t="inlineStr">
        <is>
          <t>Capacidade depende de contratar prestadores, não apenas da DGX</t>
        </is>
      </c>
      <c r="F37" s="2" t="n"/>
      <c r="G37" s="2" t="n"/>
    </row>
    <row r="38" ht="42" customHeight="1">
      <c r="A38" s="2" t="inlineStr">
        <is>
          <t>Base</t>
        </is>
      </c>
      <c r="B38" s="2">
        <f>Resumo!Q3</f>
        <v>40</v>
      </c>
      <c r="C38" s="2">
        <f>Resumo!P3</f>
        <v>270</v>
      </c>
      <c r="D38" s="2">
        <f>C38/Premissas!B15</f>
        <v>2.25</v>
      </c>
      <c r="E38" s="2" t="inlineStr">
        <is>
          <t>Capacidade depende de contratar prestadores, não apenas da DGX</t>
        </is>
      </c>
      <c r="F38" s="2" t="n"/>
      <c r="G38" s="2" t="n"/>
    </row>
    <row r="39" ht="42" customHeight="1">
      <c r="A39" s="2" t="inlineStr">
        <is>
          <t>Expansao</t>
        </is>
      </c>
      <c r="B39" s="2">
        <f>Resumo!Q4</f>
        <v>60</v>
      </c>
      <c r="C39" s="2">
        <f>Resumo!P4</f>
        <v>290</v>
      </c>
      <c r="D39" s="2">
        <f>C39/Premissas!B15</f>
        <v>2.41666666666667</v>
      </c>
      <c r="E39" s="2" t="inlineStr">
        <is>
          <t>Capacidade depende de contratar prestadores, não apenas da DGX</t>
        </is>
      </c>
      <c r="F39" s="2" t="n"/>
      <c r="G39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79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</cols>
  <sheetData>
    <row r="1" ht="46" customHeight="1">
      <c r="A1" s="1" t="inlineStr">
        <is>
          <t>Snapshot estático revisão setup R$200 mil; não muda após edição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>
      <c r="A2" s="2" t="inlineStr">
        <is>
          <t>Cenário</t>
        </is>
      </c>
      <c r="B2" s="2" t="inlineStr">
        <is>
          <t>projects</t>
        </is>
      </c>
      <c r="C2" s="2" t="inlineStr">
        <is>
          <t>completed</t>
        </is>
      </c>
      <c r="D2" s="2" t="inlineStr">
        <is>
          <t>active24</t>
        </is>
      </c>
      <c r="E2" s="2" t="inlineStr">
        <is>
          <t>mrr24</t>
        </is>
      </c>
      <c r="F2" s="2" t="inlineStr">
        <is>
          <t>billed1</t>
        </is>
      </c>
      <c r="G2" s="2" t="inlineStr">
        <is>
          <t>billed2</t>
        </is>
      </c>
      <c r="H2" s="2" t="inlineStr">
        <is>
          <t>received1</t>
        </is>
      </c>
      <c r="I2" s="2" t="inlineStr">
        <is>
          <t>received2</t>
        </is>
      </c>
      <c r="J2" s="2" t="inlineStr">
        <is>
          <t>peak</t>
        </is>
      </c>
      <c r="K2" s="2" t="inlineStr">
        <is>
          <t>reserve</t>
        </is>
      </c>
      <c r="L2" s="2" t="inlineStr">
        <is>
          <t>capital</t>
        </is>
      </c>
      <c r="M2" s="2" t="inlineStr">
        <is>
          <t>cash24</t>
        </is>
      </c>
      <c r="N2" s="2" t="inlineStr">
        <is>
          <t>ar24</t>
        </is>
      </c>
      <c r="O2" s="2" t="inlineStr">
        <is>
          <t>recurring24</t>
        </is>
      </c>
      <c r="P2" s="2" t="inlineStr">
        <is>
          <t>peak_hours</t>
        </is>
      </c>
      <c r="Q2" s="2" t="inlineStr">
        <is>
          <t>peak_people</t>
        </is>
      </c>
      <c r="R2" s="2" t="inlineStr">
        <is>
          <t>first_recurring_breakeven</t>
        </is>
      </c>
      <c r="S2" s="2" t="inlineStr">
        <is>
          <t>first_positive_month</t>
        </is>
      </c>
      <c r="T2" s="2" t="n"/>
      <c r="U2" s="2" t="n"/>
      <c r="V2" s="2" t="n"/>
      <c r="W2" s="2" t="n"/>
      <c r="X2" s="2" t="n"/>
      <c r="Y2" s="2" t="n"/>
      <c r="Z2" s="2" t="n"/>
    </row>
    <row r="3">
      <c r="A3" s="2" t="inlineStr">
        <is>
          <t>Conservador</t>
        </is>
      </c>
      <c r="B3" s="2" t="n">
        <v>3</v>
      </c>
      <c r="C3" s="2" t="n">
        <v>3</v>
      </c>
      <c r="D3" s="2" t="n">
        <v>2</v>
      </c>
      <c r="E3" s="2" t="n">
        <v>24000</v>
      </c>
      <c r="F3" s="2" t="n">
        <v>212000</v>
      </c>
      <c r="G3" s="2" t="n">
        <v>628000</v>
      </c>
      <c r="H3" s="2" t="n">
        <v>200000</v>
      </c>
      <c r="I3" s="2" t="n">
        <v>616000</v>
      </c>
      <c r="J3" s="2" t="n">
        <v>813040</v>
      </c>
      <c r="K3" s="2" t="n">
        <v>126000</v>
      </c>
      <c r="L3" s="2" t="n">
        <v>940000</v>
      </c>
      <c r="M3" s="2" t="n">
        <v>-798400</v>
      </c>
      <c r="N3" s="2" t="n">
        <v>24000</v>
      </c>
      <c r="O3" s="2" t="n">
        <v>-25680</v>
      </c>
      <c r="P3" s="2" t="n">
        <v>260</v>
      </c>
      <c r="Q3" s="2" t="n">
        <v>30</v>
      </c>
      <c r="R3" s="2" t="n"/>
      <c r="S3" s="2" t="n">
        <v>18</v>
      </c>
      <c r="T3" s="2" t="n"/>
      <c r="U3" s="2" t="n"/>
      <c r="V3" s="2" t="n"/>
      <c r="W3" s="2" t="n"/>
      <c r="X3" s="2" t="n"/>
      <c r="Y3" s="2" t="n"/>
      <c r="Z3" s="2" t="n"/>
    </row>
    <row r="4">
      <c r="A4" s="2" t="inlineStr">
        <is>
          <t>Base</t>
        </is>
      </c>
      <c r="B4" s="2" t="n">
        <v>5</v>
      </c>
      <c r="C4" s="2" t="n">
        <v>4</v>
      </c>
      <c r="D4" s="2" t="n">
        <v>3</v>
      </c>
      <c r="E4" s="2" t="n">
        <v>36000</v>
      </c>
      <c r="F4" s="2" t="n">
        <v>396000</v>
      </c>
      <c r="G4" s="2" t="n">
        <v>960000</v>
      </c>
      <c r="H4" s="2" t="n">
        <v>304000</v>
      </c>
      <c r="I4" s="2" t="n">
        <v>936000</v>
      </c>
      <c r="J4" s="2" t="n">
        <v>696920</v>
      </c>
      <c r="K4" s="2" t="n">
        <v>126000</v>
      </c>
      <c r="L4" s="2" t="n">
        <v>830000</v>
      </c>
      <c r="M4" s="2" t="n">
        <v>-696920</v>
      </c>
      <c r="N4" s="2" t="n">
        <v>116000</v>
      </c>
      <c r="O4" s="2" t="n">
        <v>-17520</v>
      </c>
      <c r="P4" s="2" t="n">
        <v>270</v>
      </c>
      <c r="Q4" s="2" t="n">
        <v>40</v>
      </c>
      <c r="R4" s="2" t="n"/>
      <c r="S4" s="2" t="n">
        <v>14</v>
      </c>
      <c r="T4" s="2" t="n"/>
      <c r="U4" s="2" t="n"/>
      <c r="V4" s="2" t="n"/>
      <c r="W4" s="2" t="n"/>
      <c r="X4" s="2" t="n"/>
      <c r="Y4" s="2" t="n"/>
      <c r="Z4" s="2" t="n"/>
    </row>
    <row r="5">
      <c r="A5" s="2" t="inlineStr">
        <is>
          <t>Expansao</t>
        </is>
      </c>
      <c r="B5" s="2" t="n">
        <v>7</v>
      </c>
      <c r="C5" s="2" t="n">
        <v>6</v>
      </c>
      <c r="D5" s="2" t="n">
        <v>5</v>
      </c>
      <c r="E5" s="2" t="n">
        <v>60000</v>
      </c>
      <c r="F5" s="2" t="n">
        <v>644000</v>
      </c>
      <c r="G5" s="2" t="n">
        <v>1340000</v>
      </c>
      <c r="H5" s="2" t="n">
        <v>540000</v>
      </c>
      <c r="I5" s="2" t="n">
        <v>1304000</v>
      </c>
      <c r="J5" s="2" t="n">
        <v>513440</v>
      </c>
      <c r="K5" s="2" t="n">
        <v>126000</v>
      </c>
      <c r="L5" s="2" t="n">
        <v>640000</v>
      </c>
      <c r="M5" s="2" t="n">
        <v>-491880</v>
      </c>
      <c r="N5" s="2" t="n">
        <v>140000</v>
      </c>
      <c r="O5" s="2" t="n">
        <v>-1200</v>
      </c>
      <c r="P5" s="2" t="n">
        <v>290</v>
      </c>
      <c r="Q5" s="2" t="n">
        <v>60</v>
      </c>
      <c r="R5" s="2" t="n"/>
      <c r="S5" s="2" t="n">
        <v>8</v>
      </c>
      <c r="T5" s="2" t="n"/>
      <c r="U5" s="2" t="n"/>
      <c r="V5" s="2" t="n"/>
      <c r="W5" s="2" t="n"/>
      <c r="X5" s="2" t="n"/>
      <c r="Y5" s="2" t="n"/>
      <c r="Z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inlineStr">
        <is>
          <t>Cenário</t>
        </is>
      </c>
      <c r="B7" s="2" t="inlineStr">
        <is>
          <t>month</t>
        </is>
      </c>
      <c r="C7" s="2" t="inlineStr">
        <is>
          <t>new_projects</t>
        </is>
      </c>
      <c r="D7" s="2" t="inlineStr">
        <is>
          <t>go_lives</t>
        </is>
      </c>
      <c r="E7" s="2" t="inlineStr">
        <is>
          <t>churn</t>
        </is>
      </c>
      <c r="F7" s="2" t="inlineStr">
        <is>
          <t>active</t>
        </is>
      </c>
      <c r="G7" s="2" t="inlineStr">
        <is>
          <t>in_delivery</t>
        </is>
      </c>
      <c r="H7" s="2" t="inlineStr">
        <is>
          <t>setup_billed</t>
        </is>
      </c>
      <c r="I7" s="2" t="inlineStr">
        <is>
          <t>subscription_billed</t>
        </is>
      </c>
      <c r="J7" s="2" t="inlineStr">
        <is>
          <t>billed</t>
        </is>
      </c>
      <c r="K7" s="2" t="inlineStr">
        <is>
          <t>setup_received</t>
        </is>
      </c>
      <c r="L7" s="2" t="inlineStr">
        <is>
          <t>subscription_received</t>
        </is>
      </c>
      <c r="M7" s="2" t="inlineStr">
        <is>
          <t>received</t>
        </is>
      </c>
      <c r="N7" s="2" t="inlineStr">
        <is>
          <t>fixed</t>
        </is>
      </c>
      <c r="O7" s="2" t="inlineStr">
        <is>
          <t>delivery_cost</t>
        </is>
      </c>
      <c r="P7" s="2" t="inlineStr">
        <is>
          <t>care_cost</t>
        </is>
      </c>
      <c r="Q7" s="2" t="inlineStr">
        <is>
          <t>tax</t>
        </is>
      </c>
      <c r="R7" s="2" t="inlineStr">
        <is>
          <t>commission</t>
        </is>
      </c>
      <c r="S7" s="2" t="inlineStr">
        <is>
          <t>outflow</t>
        </is>
      </c>
      <c r="T7" s="2" t="inlineStr">
        <is>
          <t>net</t>
        </is>
      </c>
      <c r="U7" s="2" t="inlineStr">
        <is>
          <t>cumulative</t>
        </is>
      </c>
      <c r="V7" s="2" t="inlineStr">
        <is>
          <t>recurring_result</t>
        </is>
      </c>
      <c r="W7" s="2" t="inlineStr">
        <is>
          <t>delivery_hours</t>
        </is>
      </c>
      <c r="X7" s="2" t="inlineStr">
        <is>
          <t>care_hours</t>
        </is>
      </c>
      <c r="Y7" s="2" t="inlineStr">
        <is>
          <t>receivables</t>
        </is>
      </c>
      <c r="Z7" s="2" t="inlineStr">
        <is>
          <t>people</t>
        </is>
      </c>
    </row>
    <row r="8">
      <c r="A8" s="2" t="inlineStr">
        <is>
          <t>Conservador</t>
        </is>
      </c>
      <c r="B8" s="2" t="n">
        <v>1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37000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37000</v>
      </c>
      <c r="T8" s="2" t="n">
        <v>-37000</v>
      </c>
      <c r="U8" s="2" t="n">
        <v>-137000</v>
      </c>
      <c r="V8" s="2" t="n">
        <v>-37000</v>
      </c>
      <c r="W8" s="2" t="n">
        <v>0</v>
      </c>
      <c r="X8" s="2" t="n">
        <v>0</v>
      </c>
      <c r="Y8" s="2" t="n">
        <v>0</v>
      </c>
      <c r="Z8" s="2" t="n">
        <v>0</v>
      </c>
    </row>
    <row r="9">
      <c r="A9" s="2" t="inlineStr">
        <is>
          <t>Conservador</t>
        </is>
      </c>
      <c r="B9" s="2" t="n">
        <v>2</v>
      </c>
      <c r="C9" s="2" t="n">
        <v>0</v>
      </c>
      <c r="D9" s="2" t="n">
        <v>0</v>
      </c>
      <c r="E9" s="2" t="n">
        <v>0</v>
      </c>
      <c r="F9" s="2" t="n">
        <v>0</v>
      </c>
      <c r="G9" s="2" t="n">
        <v>0</v>
      </c>
      <c r="H9" s="2" t="n">
        <v>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37000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37000</v>
      </c>
      <c r="T9" s="2" t="n">
        <v>-37000</v>
      </c>
      <c r="U9" s="2" t="n">
        <v>-174000</v>
      </c>
      <c r="V9" s="2" t="n">
        <v>-37000</v>
      </c>
      <c r="W9" s="2" t="n">
        <v>0</v>
      </c>
      <c r="X9" s="2" t="n">
        <v>0</v>
      </c>
      <c r="Y9" s="2" t="n">
        <v>0</v>
      </c>
      <c r="Z9" s="2" t="n">
        <v>0</v>
      </c>
    </row>
    <row r="10">
      <c r="A10" s="2" t="inlineStr">
        <is>
          <t>Conservador</t>
        </is>
      </c>
      <c r="B10" s="2" t="n">
        <v>3</v>
      </c>
      <c r="C10" s="2" t="n">
        <v>0</v>
      </c>
      <c r="D10" s="2" t="n">
        <v>0</v>
      </c>
      <c r="E10" s="2" t="n">
        <v>0</v>
      </c>
      <c r="F10" s="2" t="n">
        <v>0</v>
      </c>
      <c r="G10" s="2" t="n">
        <v>0</v>
      </c>
      <c r="H10" s="2" t="n">
        <v>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37000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37000</v>
      </c>
      <c r="T10" s="2" t="n">
        <v>-37000</v>
      </c>
      <c r="U10" s="2" t="n">
        <v>-211000</v>
      </c>
      <c r="V10" s="2" t="n">
        <v>-37000</v>
      </c>
      <c r="W10" s="2" t="n">
        <v>0</v>
      </c>
      <c r="X10" s="2" t="n">
        <v>0</v>
      </c>
      <c r="Y10" s="2" t="n">
        <v>0</v>
      </c>
      <c r="Z10" s="2" t="n">
        <v>0</v>
      </c>
    </row>
    <row r="11">
      <c r="A11" s="2" t="inlineStr">
        <is>
          <t>Conservador</t>
        </is>
      </c>
      <c r="B11" s="2" t="n">
        <v>4</v>
      </c>
      <c r="C11" s="2" t="n">
        <v>0</v>
      </c>
      <c r="D11" s="2" t="n">
        <v>0</v>
      </c>
      <c r="E11" s="2" t="n">
        <v>0</v>
      </c>
      <c r="F11" s="2" t="n">
        <v>0</v>
      </c>
      <c r="G11" s="2" t="n">
        <v>0</v>
      </c>
      <c r="H11" s="2" t="n">
        <v>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37000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37000</v>
      </c>
      <c r="T11" s="2" t="n">
        <v>-37000</v>
      </c>
      <c r="U11" s="2" t="n">
        <v>-248000</v>
      </c>
      <c r="V11" s="2" t="n">
        <v>-37000</v>
      </c>
      <c r="W11" s="2" t="n">
        <v>0</v>
      </c>
      <c r="X11" s="2" t="n">
        <v>0</v>
      </c>
      <c r="Y11" s="2" t="n">
        <v>0</v>
      </c>
      <c r="Z11" s="2" t="n">
        <v>0</v>
      </c>
    </row>
    <row r="12">
      <c r="A12" s="2" t="inlineStr">
        <is>
          <t>Conservador</t>
        </is>
      </c>
      <c r="B12" s="2" t="n">
        <v>5</v>
      </c>
      <c r="C12" s="2" t="n">
        <v>0</v>
      </c>
      <c r="D12" s="2" t="n">
        <v>0</v>
      </c>
      <c r="E12" s="2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37000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37000</v>
      </c>
      <c r="T12" s="2" t="n">
        <v>-37000</v>
      </c>
      <c r="U12" s="2" t="n">
        <v>-285000</v>
      </c>
      <c r="V12" s="2" t="n">
        <v>-37000</v>
      </c>
      <c r="W12" s="2" t="n">
        <v>0</v>
      </c>
      <c r="X12" s="2" t="n">
        <v>0</v>
      </c>
      <c r="Y12" s="2" t="n">
        <v>0</v>
      </c>
      <c r="Z12" s="2" t="n">
        <v>0</v>
      </c>
    </row>
    <row r="13">
      <c r="A13" s="2" t="inlineStr">
        <is>
          <t>Conservador</t>
        </is>
      </c>
      <c r="B13" s="2" t="n">
        <v>6</v>
      </c>
      <c r="C13" s="2" t="n">
        <v>0</v>
      </c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37000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37000</v>
      </c>
      <c r="T13" s="2" t="n">
        <v>-37000</v>
      </c>
      <c r="U13" s="2" t="n">
        <v>-322000</v>
      </c>
      <c r="V13" s="2" t="n">
        <v>-37000</v>
      </c>
      <c r="W13" s="2" t="n">
        <v>0</v>
      </c>
      <c r="X13" s="2" t="n">
        <v>0</v>
      </c>
      <c r="Y13" s="2" t="n">
        <v>0</v>
      </c>
      <c r="Z13" s="2" t="n">
        <v>0</v>
      </c>
    </row>
    <row r="14">
      <c r="A14" s="2" t="inlineStr">
        <is>
          <t>Conservador</t>
        </is>
      </c>
      <c r="B14" s="2" t="n">
        <v>7</v>
      </c>
      <c r="C14" s="2" t="n">
        <v>0</v>
      </c>
      <c r="D14" s="2" t="n">
        <v>0</v>
      </c>
      <c r="E14" s="2" t="n">
        <v>0</v>
      </c>
      <c r="F14" s="2" t="n">
        <v>0</v>
      </c>
      <c r="G14" s="2" t="n">
        <v>0</v>
      </c>
      <c r="H14" s="2" t="n">
        <v>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37000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37000</v>
      </c>
      <c r="T14" s="2" t="n">
        <v>-37000</v>
      </c>
      <c r="U14" s="2" t="n">
        <v>-359000</v>
      </c>
      <c r="V14" s="2" t="n">
        <v>-37000</v>
      </c>
      <c r="W14" s="2" t="n">
        <v>0</v>
      </c>
      <c r="X14" s="2" t="n">
        <v>0</v>
      </c>
      <c r="Y14" s="2" t="n">
        <v>0</v>
      </c>
      <c r="Z14" s="2" t="n">
        <v>0</v>
      </c>
    </row>
    <row r="15">
      <c r="A15" s="2" t="inlineStr">
        <is>
          <t>Conservador</t>
        </is>
      </c>
      <c r="B15" s="2" t="n">
        <v>8</v>
      </c>
      <c r="C15" s="2" t="n">
        <v>0</v>
      </c>
      <c r="D15" s="2" t="n">
        <v>0</v>
      </c>
      <c r="E15" s="2" t="n">
        <v>0</v>
      </c>
      <c r="F15" s="2" t="n">
        <v>0</v>
      </c>
      <c r="G15" s="2" t="n">
        <v>0</v>
      </c>
      <c r="H15" s="2" t="n">
        <v>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37000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37000</v>
      </c>
      <c r="T15" s="2" t="n">
        <v>-37000</v>
      </c>
      <c r="U15" s="2" t="n">
        <v>-396000</v>
      </c>
      <c r="V15" s="2" t="n">
        <v>-37000</v>
      </c>
      <c r="W15" s="2" t="n">
        <v>0</v>
      </c>
      <c r="X15" s="2" t="n">
        <v>0</v>
      </c>
      <c r="Y15" s="2" t="n">
        <v>0</v>
      </c>
      <c r="Z15" s="2" t="n">
        <v>0</v>
      </c>
    </row>
    <row r="16">
      <c r="A16" s="2" t="inlineStr">
        <is>
          <t>Conservador</t>
        </is>
      </c>
      <c r="B16" s="2" t="n">
        <v>9</v>
      </c>
      <c r="C16" s="2" t="n">
        <v>1</v>
      </c>
      <c r="D16" s="2" t="n">
        <v>0</v>
      </c>
      <c r="E16" s="2" t="n">
        <v>0</v>
      </c>
      <c r="F16" s="2" t="n">
        <v>0</v>
      </c>
      <c r="G16" s="2" t="n">
        <v>1</v>
      </c>
      <c r="H16" s="2" t="n">
        <v>80000</v>
      </c>
      <c r="I16" s="2" t="n">
        <v>0</v>
      </c>
      <c r="J16" s="2" t="n">
        <v>80000</v>
      </c>
      <c r="K16" s="2" t="n">
        <v>80000</v>
      </c>
      <c r="L16" s="2" t="n">
        <v>0</v>
      </c>
      <c r="M16" s="2" t="n">
        <v>80000</v>
      </c>
      <c r="N16" s="2" t="n">
        <v>37000</v>
      </c>
      <c r="O16" s="2" t="n">
        <v>43200</v>
      </c>
      <c r="P16" s="2" t="n">
        <v>0</v>
      </c>
      <c r="Q16" s="2" t="n">
        <v>9600</v>
      </c>
      <c r="R16" s="2" t="n">
        <v>4000</v>
      </c>
      <c r="S16" s="2" t="n">
        <v>93800</v>
      </c>
      <c r="T16" s="2" t="n">
        <v>-13800</v>
      </c>
      <c r="U16" s="2" t="n">
        <v>-409800</v>
      </c>
      <c r="V16" s="2" t="n">
        <v>-37000</v>
      </c>
      <c r="W16" s="2" t="n">
        <v>240</v>
      </c>
      <c r="X16" s="2" t="n">
        <v>0</v>
      </c>
      <c r="Y16" s="2" t="n">
        <v>0</v>
      </c>
      <c r="Z16" s="2" t="n">
        <v>10</v>
      </c>
    </row>
    <row r="17">
      <c r="A17" s="2" t="inlineStr">
        <is>
          <t>Conservador</t>
        </is>
      </c>
      <c r="B17" s="2" t="n">
        <v>10</v>
      </c>
      <c r="C17" s="2" t="n">
        <v>0</v>
      </c>
      <c r="D17" s="2" t="n">
        <v>0</v>
      </c>
      <c r="E17" s="2" t="n">
        <v>0</v>
      </c>
      <c r="F17" s="2" t="n">
        <v>0</v>
      </c>
      <c r="G17" s="2" t="n">
        <v>1</v>
      </c>
      <c r="H17" s="2" t="n">
        <v>80000</v>
      </c>
      <c r="I17" s="2" t="n">
        <v>0</v>
      </c>
      <c r="J17" s="2" t="n">
        <v>80000</v>
      </c>
      <c r="K17" s="2" t="n">
        <v>0</v>
      </c>
      <c r="L17" s="2" t="n">
        <v>0</v>
      </c>
      <c r="M17" s="2" t="n">
        <v>0</v>
      </c>
      <c r="N17" s="2" t="n">
        <v>37000</v>
      </c>
      <c r="O17" s="2" t="n">
        <v>43200</v>
      </c>
      <c r="P17" s="2" t="n">
        <v>0</v>
      </c>
      <c r="Q17" s="2" t="n">
        <v>9600</v>
      </c>
      <c r="R17" s="2" t="n">
        <v>0</v>
      </c>
      <c r="S17" s="2" t="n">
        <v>89800</v>
      </c>
      <c r="T17" s="2" t="n">
        <v>-89800</v>
      </c>
      <c r="U17" s="2" t="n">
        <v>-499600</v>
      </c>
      <c r="V17" s="2" t="n">
        <v>-37000</v>
      </c>
      <c r="W17" s="2" t="n">
        <v>240</v>
      </c>
      <c r="X17" s="2" t="n">
        <v>0</v>
      </c>
      <c r="Y17" s="2" t="n">
        <v>80000</v>
      </c>
      <c r="Z17" s="2" t="n">
        <v>10</v>
      </c>
    </row>
    <row r="18">
      <c r="A18" s="2" t="inlineStr">
        <is>
          <t>Conservador</t>
        </is>
      </c>
      <c r="B18" s="2" t="n">
        <v>11</v>
      </c>
      <c r="C18" s="2" t="n">
        <v>0</v>
      </c>
      <c r="D18" s="2" t="n">
        <v>0</v>
      </c>
      <c r="E18" s="2" t="n">
        <v>0</v>
      </c>
      <c r="F18" s="2" t="n">
        <v>0</v>
      </c>
      <c r="G18" s="2" t="n">
        <v>1</v>
      </c>
      <c r="H18" s="2" t="n">
        <v>40000</v>
      </c>
      <c r="I18" s="2" t="n">
        <v>0</v>
      </c>
      <c r="J18" s="2" t="n">
        <v>40000</v>
      </c>
      <c r="K18" s="2" t="n">
        <v>80000</v>
      </c>
      <c r="L18" s="2" t="n">
        <v>0</v>
      </c>
      <c r="M18" s="2" t="n">
        <v>80000</v>
      </c>
      <c r="N18" s="2" t="n">
        <v>37000</v>
      </c>
      <c r="O18" s="2" t="n">
        <v>43200</v>
      </c>
      <c r="P18" s="2" t="n">
        <v>0</v>
      </c>
      <c r="Q18" s="2" t="n">
        <v>4800</v>
      </c>
      <c r="R18" s="2" t="n">
        <v>4000</v>
      </c>
      <c r="S18" s="2" t="n">
        <v>89000</v>
      </c>
      <c r="T18" s="2" t="n">
        <v>-9000</v>
      </c>
      <c r="U18" s="2" t="n">
        <v>-508600</v>
      </c>
      <c r="V18" s="2" t="n">
        <v>-37000</v>
      </c>
      <c r="W18" s="2" t="n">
        <v>240</v>
      </c>
      <c r="X18" s="2" t="n">
        <v>0</v>
      </c>
      <c r="Y18" s="2" t="n">
        <v>40000</v>
      </c>
      <c r="Z18" s="2" t="n">
        <v>10</v>
      </c>
    </row>
    <row r="19">
      <c r="A19" s="2" t="inlineStr">
        <is>
          <t>Conservador</t>
        </is>
      </c>
      <c r="B19" s="2" t="n">
        <v>12</v>
      </c>
      <c r="C19" s="2" t="n">
        <v>0</v>
      </c>
      <c r="D19" s="2" t="n">
        <v>1</v>
      </c>
      <c r="E19" s="2" t="n">
        <v>0</v>
      </c>
      <c r="F19" s="2" t="n">
        <v>1</v>
      </c>
      <c r="G19" s="2" t="n">
        <v>0</v>
      </c>
      <c r="H19" s="2" t="n">
        <v>0</v>
      </c>
      <c r="I19" s="2" t="n">
        <v>12000</v>
      </c>
      <c r="J19" s="2" t="n">
        <v>12000</v>
      </c>
      <c r="K19" s="2" t="n">
        <v>40000</v>
      </c>
      <c r="L19" s="2" t="n">
        <v>0</v>
      </c>
      <c r="M19" s="2" t="n">
        <v>40000</v>
      </c>
      <c r="N19" s="2" t="n">
        <v>37000</v>
      </c>
      <c r="O19" s="2" t="n">
        <v>0</v>
      </c>
      <c r="P19" s="2" t="n">
        <v>1800</v>
      </c>
      <c r="Q19" s="2" t="n">
        <v>1440</v>
      </c>
      <c r="R19" s="2" t="n">
        <v>2000</v>
      </c>
      <c r="S19" s="2" t="n">
        <v>42240</v>
      </c>
      <c r="T19" s="2" t="n">
        <v>-2240</v>
      </c>
      <c r="U19" s="2" t="n">
        <v>-510840</v>
      </c>
      <c r="V19" s="2" t="n">
        <v>-28840</v>
      </c>
      <c r="W19" s="2" t="n">
        <v>0</v>
      </c>
      <c r="X19" s="2" t="n">
        <v>10</v>
      </c>
      <c r="Y19" s="2" t="n">
        <v>12000</v>
      </c>
      <c r="Z19" s="2" t="n">
        <v>10</v>
      </c>
    </row>
    <row r="20">
      <c r="A20" s="2" t="inlineStr">
        <is>
          <t>Conservador</t>
        </is>
      </c>
      <c r="B20" s="2" t="n">
        <v>13</v>
      </c>
      <c r="C20" s="2" t="n">
        <v>0</v>
      </c>
      <c r="D20" s="2" t="n">
        <v>0</v>
      </c>
      <c r="E20" s="2" t="n">
        <v>0</v>
      </c>
      <c r="F20" s="2" t="n">
        <v>1</v>
      </c>
      <c r="G20" s="2" t="n">
        <v>0</v>
      </c>
      <c r="H20" s="2" t="n">
        <v>0</v>
      </c>
      <c r="I20" s="2" t="n">
        <v>12000</v>
      </c>
      <c r="J20" s="2" t="n">
        <v>12000</v>
      </c>
      <c r="K20" s="2" t="n">
        <v>0</v>
      </c>
      <c r="L20" s="2" t="n">
        <v>12000</v>
      </c>
      <c r="M20" s="2" t="n">
        <v>12000</v>
      </c>
      <c r="N20" s="2" t="n">
        <v>42000</v>
      </c>
      <c r="O20" s="2" t="n">
        <v>0</v>
      </c>
      <c r="P20" s="2" t="n">
        <v>1800</v>
      </c>
      <c r="Q20" s="2" t="n">
        <v>1440</v>
      </c>
      <c r="R20" s="2" t="n">
        <v>600</v>
      </c>
      <c r="S20" s="2" t="n">
        <v>45840</v>
      </c>
      <c r="T20" s="2" t="n">
        <v>-33840</v>
      </c>
      <c r="U20" s="2" t="n">
        <v>-544680</v>
      </c>
      <c r="V20" s="2" t="n">
        <v>-33840</v>
      </c>
      <c r="W20" s="2" t="n">
        <v>0</v>
      </c>
      <c r="X20" s="2" t="n">
        <v>10</v>
      </c>
      <c r="Y20" s="2" t="n">
        <v>12000</v>
      </c>
      <c r="Z20" s="2" t="n">
        <v>10</v>
      </c>
    </row>
    <row r="21">
      <c r="A21" s="2" t="inlineStr">
        <is>
          <t>Conservador</t>
        </is>
      </c>
      <c r="B21" s="2" t="n">
        <v>14</v>
      </c>
      <c r="C21" s="2" t="n">
        <v>0</v>
      </c>
      <c r="D21" s="2" t="n">
        <v>0</v>
      </c>
      <c r="E21" s="2" t="n">
        <v>0</v>
      </c>
      <c r="F21" s="2" t="n">
        <v>1</v>
      </c>
      <c r="G21" s="2" t="n">
        <v>0</v>
      </c>
      <c r="H21" s="2" t="n">
        <v>0</v>
      </c>
      <c r="I21" s="2" t="n">
        <v>12000</v>
      </c>
      <c r="J21" s="2" t="n">
        <v>12000</v>
      </c>
      <c r="K21" s="2" t="n">
        <v>0</v>
      </c>
      <c r="L21" s="2" t="n">
        <v>12000</v>
      </c>
      <c r="M21" s="2" t="n">
        <v>12000</v>
      </c>
      <c r="N21" s="2" t="n">
        <v>42000</v>
      </c>
      <c r="O21" s="2" t="n">
        <v>0</v>
      </c>
      <c r="P21" s="2" t="n">
        <v>1800</v>
      </c>
      <c r="Q21" s="2" t="n">
        <v>1440</v>
      </c>
      <c r="R21" s="2" t="n">
        <v>600</v>
      </c>
      <c r="S21" s="2" t="n">
        <v>45840</v>
      </c>
      <c r="T21" s="2" t="n">
        <v>-33840</v>
      </c>
      <c r="U21" s="2" t="n">
        <v>-578520</v>
      </c>
      <c r="V21" s="2" t="n">
        <v>-33840</v>
      </c>
      <c r="W21" s="2" t="n">
        <v>0</v>
      </c>
      <c r="X21" s="2" t="n">
        <v>10</v>
      </c>
      <c r="Y21" s="2" t="n">
        <v>12000</v>
      </c>
      <c r="Z21" s="2" t="n">
        <v>10</v>
      </c>
    </row>
    <row r="22">
      <c r="A22" s="2" t="inlineStr">
        <is>
          <t>Conservador</t>
        </is>
      </c>
      <c r="B22" s="2" t="n">
        <v>15</v>
      </c>
      <c r="C22" s="2" t="n">
        <v>1</v>
      </c>
      <c r="D22" s="2" t="n">
        <v>0</v>
      </c>
      <c r="E22" s="2" t="n">
        <v>0</v>
      </c>
      <c r="F22" s="2" t="n">
        <v>1</v>
      </c>
      <c r="G22" s="2" t="n">
        <v>1</v>
      </c>
      <c r="H22" s="2" t="n">
        <v>80000</v>
      </c>
      <c r="I22" s="2" t="n">
        <v>12000</v>
      </c>
      <c r="J22" s="2" t="n">
        <v>92000</v>
      </c>
      <c r="K22" s="2" t="n">
        <v>80000</v>
      </c>
      <c r="L22" s="2" t="n">
        <v>12000</v>
      </c>
      <c r="M22" s="2" t="n">
        <v>92000</v>
      </c>
      <c r="N22" s="2" t="n">
        <v>42000</v>
      </c>
      <c r="O22" s="2" t="n">
        <v>43200</v>
      </c>
      <c r="P22" s="2" t="n">
        <v>1800</v>
      </c>
      <c r="Q22" s="2" t="n">
        <v>11040</v>
      </c>
      <c r="R22" s="2" t="n">
        <v>4600</v>
      </c>
      <c r="S22" s="2" t="n">
        <v>102640</v>
      </c>
      <c r="T22" s="2" t="n">
        <v>-10640</v>
      </c>
      <c r="U22" s="2" t="n">
        <v>-589160</v>
      </c>
      <c r="V22" s="2" t="n">
        <v>-33840</v>
      </c>
      <c r="W22" s="2" t="n">
        <v>240</v>
      </c>
      <c r="X22" s="2" t="n">
        <v>10</v>
      </c>
      <c r="Y22" s="2" t="n">
        <v>12000</v>
      </c>
      <c r="Z22" s="2" t="n">
        <v>20</v>
      </c>
    </row>
    <row r="23">
      <c r="A23" s="2" t="inlineStr">
        <is>
          <t>Conservador</t>
        </is>
      </c>
      <c r="B23" s="2" t="n">
        <v>16</v>
      </c>
      <c r="C23" s="2" t="n">
        <v>0</v>
      </c>
      <c r="D23" s="2" t="n">
        <v>0</v>
      </c>
      <c r="E23" s="2" t="n">
        <v>0</v>
      </c>
      <c r="F23" s="2" t="n">
        <v>1</v>
      </c>
      <c r="G23" s="2" t="n">
        <v>1</v>
      </c>
      <c r="H23" s="2" t="n">
        <v>80000</v>
      </c>
      <c r="I23" s="2" t="n">
        <v>12000</v>
      </c>
      <c r="J23" s="2" t="n">
        <v>92000</v>
      </c>
      <c r="K23" s="2" t="n">
        <v>0</v>
      </c>
      <c r="L23" s="2" t="n">
        <v>12000</v>
      </c>
      <c r="M23" s="2" t="n">
        <v>12000</v>
      </c>
      <c r="N23" s="2" t="n">
        <v>42000</v>
      </c>
      <c r="O23" s="2" t="n">
        <v>43200</v>
      </c>
      <c r="P23" s="2" t="n">
        <v>1800</v>
      </c>
      <c r="Q23" s="2" t="n">
        <v>11040</v>
      </c>
      <c r="R23" s="2" t="n">
        <v>600</v>
      </c>
      <c r="S23" s="2" t="n">
        <v>98640</v>
      </c>
      <c r="T23" s="2" t="n">
        <v>-86640</v>
      </c>
      <c r="U23" s="2" t="n">
        <v>-675800</v>
      </c>
      <c r="V23" s="2" t="n">
        <v>-33840</v>
      </c>
      <c r="W23" s="2" t="n">
        <v>240</v>
      </c>
      <c r="X23" s="2" t="n">
        <v>10</v>
      </c>
      <c r="Y23" s="2" t="n">
        <v>92000</v>
      </c>
      <c r="Z23" s="2" t="n">
        <v>20</v>
      </c>
    </row>
    <row r="24">
      <c r="A24" s="2" t="inlineStr">
        <is>
          <t>Conservador</t>
        </is>
      </c>
      <c r="B24" s="2" t="n">
        <v>17</v>
      </c>
      <c r="C24" s="2" t="n">
        <v>0</v>
      </c>
      <c r="D24" s="2" t="n">
        <v>0</v>
      </c>
      <c r="E24" s="2" t="n">
        <v>0</v>
      </c>
      <c r="F24" s="2" t="n">
        <v>1</v>
      </c>
      <c r="G24" s="2" t="n">
        <v>1</v>
      </c>
      <c r="H24" s="2" t="n">
        <v>40000</v>
      </c>
      <c r="I24" s="2" t="n">
        <v>12000</v>
      </c>
      <c r="J24" s="2" t="n">
        <v>52000</v>
      </c>
      <c r="K24" s="2" t="n">
        <v>80000</v>
      </c>
      <c r="L24" s="2" t="n">
        <v>12000</v>
      </c>
      <c r="M24" s="2" t="n">
        <v>92000</v>
      </c>
      <c r="N24" s="2" t="n">
        <v>42000</v>
      </c>
      <c r="O24" s="2" t="n">
        <v>43200</v>
      </c>
      <c r="P24" s="2" t="n">
        <v>1800</v>
      </c>
      <c r="Q24" s="2" t="n">
        <v>6240</v>
      </c>
      <c r="R24" s="2" t="n">
        <v>4600</v>
      </c>
      <c r="S24" s="2" t="n">
        <v>97840</v>
      </c>
      <c r="T24" s="2" t="n">
        <v>-5840</v>
      </c>
      <c r="U24" s="2" t="n">
        <v>-681640</v>
      </c>
      <c r="V24" s="2" t="n">
        <v>-33840</v>
      </c>
      <c r="W24" s="2" t="n">
        <v>240</v>
      </c>
      <c r="X24" s="2" t="n">
        <v>10</v>
      </c>
      <c r="Y24" s="2" t="n">
        <v>52000</v>
      </c>
      <c r="Z24" s="2" t="n">
        <v>20</v>
      </c>
    </row>
    <row r="25">
      <c r="A25" s="2" t="inlineStr">
        <is>
          <t>Conservador</t>
        </is>
      </c>
      <c r="B25" s="2" t="n">
        <v>18</v>
      </c>
      <c r="C25" s="2" t="n">
        <v>0</v>
      </c>
      <c r="D25" s="2" t="n">
        <v>1</v>
      </c>
      <c r="E25" s="2" t="n">
        <v>0</v>
      </c>
      <c r="F25" s="2" t="n">
        <v>2</v>
      </c>
      <c r="G25" s="2" t="n">
        <v>0</v>
      </c>
      <c r="H25" s="2" t="n">
        <v>0</v>
      </c>
      <c r="I25" s="2" t="n">
        <v>24000</v>
      </c>
      <c r="J25" s="2" t="n">
        <v>24000</v>
      </c>
      <c r="K25" s="2" t="n">
        <v>40000</v>
      </c>
      <c r="L25" s="2" t="n">
        <v>12000</v>
      </c>
      <c r="M25" s="2" t="n">
        <v>52000</v>
      </c>
      <c r="N25" s="2" t="n">
        <v>42000</v>
      </c>
      <c r="O25" s="2" t="n">
        <v>0</v>
      </c>
      <c r="P25" s="2" t="n">
        <v>3600</v>
      </c>
      <c r="Q25" s="2" t="n">
        <v>2880</v>
      </c>
      <c r="R25" s="2" t="n">
        <v>2600</v>
      </c>
      <c r="S25" s="2" t="n">
        <v>51080</v>
      </c>
      <c r="T25" s="2" t="n">
        <v>920</v>
      </c>
      <c r="U25" s="2" t="n">
        <v>-680720</v>
      </c>
      <c r="V25" s="2" t="n">
        <v>-25680</v>
      </c>
      <c r="W25" s="2" t="n">
        <v>0</v>
      </c>
      <c r="X25" s="2" t="n">
        <v>20</v>
      </c>
      <c r="Y25" s="2" t="n">
        <v>24000</v>
      </c>
      <c r="Z25" s="2" t="n">
        <v>20</v>
      </c>
    </row>
    <row r="26">
      <c r="A26" s="2" t="inlineStr">
        <is>
          <t>Conservador</t>
        </is>
      </c>
      <c r="B26" s="2" t="n">
        <v>19</v>
      </c>
      <c r="C26" s="2" t="n">
        <v>0</v>
      </c>
      <c r="D26" s="2" t="n">
        <v>0</v>
      </c>
      <c r="E26" s="2" t="n">
        <v>0</v>
      </c>
      <c r="F26" s="2" t="n">
        <v>2</v>
      </c>
      <c r="G26" s="2" t="n">
        <v>0</v>
      </c>
      <c r="H26" s="2" t="n">
        <v>0</v>
      </c>
      <c r="I26" s="2" t="n">
        <v>24000</v>
      </c>
      <c r="J26" s="2" t="n">
        <v>24000</v>
      </c>
      <c r="K26" s="2" t="n">
        <v>0</v>
      </c>
      <c r="L26" s="2" t="n">
        <v>24000</v>
      </c>
      <c r="M26" s="2" t="n">
        <v>24000</v>
      </c>
      <c r="N26" s="2" t="n">
        <v>42000</v>
      </c>
      <c r="O26" s="2" t="n">
        <v>0</v>
      </c>
      <c r="P26" s="2" t="n">
        <v>3600</v>
      </c>
      <c r="Q26" s="2" t="n">
        <v>2880</v>
      </c>
      <c r="R26" s="2" t="n">
        <v>1200</v>
      </c>
      <c r="S26" s="2" t="n">
        <v>49680</v>
      </c>
      <c r="T26" s="2" t="n">
        <v>-25680</v>
      </c>
      <c r="U26" s="2" t="n">
        <v>-706400</v>
      </c>
      <c r="V26" s="2" t="n">
        <v>-25680</v>
      </c>
      <c r="W26" s="2" t="n">
        <v>0</v>
      </c>
      <c r="X26" s="2" t="n">
        <v>20</v>
      </c>
      <c r="Y26" s="2" t="n">
        <v>24000</v>
      </c>
      <c r="Z26" s="2" t="n">
        <v>20</v>
      </c>
    </row>
    <row r="27">
      <c r="A27" s="2" t="inlineStr">
        <is>
          <t>Conservador</t>
        </is>
      </c>
      <c r="B27" s="2" t="n">
        <v>20</v>
      </c>
      <c r="C27" s="2" t="n">
        <v>0</v>
      </c>
      <c r="D27" s="2" t="n">
        <v>0</v>
      </c>
      <c r="E27" s="2" t="n">
        <v>0</v>
      </c>
      <c r="F27" s="2" t="n">
        <v>2</v>
      </c>
      <c r="G27" s="2" t="n">
        <v>0</v>
      </c>
      <c r="H27" s="2" t="n">
        <v>0</v>
      </c>
      <c r="I27" s="2" t="n">
        <v>24000</v>
      </c>
      <c r="J27" s="2" t="n">
        <v>24000</v>
      </c>
      <c r="K27" s="2" t="n">
        <v>0</v>
      </c>
      <c r="L27" s="2" t="n">
        <v>24000</v>
      </c>
      <c r="M27" s="2" t="n">
        <v>24000</v>
      </c>
      <c r="N27" s="2" t="n">
        <v>42000</v>
      </c>
      <c r="O27" s="2" t="n">
        <v>0</v>
      </c>
      <c r="P27" s="2" t="n">
        <v>3600</v>
      </c>
      <c r="Q27" s="2" t="n">
        <v>2880</v>
      </c>
      <c r="R27" s="2" t="n">
        <v>1200</v>
      </c>
      <c r="S27" s="2" t="n">
        <v>49680</v>
      </c>
      <c r="T27" s="2" t="n">
        <v>-25680</v>
      </c>
      <c r="U27" s="2" t="n">
        <v>-732080</v>
      </c>
      <c r="V27" s="2" t="n">
        <v>-25680</v>
      </c>
      <c r="W27" s="2" t="n">
        <v>0</v>
      </c>
      <c r="X27" s="2" t="n">
        <v>20</v>
      </c>
      <c r="Y27" s="2" t="n">
        <v>24000</v>
      </c>
      <c r="Z27" s="2" t="n">
        <v>20</v>
      </c>
    </row>
    <row r="28">
      <c r="A28" s="2" t="inlineStr">
        <is>
          <t>Conservador</t>
        </is>
      </c>
      <c r="B28" s="2" t="n">
        <v>21</v>
      </c>
      <c r="C28" s="2" t="n">
        <v>1</v>
      </c>
      <c r="D28" s="2" t="n">
        <v>0</v>
      </c>
      <c r="E28" s="2" t="n">
        <v>0</v>
      </c>
      <c r="F28" s="2" t="n">
        <v>2</v>
      </c>
      <c r="G28" s="2" t="n">
        <v>1</v>
      </c>
      <c r="H28" s="2" t="n">
        <v>80000</v>
      </c>
      <c r="I28" s="2" t="n">
        <v>24000</v>
      </c>
      <c r="J28" s="2" t="n">
        <v>104000</v>
      </c>
      <c r="K28" s="2" t="n">
        <v>80000</v>
      </c>
      <c r="L28" s="2" t="n">
        <v>24000</v>
      </c>
      <c r="M28" s="2" t="n">
        <v>104000</v>
      </c>
      <c r="N28" s="2" t="n">
        <v>42000</v>
      </c>
      <c r="O28" s="2" t="n">
        <v>43200</v>
      </c>
      <c r="P28" s="2" t="n">
        <v>3600</v>
      </c>
      <c r="Q28" s="2" t="n">
        <v>12480</v>
      </c>
      <c r="R28" s="2" t="n">
        <v>5200</v>
      </c>
      <c r="S28" s="2" t="n">
        <v>106480</v>
      </c>
      <c r="T28" s="2" t="n">
        <v>-2480</v>
      </c>
      <c r="U28" s="2" t="n">
        <v>-734560</v>
      </c>
      <c r="V28" s="2" t="n">
        <v>-25680</v>
      </c>
      <c r="W28" s="2" t="n">
        <v>240</v>
      </c>
      <c r="X28" s="2" t="n">
        <v>20</v>
      </c>
      <c r="Y28" s="2" t="n">
        <v>24000</v>
      </c>
      <c r="Z28" s="2" t="n">
        <v>30</v>
      </c>
    </row>
    <row r="29">
      <c r="A29" s="2" t="inlineStr">
        <is>
          <t>Conservador</t>
        </is>
      </c>
      <c r="B29" s="2" t="n">
        <v>22</v>
      </c>
      <c r="C29" s="2" t="n">
        <v>0</v>
      </c>
      <c r="D29" s="2" t="n">
        <v>0</v>
      </c>
      <c r="E29" s="2" t="n">
        <v>0</v>
      </c>
      <c r="F29" s="2" t="n">
        <v>2</v>
      </c>
      <c r="G29" s="2" t="n">
        <v>1</v>
      </c>
      <c r="H29" s="2" t="n">
        <v>80000</v>
      </c>
      <c r="I29" s="2" t="n">
        <v>24000</v>
      </c>
      <c r="J29" s="2" t="n">
        <v>104000</v>
      </c>
      <c r="K29" s="2" t="n">
        <v>0</v>
      </c>
      <c r="L29" s="2" t="n">
        <v>24000</v>
      </c>
      <c r="M29" s="2" t="n">
        <v>24000</v>
      </c>
      <c r="N29" s="2" t="n">
        <v>42000</v>
      </c>
      <c r="O29" s="2" t="n">
        <v>43200</v>
      </c>
      <c r="P29" s="2" t="n">
        <v>3600</v>
      </c>
      <c r="Q29" s="2" t="n">
        <v>12480</v>
      </c>
      <c r="R29" s="2" t="n">
        <v>1200</v>
      </c>
      <c r="S29" s="2" t="n">
        <v>102480</v>
      </c>
      <c r="T29" s="2" t="n">
        <v>-78480</v>
      </c>
      <c r="U29" s="2" t="n">
        <v>-813040</v>
      </c>
      <c r="V29" s="2" t="n">
        <v>-25680</v>
      </c>
      <c r="W29" s="2" t="n">
        <v>240</v>
      </c>
      <c r="X29" s="2" t="n">
        <v>20</v>
      </c>
      <c r="Y29" s="2" t="n">
        <v>104000</v>
      </c>
      <c r="Z29" s="2" t="n">
        <v>30</v>
      </c>
    </row>
    <row r="30">
      <c r="A30" s="2" t="inlineStr">
        <is>
          <t>Conservador</t>
        </is>
      </c>
      <c r="B30" s="2" t="n">
        <v>23</v>
      </c>
      <c r="C30" s="2" t="n">
        <v>0</v>
      </c>
      <c r="D30" s="2" t="n">
        <v>0</v>
      </c>
      <c r="E30" s="2" t="n">
        <v>0</v>
      </c>
      <c r="F30" s="2" t="n">
        <v>2</v>
      </c>
      <c r="G30" s="2" t="n">
        <v>1</v>
      </c>
      <c r="H30" s="2" t="n">
        <v>40000</v>
      </c>
      <c r="I30" s="2" t="n">
        <v>24000</v>
      </c>
      <c r="J30" s="2" t="n">
        <v>64000</v>
      </c>
      <c r="K30" s="2" t="n">
        <v>80000</v>
      </c>
      <c r="L30" s="2" t="n">
        <v>24000</v>
      </c>
      <c r="M30" s="2" t="n">
        <v>104000</v>
      </c>
      <c r="N30" s="2" t="n">
        <v>42000</v>
      </c>
      <c r="O30" s="2" t="n">
        <v>43200</v>
      </c>
      <c r="P30" s="2" t="n">
        <v>3600</v>
      </c>
      <c r="Q30" s="2" t="n">
        <v>7680</v>
      </c>
      <c r="R30" s="2" t="n">
        <v>5200</v>
      </c>
      <c r="S30" s="2" t="n">
        <v>101680</v>
      </c>
      <c r="T30" s="2" t="n">
        <v>2320</v>
      </c>
      <c r="U30" s="2" t="n">
        <v>-810720</v>
      </c>
      <c r="V30" s="2" t="n">
        <v>-25680</v>
      </c>
      <c r="W30" s="2" t="n">
        <v>240</v>
      </c>
      <c r="X30" s="2" t="n">
        <v>20</v>
      </c>
      <c r="Y30" s="2" t="n">
        <v>64000</v>
      </c>
      <c r="Z30" s="2" t="n">
        <v>30</v>
      </c>
    </row>
    <row r="31">
      <c r="A31" s="2" t="inlineStr">
        <is>
          <t>Conservador</t>
        </is>
      </c>
      <c r="B31" s="2" t="n">
        <v>24</v>
      </c>
      <c r="C31" s="2" t="n">
        <v>0</v>
      </c>
      <c r="D31" s="2" t="n">
        <v>1</v>
      </c>
      <c r="E31" s="2" t="n">
        <v>1</v>
      </c>
      <c r="F31" s="2" t="n">
        <v>2</v>
      </c>
      <c r="G31" s="2" t="n">
        <v>0</v>
      </c>
      <c r="H31" s="2" t="n">
        <v>0</v>
      </c>
      <c r="I31" s="2" t="n">
        <v>24000</v>
      </c>
      <c r="J31" s="2" t="n">
        <v>24000</v>
      </c>
      <c r="K31" s="2" t="n">
        <v>40000</v>
      </c>
      <c r="L31" s="2" t="n">
        <v>24000</v>
      </c>
      <c r="M31" s="2" t="n">
        <v>64000</v>
      </c>
      <c r="N31" s="2" t="n">
        <v>42000</v>
      </c>
      <c r="O31" s="2" t="n">
        <v>0</v>
      </c>
      <c r="P31" s="2" t="n">
        <v>3600</v>
      </c>
      <c r="Q31" s="2" t="n">
        <v>2880</v>
      </c>
      <c r="R31" s="2" t="n">
        <v>3200</v>
      </c>
      <c r="S31" s="2" t="n">
        <v>51680</v>
      </c>
      <c r="T31" s="2" t="n">
        <v>12320</v>
      </c>
      <c r="U31" s="2" t="n">
        <v>-798400</v>
      </c>
      <c r="V31" s="2" t="n">
        <v>-25680</v>
      </c>
      <c r="W31" s="2" t="n">
        <v>0</v>
      </c>
      <c r="X31" s="2" t="n">
        <v>20</v>
      </c>
      <c r="Y31" s="2" t="n">
        <v>24000</v>
      </c>
      <c r="Z31" s="2" t="n">
        <v>20</v>
      </c>
    </row>
    <row r="32">
      <c r="A32" s="2" t="inlineStr">
        <is>
          <t>Base</t>
        </is>
      </c>
      <c r="B32" s="2" t="n">
        <v>1</v>
      </c>
      <c r="C32" s="2" t="n">
        <v>0</v>
      </c>
      <c r="D32" s="2" t="n">
        <v>0</v>
      </c>
      <c r="E32" s="2" t="n">
        <v>0</v>
      </c>
      <c r="F32" s="2" t="n">
        <v>0</v>
      </c>
      <c r="G32" s="2" t="n">
        <v>0</v>
      </c>
      <c r="H32" s="2" t="n">
        <v>0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37000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37000</v>
      </c>
      <c r="T32" s="2" t="n">
        <v>-37000</v>
      </c>
      <c r="U32" s="2" t="n">
        <v>-137000</v>
      </c>
      <c r="V32" s="2" t="n">
        <v>-37000</v>
      </c>
      <c r="W32" s="2" t="n">
        <v>0</v>
      </c>
      <c r="X32" s="2" t="n">
        <v>0</v>
      </c>
      <c r="Y32" s="2" t="n">
        <v>0</v>
      </c>
      <c r="Z32" s="2" t="n">
        <v>0</v>
      </c>
    </row>
    <row r="33">
      <c r="A33" s="2" t="inlineStr">
        <is>
          <t>Base</t>
        </is>
      </c>
      <c r="B33" s="2" t="n">
        <v>2</v>
      </c>
      <c r="C33" s="2" t="n">
        <v>0</v>
      </c>
      <c r="D33" s="2" t="n">
        <v>0</v>
      </c>
      <c r="E33" s="2" t="n">
        <v>0</v>
      </c>
      <c r="F33" s="2" t="n">
        <v>0</v>
      </c>
      <c r="G33" s="2" t="n">
        <v>0</v>
      </c>
      <c r="H33" s="2" t="n">
        <v>0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37000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37000</v>
      </c>
      <c r="T33" s="2" t="n">
        <v>-37000</v>
      </c>
      <c r="U33" s="2" t="n">
        <v>-174000</v>
      </c>
      <c r="V33" s="2" t="n">
        <v>-37000</v>
      </c>
      <c r="W33" s="2" t="n">
        <v>0</v>
      </c>
      <c r="X33" s="2" t="n">
        <v>0</v>
      </c>
      <c r="Y33" s="2" t="n">
        <v>0</v>
      </c>
      <c r="Z33" s="2" t="n">
        <v>0</v>
      </c>
    </row>
    <row r="34">
      <c r="A34" s="2" t="inlineStr">
        <is>
          <t>Base</t>
        </is>
      </c>
      <c r="B34" s="2" t="n">
        <v>3</v>
      </c>
      <c r="C34" s="2" t="n">
        <v>0</v>
      </c>
      <c r="D34" s="2" t="n">
        <v>0</v>
      </c>
      <c r="E34" s="2" t="n">
        <v>0</v>
      </c>
      <c r="F34" s="2" t="n">
        <v>0</v>
      </c>
      <c r="G34" s="2" t="n">
        <v>0</v>
      </c>
      <c r="H34" s="2" t="n">
        <v>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37000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37000</v>
      </c>
      <c r="T34" s="2" t="n">
        <v>-37000</v>
      </c>
      <c r="U34" s="2" t="n">
        <v>-211000</v>
      </c>
      <c r="V34" s="2" t="n">
        <v>-37000</v>
      </c>
      <c r="W34" s="2" t="n">
        <v>0</v>
      </c>
      <c r="X34" s="2" t="n">
        <v>0</v>
      </c>
      <c r="Y34" s="2" t="n">
        <v>0</v>
      </c>
      <c r="Z34" s="2" t="n">
        <v>0</v>
      </c>
    </row>
    <row r="35">
      <c r="A35" s="2" t="inlineStr">
        <is>
          <t>Base</t>
        </is>
      </c>
      <c r="B35" s="2" t="n">
        <v>4</v>
      </c>
      <c r="C35" s="2" t="n">
        <v>0</v>
      </c>
      <c r="D35" s="2" t="n">
        <v>0</v>
      </c>
      <c r="E35" s="2" t="n">
        <v>0</v>
      </c>
      <c r="F35" s="2" t="n">
        <v>0</v>
      </c>
      <c r="G35" s="2" t="n">
        <v>0</v>
      </c>
      <c r="H35" s="2" t="n">
        <v>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37000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37000</v>
      </c>
      <c r="T35" s="2" t="n">
        <v>-37000</v>
      </c>
      <c r="U35" s="2" t="n">
        <v>-248000</v>
      </c>
      <c r="V35" s="2" t="n">
        <v>-37000</v>
      </c>
      <c r="W35" s="2" t="n">
        <v>0</v>
      </c>
      <c r="X35" s="2" t="n">
        <v>0</v>
      </c>
      <c r="Y35" s="2" t="n">
        <v>0</v>
      </c>
      <c r="Z35" s="2" t="n">
        <v>0</v>
      </c>
    </row>
    <row r="36">
      <c r="A36" s="2" t="inlineStr">
        <is>
          <t>Base</t>
        </is>
      </c>
      <c r="B36" s="2" t="n">
        <v>5</v>
      </c>
      <c r="C36" s="2" t="n">
        <v>0</v>
      </c>
      <c r="D36" s="2" t="n">
        <v>0</v>
      </c>
      <c r="E36" s="2" t="n">
        <v>0</v>
      </c>
      <c r="F36" s="2" t="n">
        <v>0</v>
      </c>
      <c r="G36" s="2" t="n">
        <v>0</v>
      </c>
      <c r="H36" s="2" t="n">
        <v>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37000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37000</v>
      </c>
      <c r="T36" s="2" t="n">
        <v>-37000</v>
      </c>
      <c r="U36" s="2" t="n">
        <v>-285000</v>
      </c>
      <c r="V36" s="2" t="n">
        <v>-37000</v>
      </c>
      <c r="W36" s="2" t="n">
        <v>0</v>
      </c>
      <c r="X36" s="2" t="n">
        <v>0</v>
      </c>
      <c r="Y36" s="2" t="n">
        <v>0</v>
      </c>
      <c r="Z36" s="2" t="n">
        <v>0</v>
      </c>
    </row>
    <row r="37">
      <c r="A37" s="2" t="inlineStr">
        <is>
          <t>Base</t>
        </is>
      </c>
      <c r="B37" s="2" t="n">
        <v>6</v>
      </c>
      <c r="C37" s="2" t="n">
        <v>0</v>
      </c>
      <c r="D37" s="2" t="n">
        <v>0</v>
      </c>
      <c r="E37" s="2" t="n">
        <v>0</v>
      </c>
      <c r="F37" s="2" t="n">
        <v>0</v>
      </c>
      <c r="G37" s="2" t="n">
        <v>0</v>
      </c>
      <c r="H37" s="2" t="n">
        <v>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37000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37000</v>
      </c>
      <c r="T37" s="2" t="n">
        <v>-37000</v>
      </c>
      <c r="U37" s="2" t="n">
        <v>-322000</v>
      </c>
      <c r="V37" s="2" t="n">
        <v>-37000</v>
      </c>
      <c r="W37" s="2" t="n">
        <v>0</v>
      </c>
      <c r="X37" s="2" t="n">
        <v>0</v>
      </c>
      <c r="Y37" s="2" t="n">
        <v>0</v>
      </c>
      <c r="Z37" s="2" t="n">
        <v>0</v>
      </c>
    </row>
    <row r="38">
      <c r="A38" s="2" t="inlineStr">
        <is>
          <t>Base</t>
        </is>
      </c>
      <c r="B38" s="2" t="n">
        <v>7</v>
      </c>
      <c r="C38" s="2" t="n">
        <v>1</v>
      </c>
      <c r="D38" s="2" t="n">
        <v>0</v>
      </c>
      <c r="E38" s="2" t="n">
        <v>0</v>
      </c>
      <c r="F38" s="2" t="n">
        <v>0</v>
      </c>
      <c r="G38" s="2" t="n">
        <v>1</v>
      </c>
      <c r="H38" s="2" t="n">
        <v>80000</v>
      </c>
      <c r="I38" s="2" t="n">
        <v>0</v>
      </c>
      <c r="J38" s="2" t="n">
        <v>80000</v>
      </c>
      <c r="K38" s="2" t="n">
        <v>80000</v>
      </c>
      <c r="L38" s="2" t="n">
        <v>0</v>
      </c>
      <c r="M38" s="2" t="n">
        <v>80000</v>
      </c>
      <c r="N38" s="2" t="n">
        <v>37000</v>
      </c>
      <c r="O38" s="2" t="n">
        <v>43200</v>
      </c>
      <c r="P38" s="2" t="n">
        <v>0</v>
      </c>
      <c r="Q38" s="2" t="n">
        <v>9600</v>
      </c>
      <c r="R38" s="2" t="n">
        <v>4000</v>
      </c>
      <c r="S38" s="2" t="n">
        <v>93800</v>
      </c>
      <c r="T38" s="2" t="n">
        <v>-13800</v>
      </c>
      <c r="U38" s="2" t="n">
        <v>-335800</v>
      </c>
      <c r="V38" s="2" t="n">
        <v>-37000</v>
      </c>
      <c r="W38" s="2" t="n">
        <v>240</v>
      </c>
      <c r="X38" s="2" t="n">
        <v>0</v>
      </c>
      <c r="Y38" s="2" t="n">
        <v>0</v>
      </c>
      <c r="Z38" s="2" t="n">
        <v>10</v>
      </c>
    </row>
    <row r="39">
      <c r="A39" s="2" t="inlineStr">
        <is>
          <t>Base</t>
        </is>
      </c>
      <c r="B39" s="2" t="n">
        <v>8</v>
      </c>
      <c r="C39" s="2" t="n">
        <v>0</v>
      </c>
      <c r="D39" s="2" t="n">
        <v>0</v>
      </c>
      <c r="E39" s="2" t="n">
        <v>0</v>
      </c>
      <c r="F39" s="2" t="n">
        <v>0</v>
      </c>
      <c r="G39" s="2" t="n">
        <v>1</v>
      </c>
      <c r="H39" s="2" t="n">
        <v>80000</v>
      </c>
      <c r="I39" s="2" t="n">
        <v>0</v>
      </c>
      <c r="J39" s="2" t="n">
        <v>80000</v>
      </c>
      <c r="K39" s="2" t="n">
        <v>0</v>
      </c>
      <c r="L39" s="2" t="n">
        <v>0</v>
      </c>
      <c r="M39" s="2" t="n">
        <v>0</v>
      </c>
      <c r="N39" s="2" t="n">
        <v>37000</v>
      </c>
      <c r="O39" s="2" t="n">
        <v>43200</v>
      </c>
      <c r="P39" s="2" t="n">
        <v>0</v>
      </c>
      <c r="Q39" s="2" t="n">
        <v>9600</v>
      </c>
      <c r="R39" s="2" t="n">
        <v>0</v>
      </c>
      <c r="S39" s="2" t="n">
        <v>89800</v>
      </c>
      <c r="T39" s="2" t="n">
        <v>-89800</v>
      </c>
      <c r="U39" s="2" t="n">
        <v>-425600</v>
      </c>
      <c r="V39" s="2" t="n">
        <v>-37000</v>
      </c>
      <c r="W39" s="2" t="n">
        <v>240</v>
      </c>
      <c r="X39" s="2" t="n">
        <v>0</v>
      </c>
      <c r="Y39" s="2" t="n">
        <v>80000</v>
      </c>
      <c r="Z39" s="2" t="n">
        <v>10</v>
      </c>
    </row>
    <row r="40">
      <c r="A40" s="2" t="inlineStr">
        <is>
          <t>Base</t>
        </is>
      </c>
      <c r="B40" s="2" t="n">
        <v>9</v>
      </c>
      <c r="C40" s="2" t="n">
        <v>0</v>
      </c>
      <c r="D40" s="2" t="n">
        <v>0</v>
      </c>
      <c r="E40" s="2" t="n">
        <v>0</v>
      </c>
      <c r="F40" s="2" t="n">
        <v>0</v>
      </c>
      <c r="G40" s="2" t="n">
        <v>1</v>
      </c>
      <c r="H40" s="2" t="n">
        <v>40000</v>
      </c>
      <c r="I40" s="2" t="n">
        <v>0</v>
      </c>
      <c r="J40" s="2" t="n">
        <v>40000</v>
      </c>
      <c r="K40" s="2" t="n">
        <v>80000</v>
      </c>
      <c r="L40" s="2" t="n">
        <v>0</v>
      </c>
      <c r="M40" s="2" t="n">
        <v>80000</v>
      </c>
      <c r="N40" s="2" t="n">
        <v>37000</v>
      </c>
      <c r="O40" s="2" t="n">
        <v>43200</v>
      </c>
      <c r="P40" s="2" t="n">
        <v>0</v>
      </c>
      <c r="Q40" s="2" t="n">
        <v>4800</v>
      </c>
      <c r="R40" s="2" t="n">
        <v>4000</v>
      </c>
      <c r="S40" s="2" t="n">
        <v>89000</v>
      </c>
      <c r="T40" s="2" t="n">
        <v>-9000</v>
      </c>
      <c r="U40" s="2" t="n">
        <v>-434600</v>
      </c>
      <c r="V40" s="2" t="n">
        <v>-37000</v>
      </c>
      <c r="W40" s="2" t="n">
        <v>240</v>
      </c>
      <c r="X40" s="2" t="n">
        <v>0</v>
      </c>
      <c r="Y40" s="2" t="n">
        <v>40000</v>
      </c>
      <c r="Z40" s="2" t="n">
        <v>10</v>
      </c>
    </row>
    <row r="41">
      <c r="A41" s="2" t="inlineStr">
        <is>
          <t>Base</t>
        </is>
      </c>
      <c r="B41" s="2" t="n">
        <v>10</v>
      </c>
      <c r="C41" s="2" t="n">
        <v>0</v>
      </c>
      <c r="D41" s="2" t="n">
        <v>1</v>
      </c>
      <c r="E41" s="2" t="n">
        <v>0</v>
      </c>
      <c r="F41" s="2" t="n">
        <v>1</v>
      </c>
      <c r="G41" s="2" t="n">
        <v>0</v>
      </c>
      <c r="H41" s="2" t="n">
        <v>0</v>
      </c>
      <c r="I41" s="2" t="n">
        <v>12000</v>
      </c>
      <c r="J41" s="2" t="n">
        <v>12000</v>
      </c>
      <c r="K41" s="2" t="n">
        <v>40000</v>
      </c>
      <c r="L41" s="2" t="n">
        <v>0</v>
      </c>
      <c r="M41" s="2" t="n">
        <v>40000</v>
      </c>
      <c r="N41" s="2" t="n">
        <v>37000</v>
      </c>
      <c r="O41" s="2" t="n">
        <v>0</v>
      </c>
      <c r="P41" s="2" t="n">
        <v>1800</v>
      </c>
      <c r="Q41" s="2" t="n">
        <v>1440</v>
      </c>
      <c r="R41" s="2" t="n">
        <v>2000</v>
      </c>
      <c r="S41" s="2" t="n">
        <v>42240</v>
      </c>
      <c r="T41" s="2" t="n">
        <v>-2240</v>
      </c>
      <c r="U41" s="2" t="n">
        <v>-436840</v>
      </c>
      <c r="V41" s="2" t="n">
        <v>-28840</v>
      </c>
      <c r="W41" s="2" t="n">
        <v>0</v>
      </c>
      <c r="X41" s="2" t="n">
        <v>10</v>
      </c>
      <c r="Y41" s="2" t="n">
        <v>12000</v>
      </c>
      <c r="Z41" s="2" t="n">
        <v>10</v>
      </c>
    </row>
    <row r="42">
      <c r="A42" s="2" t="inlineStr">
        <is>
          <t>Base</t>
        </is>
      </c>
      <c r="B42" s="2" t="n">
        <v>11</v>
      </c>
      <c r="C42" s="2" t="n">
        <v>1</v>
      </c>
      <c r="D42" s="2" t="n">
        <v>0</v>
      </c>
      <c r="E42" s="2" t="n">
        <v>0</v>
      </c>
      <c r="F42" s="2" t="n">
        <v>1</v>
      </c>
      <c r="G42" s="2" t="n">
        <v>1</v>
      </c>
      <c r="H42" s="2" t="n">
        <v>80000</v>
      </c>
      <c r="I42" s="2" t="n">
        <v>12000</v>
      </c>
      <c r="J42" s="2" t="n">
        <v>92000</v>
      </c>
      <c r="K42" s="2" t="n">
        <v>80000</v>
      </c>
      <c r="L42" s="2" t="n">
        <v>12000</v>
      </c>
      <c r="M42" s="2" t="n">
        <v>92000</v>
      </c>
      <c r="N42" s="2" t="n">
        <v>37000</v>
      </c>
      <c r="O42" s="2" t="n">
        <v>43200</v>
      </c>
      <c r="P42" s="2" t="n">
        <v>1800</v>
      </c>
      <c r="Q42" s="2" t="n">
        <v>11040</v>
      </c>
      <c r="R42" s="2" t="n">
        <v>4600</v>
      </c>
      <c r="S42" s="2" t="n">
        <v>97640</v>
      </c>
      <c r="T42" s="2" t="n">
        <v>-5640</v>
      </c>
      <c r="U42" s="2" t="n">
        <v>-442480</v>
      </c>
      <c r="V42" s="2" t="n">
        <v>-28840</v>
      </c>
      <c r="W42" s="2" t="n">
        <v>240</v>
      </c>
      <c r="X42" s="2" t="n">
        <v>10</v>
      </c>
      <c r="Y42" s="2" t="n">
        <v>12000</v>
      </c>
      <c r="Z42" s="2" t="n">
        <v>20</v>
      </c>
    </row>
    <row r="43">
      <c r="A43" s="2" t="inlineStr">
        <is>
          <t>Base</t>
        </is>
      </c>
      <c r="B43" s="2" t="n">
        <v>12</v>
      </c>
      <c r="C43" s="2" t="n">
        <v>0</v>
      </c>
      <c r="D43" s="2" t="n">
        <v>0</v>
      </c>
      <c r="E43" s="2" t="n">
        <v>0</v>
      </c>
      <c r="F43" s="2" t="n">
        <v>1</v>
      </c>
      <c r="G43" s="2" t="n">
        <v>1</v>
      </c>
      <c r="H43" s="2" t="n">
        <v>80000</v>
      </c>
      <c r="I43" s="2" t="n">
        <v>12000</v>
      </c>
      <c r="J43" s="2" t="n">
        <v>92000</v>
      </c>
      <c r="K43" s="2" t="n">
        <v>0</v>
      </c>
      <c r="L43" s="2" t="n">
        <v>12000</v>
      </c>
      <c r="M43" s="2" t="n">
        <v>12000</v>
      </c>
      <c r="N43" s="2" t="n">
        <v>37000</v>
      </c>
      <c r="O43" s="2" t="n">
        <v>43200</v>
      </c>
      <c r="P43" s="2" t="n">
        <v>1800</v>
      </c>
      <c r="Q43" s="2" t="n">
        <v>11040</v>
      </c>
      <c r="R43" s="2" t="n">
        <v>600</v>
      </c>
      <c r="S43" s="2" t="n">
        <v>93640</v>
      </c>
      <c r="T43" s="2" t="n">
        <v>-81640</v>
      </c>
      <c r="U43" s="2" t="n">
        <v>-524120</v>
      </c>
      <c r="V43" s="2" t="n">
        <v>-28840</v>
      </c>
      <c r="W43" s="2" t="n">
        <v>240</v>
      </c>
      <c r="X43" s="2" t="n">
        <v>10</v>
      </c>
      <c r="Y43" s="2" t="n">
        <v>92000</v>
      </c>
      <c r="Z43" s="2" t="n">
        <v>20</v>
      </c>
    </row>
    <row r="44">
      <c r="A44" s="2" t="inlineStr">
        <is>
          <t>Base</t>
        </is>
      </c>
      <c r="B44" s="2" t="n">
        <v>13</v>
      </c>
      <c r="C44" s="2" t="n">
        <v>0</v>
      </c>
      <c r="D44" s="2" t="n">
        <v>0</v>
      </c>
      <c r="E44" s="2" t="n">
        <v>0</v>
      </c>
      <c r="F44" s="2" t="n">
        <v>1</v>
      </c>
      <c r="G44" s="2" t="n">
        <v>1</v>
      </c>
      <c r="H44" s="2" t="n">
        <v>40000</v>
      </c>
      <c r="I44" s="2" t="n">
        <v>12000</v>
      </c>
      <c r="J44" s="2" t="n">
        <v>52000</v>
      </c>
      <c r="K44" s="2" t="n">
        <v>80000</v>
      </c>
      <c r="L44" s="2" t="n">
        <v>12000</v>
      </c>
      <c r="M44" s="2" t="n">
        <v>92000</v>
      </c>
      <c r="N44" s="2" t="n">
        <v>42000</v>
      </c>
      <c r="O44" s="2" t="n">
        <v>43200</v>
      </c>
      <c r="P44" s="2" t="n">
        <v>1800</v>
      </c>
      <c r="Q44" s="2" t="n">
        <v>6240</v>
      </c>
      <c r="R44" s="2" t="n">
        <v>4600</v>
      </c>
      <c r="S44" s="2" t="n">
        <v>97840</v>
      </c>
      <c r="T44" s="2" t="n">
        <v>-5840</v>
      </c>
      <c r="U44" s="2" t="n">
        <v>-529960</v>
      </c>
      <c r="V44" s="2" t="n">
        <v>-33840</v>
      </c>
      <c r="W44" s="2" t="n">
        <v>240</v>
      </c>
      <c r="X44" s="2" t="n">
        <v>10</v>
      </c>
      <c r="Y44" s="2" t="n">
        <v>52000</v>
      </c>
      <c r="Z44" s="2" t="n">
        <v>20</v>
      </c>
    </row>
    <row r="45">
      <c r="A45" s="2" t="inlineStr">
        <is>
          <t>Base</t>
        </is>
      </c>
      <c r="B45" s="2" t="n">
        <v>14</v>
      </c>
      <c r="C45" s="2" t="n">
        <v>0</v>
      </c>
      <c r="D45" s="2" t="n">
        <v>1</v>
      </c>
      <c r="E45" s="2" t="n">
        <v>0</v>
      </c>
      <c r="F45" s="2" t="n">
        <v>2</v>
      </c>
      <c r="G45" s="2" t="n">
        <v>0</v>
      </c>
      <c r="H45" s="2" t="n">
        <v>0</v>
      </c>
      <c r="I45" s="2" t="n">
        <v>24000</v>
      </c>
      <c r="J45" s="2" t="n">
        <v>24000</v>
      </c>
      <c r="K45" s="2" t="n">
        <v>40000</v>
      </c>
      <c r="L45" s="2" t="n">
        <v>12000</v>
      </c>
      <c r="M45" s="2" t="n">
        <v>52000</v>
      </c>
      <c r="N45" s="2" t="n">
        <v>42000</v>
      </c>
      <c r="O45" s="2" t="n">
        <v>0</v>
      </c>
      <c r="P45" s="2" t="n">
        <v>3600</v>
      </c>
      <c r="Q45" s="2" t="n">
        <v>2880</v>
      </c>
      <c r="R45" s="2" t="n">
        <v>2600</v>
      </c>
      <c r="S45" s="2" t="n">
        <v>51080</v>
      </c>
      <c r="T45" s="2" t="n">
        <v>920</v>
      </c>
      <c r="U45" s="2" t="n">
        <v>-529040</v>
      </c>
      <c r="V45" s="2" t="n">
        <v>-25680</v>
      </c>
      <c r="W45" s="2" t="n">
        <v>0</v>
      </c>
      <c r="X45" s="2" t="n">
        <v>20</v>
      </c>
      <c r="Y45" s="2" t="n">
        <v>24000</v>
      </c>
      <c r="Z45" s="2" t="n">
        <v>20</v>
      </c>
    </row>
    <row r="46">
      <c r="A46" s="2" t="inlineStr">
        <is>
          <t>Base</t>
        </is>
      </c>
      <c r="B46" s="2" t="n">
        <v>15</v>
      </c>
      <c r="C46" s="2" t="n">
        <v>1</v>
      </c>
      <c r="D46" s="2" t="n">
        <v>0</v>
      </c>
      <c r="E46" s="2" t="n">
        <v>0</v>
      </c>
      <c r="F46" s="2" t="n">
        <v>2</v>
      </c>
      <c r="G46" s="2" t="n">
        <v>1</v>
      </c>
      <c r="H46" s="2" t="n">
        <v>80000</v>
      </c>
      <c r="I46" s="2" t="n">
        <v>24000</v>
      </c>
      <c r="J46" s="2" t="n">
        <v>104000</v>
      </c>
      <c r="K46" s="2" t="n">
        <v>80000</v>
      </c>
      <c r="L46" s="2" t="n">
        <v>24000</v>
      </c>
      <c r="M46" s="2" t="n">
        <v>104000</v>
      </c>
      <c r="N46" s="2" t="n">
        <v>42000</v>
      </c>
      <c r="O46" s="2" t="n">
        <v>43200</v>
      </c>
      <c r="P46" s="2" t="n">
        <v>3600</v>
      </c>
      <c r="Q46" s="2" t="n">
        <v>12480</v>
      </c>
      <c r="R46" s="2" t="n">
        <v>5200</v>
      </c>
      <c r="S46" s="2" t="n">
        <v>106480</v>
      </c>
      <c r="T46" s="2" t="n">
        <v>-2480</v>
      </c>
      <c r="U46" s="2" t="n">
        <v>-531520</v>
      </c>
      <c r="V46" s="2" t="n">
        <v>-25680</v>
      </c>
      <c r="W46" s="2" t="n">
        <v>240</v>
      </c>
      <c r="X46" s="2" t="n">
        <v>20</v>
      </c>
      <c r="Y46" s="2" t="n">
        <v>24000</v>
      </c>
      <c r="Z46" s="2" t="n">
        <v>30</v>
      </c>
    </row>
    <row r="47">
      <c r="A47" s="2" t="inlineStr">
        <is>
          <t>Base</t>
        </is>
      </c>
      <c r="B47" s="2" t="n">
        <v>16</v>
      </c>
      <c r="C47" s="2" t="n">
        <v>0</v>
      </c>
      <c r="D47" s="2" t="n">
        <v>0</v>
      </c>
      <c r="E47" s="2" t="n">
        <v>0</v>
      </c>
      <c r="F47" s="2" t="n">
        <v>2</v>
      </c>
      <c r="G47" s="2" t="n">
        <v>1</v>
      </c>
      <c r="H47" s="2" t="n">
        <v>80000</v>
      </c>
      <c r="I47" s="2" t="n">
        <v>24000</v>
      </c>
      <c r="J47" s="2" t="n">
        <v>104000</v>
      </c>
      <c r="K47" s="2" t="n">
        <v>0</v>
      </c>
      <c r="L47" s="2" t="n">
        <v>24000</v>
      </c>
      <c r="M47" s="2" t="n">
        <v>24000</v>
      </c>
      <c r="N47" s="2" t="n">
        <v>42000</v>
      </c>
      <c r="O47" s="2" t="n">
        <v>43200</v>
      </c>
      <c r="P47" s="2" t="n">
        <v>3600</v>
      </c>
      <c r="Q47" s="2" t="n">
        <v>12480</v>
      </c>
      <c r="R47" s="2" t="n">
        <v>1200</v>
      </c>
      <c r="S47" s="2" t="n">
        <v>102480</v>
      </c>
      <c r="T47" s="2" t="n">
        <v>-78480</v>
      </c>
      <c r="U47" s="2" t="n">
        <v>-610000</v>
      </c>
      <c r="V47" s="2" t="n">
        <v>-25680</v>
      </c>
      <c r="W47" s="2" t="n">
        <v>240</v>
      </c>
      <c r="X47" s="2" t="n">
        <v>20</v>
      </c>
      <c r="Y47" s="2" t="n">
        <v>104000</v>
      </c>
      <c r="Z47" s="2" t="n">
        <v>30</v>
      </c>
    </row>
    <row r="48">
      <c r="A48" s="2" t="inlineStr">
        <is>
          <t>Base</t>
        </is>
      </c>
      <c r="B48" s="2" t="n">
        <v>17</v>
      </c>
      <c r="C48" s="2" t="n">
        <v>0</v>
      </c>
      <c r="D48" s="2" t="n">
        <v>0</v>
      </c>
      <c r="E48" s="2" t="n">
        <v>0</v>
      </c>
      <c r="F48" s="2" t="n">
        <v>2</v>
      </c>
      <c r="G48" s="2" t="n">
        <v>1</v>
      </c>
      <c r="H48" s="2" t="n">
        <v>40000</v>
      </c>
      <c r="I48" s="2" t="n">
        <v>24000</v>
      </c>
      <c r="J48" s="2" t="n">
        <v>64000</v>
      </c>
      <c r="K48" s="2" t="n">
        <v>80000</v>
      </c>
      <c r="L48" s="2" t="n">
        <v>24000</v>
      </c>
      <c r="M48" s="2" t="n">
        <v>104000</v>
      </c>
      <c r="N48" s="2" t="n">
        <v>42000</v>
      </c>
      <c r="O48" s="2" t="n">
        <v>43200</v>
      </c>
      <c r="P48" s="2" t="n">
        <v>3600</v>
      </c>
      <c r="Q48" s="2" t="n">
        <v>7680</v>
      </c>
      <c r="R48" s="2" t="n">
        <v>5200</v>
      </c>
      <c r="S48" s="2" t="n">
        <v>101680</v>
      </c>
      <c r="T48" s="2" t="n">
        <v>2320</v>
      </c>
      <c r="U48" s="2" t="n">
        <v>-607680</v>
      </c>
      <c r="V48" s="2" t="n">
        <v>-25680</v>
      </c>
      <c r="W48" s="2" t="n">
        <v>240</v>
      </c>
      <c r="X48" s="2" t="n">
        <v>20</v>
      </c>
      <c r="Y48" s="2" t="n">
        <v>64000</v>
      </c>
      <c r="Z48" s="2" t="n">
        <v>30</v>
      </c>
    </row>
    <row r="49">
      <c r="A49" s="2" t="inlineStr">
        <is>
          <t>Base</t>
        </is>
      </c>
      <c r="B49" s="2" t="n">
        <v>18</v>
      </c>
      <c r="C49" s="2" t="n">
        <v>0</v>
      </c>
      <c r="D49" s="2" t="n">
        <v>1</v>
      </c>
      <c r="E49" s="2" t="n">
        <v>0</v>
      </c>
      <c r="F49" s="2" t="n">
        <v>3</v>
      </c>
      <c r="G49" s="2" t="n">
        <v>0</v>
      </c>
      <c r="H49" s="2" t="n">
        <v>0</v>
      </c>
      <c r="I49" s="2" t="n">
        <v>36000</v>
      </c>
      <c r="J49" s="2" t="n">
        <v>36000</v>
      </c>
      <c r="K49" s="2" t="n">
        <v>40000</v>
      </c>
      <c r="L49" s="2" t="n">
        <v>24000</v>
      </c>
      <c r="M49" s="2" t="n">
        <v>64000</v>
      </c>
      <c r="N49" s="2" t="n">
        <v>42000</v>
      </c>
      <c r="O49" s="2" t="n">
        <v>0</v>
      </c>
      <c r="P49" s="2" t="n">
        <v>5400</v>
      </c>
      <c r="Q49" s="2" t="n">
        <v>4320</v>
      </c>
      <c r="R49" s="2" t="n">
        <v>3200</v>
      </c>
      <c r="S49" s="2" t="n">
        <v>54920</v>
      </c>
      <c r="T49" s="2" t="n">
        <v>9080</v>
      </c>
      <c r="U49" s="2" t="n">
        <v>-598600</v>
      </c>
      <c r="V49" s="2" t="n">
        <v>-17520</v>
      </c>
      <c r="W49" s="2" t="n">
        <v>0</v>
      </c>
      <c r="X49" s="2" t="n">
        <v>30</v>
      </c>
      <c r="Y49" s="2" t="n">
        <v>36000</v>
      </c>
      <c r="Z49" s="2" t="n">
        <v>30</v>
      </c>
    </row>
    <row r="50">
      <c r="A50" s="2" t="inlineStr">
        <is>
          <t>Base</t>
        </is>
      </c>
      <c r="B50" s="2" t="n">
        <v>19</v>
      </c>
      <c r="C50" s="2" t="n">
        <v>1</v>
      </c>
      <c r="D50" s="2" t="n">
        <v>0</v>
      </c>
      <c r="E50" s="2" t="n">
        <v>0</v>
      </c>
      <c r="F50" s="2" t="n">
        <v>3</v>
      </c>
      <c r="G50" s="2" t="n">
        <v>1</v>
      </c>
      <c r="H50" s="2" t="n">
        <v>80000</v>
      </c>
      <c r="I50" s="2" t="n">
        <v>36000</v>
      </c>
      <c r="J50" s="2" t="n">
        <v>116000</v>
      </c>
      <c r="K50" s="2" t="n">
        <v>80000</v>
      </c>
      <c r="L50" s="2" t="n">
        <v>36000</v>
      </c>
      <c r="M50" s="2" t="n">
        <v>116000</v>
      </c>
      <c r="N50" s="2" t="n">
        <v>42000</v>
      </c>
      <c r="O50" s="2" t="n">
        <v>43200</v>
      </c>
      <c r="P50" s="2" t="n">
        <v>5400</v>
      </c>
      <c r="Q50" s="2" t="n">
        <v>13920</v>
      </c>
      <c r="R50" s="2" t="n">
        <v>5800</v>
      </c>
      <c r="S50" s="2" t="n">
        <v>110320</v>
      </c>
      <c r="T50" s="2" t="n">
        <v>5680</v>
      </c>
      <c r="U50" s="2" t="n">
        <v>-592920</v>
      </c>
      <c r="V50" s="2" t="n">
        <v>-17520</v>
      </c>
      <c r="W50" s="2" t="n">
        <v>240</v>
      </c>
      <c r="X50" s="2" t="n">
        <v>30</v>
      </c>
      <c r="Y50" s="2" t="n">
        <v>36000</v>
      </c>
      <c r="Z50" s="2" t="n">
        <v>40</v>
      </c>
    </row>
    <row r="51">
      <c r="A51" s="2" t="inlineStr">
        <is>
          <t>Base</t>
        </is>
      </c>
      <c r="B51" s="2" t="n">
        <v>20</v>
      </c>
      <c r="C51" s="2" t="n">
        <v>0</v>
      </c>
      <c r="D51" s="2" t="n">
        <v>0</v>
      </c>
      <c r="E51" s="2" t="n">
        <v>0</v>
      </c>
      <c r="F51" s="2" t="n">
        <v>3</v>
      </c>
      <c r="G51" s="2" t="n">
        <v>1</v>
      </c>
      <c r="H51" s="2" t="n">
        <v>80000</v>
      </c>
      <c r="I51" s="2" t="n">
        <v>36000</v>
      </c>
      <c r="J51" s="2" t="n">
        <v>116000</v>
      </c>
      <c r="K51" s="2" t="n">
        <v>0</v>
      </c>
      <c r="L51" s="2" t="n">
        <v>36000</v>
      </c>
      <c r="M51" s="2" t="n">
        <v>36000</v>
      </c>
      <c r="N51" s="2" t="n">
        <v>42000</v>
      </c>
      <c r="O51" s="2" t="n">
        <v>43200</v>
      </c>
      <c r="P51" s="2" t="n">
        <v>5400</v>
      </c>
      <c r="Q51" s="2" t="n">
        <v>13920</v>
      </c>
      <c r="R51" s="2" t="n">
        <v>1800</v>
      </c>
      <c r="S51" s="2" t="n">
        <v>106320</v>
      </c>
      <c r="T51" s="2" t="n">
        <v>-70320</v>
      </c>
      <c r="U51" s="2" t="n">
        <v>-663240</v>
      </c>
      <c r="V51" s="2" t="n">
        <v>-17520</v>
      </c>
      <c r="W51" s="2" t="n">
        <v>240</v>
      </c>
      <c r="X51" s="2" t="n">
        <v>30</v>
      </c>
      <c r="Y51" s="2" t="n">
        <v>116000</v>
      </c>
      <c r="Z51" s="2" t="n">
        <v>40</v>
      </c>
    </row>
    <row r="52">
      <c r="A52" s="2" t="inlineStr">
        <is>
          <t>Base</t>
        </is>
      </c>
      <c r="B52" s="2" t="n">
        <v>21</v>
      </c>
      <c r="C52" s="2" t="n">
        <v>0</v>
      </c>
      <c r="D52" s="2" t="n">
        <v>0</v>
      </c>
      <c r="E52" s="2" t="n">
        <v>0</v>
      </c>
      <c r="F52" s="2" t="n">
        <v>3</v>
      </c>
      <c r="G52" s="2" t="n">
        <v>1</v>
      </c>
      <c r="H52" s="2" t="n">
        <v>40000</v>
      </c>
      <c r="I52" s="2" t="n">
        <v>36000</v>
      </c>
      <c r="J52" s="2" t="n">
        <v>76000</v>
      </c>
      <c r="K52" s="2" t="n">
        <v>80000</v>
      </c>
      <c r="L52" s="2" t="n">
        <v>36000</v>
      </c>
      <c r="M52" s="2" t="n">
        <v>116000</v>
      </c>
      <c r="N52" s="2" t="n">
        <v>42000</v>
      </c>
      <c r="O52" s="2" t="n">
        <v>43200</v>
      </c>
      <c r="P52" s="2" t="n">
        <v>5400</v>
      </c>
      <c r="Q52" s="2" t="n">
        <v>9120</v>
      </c>
      <c r="R52" s="2" t="n">
        <v>5800</v>
      </c>
      <c r="S52" s="2" t="n">
        <v>105520</v>
      </c>
      <c r="T52" s="2" t="n">
        <v>10480</v>
      </c>
      <c r="U52" s="2" t="n">
        <v>-652760</v>
      </c>
      <c r="V52" s="2" t="n">
        <v>-17520</v>
      </c>
      <c r="W52" s="2" t="n">
        <v>240</v>
      </c>
      <c r="X52" s="2" t="n">
        <v>30</v>
      </c>
      <c r="Y52" s="2" t="n">
        <v>76000</v>
      </c>
      <c r="Z52" s="2" t="n">
        <v>40</v>
      </c>
    </row>
    <row r="53">
      <c r="A53" s="2" t="inlineStr">
        <is>
          <t>Base</t>
        </is>
      </c>
      <c r="B53" s="2" t="n">
        <v>22</v>
      </c>
      <c r="C53" s="2" t="n">
        <v>0</v>
      </c>
      <c r="D53" s="2" t="n">
        <v>1</v>
      </c>
      <c r="E53" s="2" t="n">
        <v>1</v>
      </c>
      <c r="F53" s="2" t="n">
        <v>3</v>
      </c>
      <c r="G53" s="2" t="n">
        <v>0</v>
      </c>
      <c r="H53" s="2" t="n">
        <v>0</v>
      </c>
      <c r="I53" s="2" t="n">
        <v>36000</v>
      </c>
      <c r="J53" s="2" t="n">
        <v>36000</v>
      </c>
      <c r="K53" s="2" t="n">
        <v>40000</v>
      </c>
      <c r="L53" s="2" t="n">
        <v>36000</v>
      </c>
      <c r="M53" s="2" t="n">
        <v>76000</v>
      </c>
      <c r="N53" s="2" t="n">
        <v>42000</v>
      </c>
      <c r="O53" s="2" t="n">
        <v>0</v>
      </c>
      <c r="P53" s="2" t="n">
        <v>5400</v>
      </c>
      <c r="Q53" s="2" t="n">
        <v>4320</v>
      </c>
      <c r="R53" s="2" t="n">
        <v>3800</v>
      </c>
      <c r="S53" s="2" t="n">
        <v>55520</v>
      </c>
      <c r="T53" s="2" t="n">
        <v>20480</v>
      </c>
      <c r="U53" s="2" t="n">
        <v>-632280</v>
      </c>
      <c r="V53" s="2" t="n">
        <v>-17520</v>
      </c>
      <c r="W53" s="2" t="n">
        <v>0</v>
      </c>
      <c r="X53" s="2" t="n">
        <v>30</v>
      </c>
      <c r="Y53" s="2" t="n">
        <v>36000</v>
      </c>
      <c r="Z53" s="2" t="n">
        <v>30</v>
      </c>
    </row>
    <row r="54">
      <c r="A54" s="2" t="inlineStr">
        <is>
          <t>Base</t>
        </is>
      </c>
      <c r="B54" s="2" t="n">
        <v>23</v>
      </c>
      <c r="C54" s="2" t="n">
        <v>1</v>
      </c>
      <c r="D54" s="2" t="n">
        <v>0</v>
      </c>
      <c r="E54" s="2" t="n">
        <v>0</v>
      </c>
      <c r="F54" s="2" t="n">
        <v>3</v>
      </c>
      <c r="G54" s="2" t="n">
        <v>1</v>
      </c>
      <c r="H54" s="2" t="n">
        <v>80000</v>
      </c>
      <c r="I54" s="2" t="n">
        <v>36000</v>
      </c>
      <c r="J54" s="2" t="n">
        <v>116000</v>
      </c>
      <c r="K54" s="2" t="n">
        <v>80000</v>
      </c>
      <c r="L54" s="2" t="n">
        <v>36000</v>
      </c>
      <c r="M54" s="2" t="n">
        <v>116000</v>
      </c>
      <c r="N54" s="2" t="n">
        <v>42000</v>
      </c>
      <c r="O54" s="2" t="n">
        <v>43200</v>
      </c>
      <c r="P54" s="2" t="n">
        <v>5400</v>
      </c>
      <c r="Q54" s="2" t="n">
        <v>13920</v>
      </c>
      <c r="R54" s="2" t="n">
        <v>5800</v>
      </c>
      <c r="S54" s="2" t="n">
        <v>110320</v>
      </c>
      <c r="T54" s="2" t="n">
        <v>5680</v>
      </c>
      <c r="U54" s="2" t="n">
        <v>-626600</v>
      </c>
      <c r="V54" s="2" t="n">
        <v>-17520</v>
      </c>
      <c r="W54" s="2" t="n">
        <v>240</v>
      </c>
      <c r="X54" s="2" t="n">
        <v>30</v>
      </c>
      <c r="Y54" s="2" t="n">
        <v>36000</v>
      </c>
      <c r="Z54" s="2" t="n">
        <v>40</v>
      </c>
    </row>
    <row r="55">
      <c r="A55" s="2" t="inlineStr">
        <is>
          <t>Base</t>
        </is>
      </c>
      <c r="B55" s="2" t="n">
        <v>24</v>
      </c>
      <c r="C55" s="2" t="n">
        <v>0</v>
      </c>
      <c r="D55" s="2" t="n">
        <v>0</v>
      </c>
      <c r="E55" s="2" t="n">
        <v>0</v>
      </c>
      <c r="F55" s="2" t="n">
        <v>3</v>
      </c>
      <c r="G55" s="2" t="n">
        <v>1</v>
      </c>
      <c r="H55" s="2" t="n">
        <v>80000</v>
      </c>
      <c r="I55" s="2" t="n">
        <v>36000</v>
      </c>
      <c r="J55" s="2" t="n">
        <v>116000</v>
      </c>
      <c r="K55" s="2" t="n">
        <v>0</v>
      </c>
      <c r="L55" s="2" t="n">
        <v>36000</v>
      </c>
      <c r="M55" s="2" t="n">
        <v>36000</v>
      </c>
      <c r="N55" s="2" t="n">
        <v>42000</v>
      </c>
      <c r="O55" s="2" t="n">
        <v>43200</v>
      </c>
      <c r="P55" s="2" t="n">
        <v>5400</v>
      </c>
      <c r="Q55" s="2" t="n">
        <v>13920</v>
      </c>
      <c r="R55" s="2" t="n">
        <v>1800</v>
      </c>
      <c r="S55" s="2" t="n">
        <v>106320</v>
      </c>
      <c r="T55" s="2" t="n">
        <v>-70320</v>
      </c>
      <c r="U55" s="2" t="n">
        <v>-696920</v>
      </c>
      <c r="V55" s="2" t="n">
        <v>-17520</v>
      </c>
      <c r="W55" s="2" t="n">
        <v>240</v>
      </c>
      <c r="X55" s="2" t="n">
        <v>30</v>
      </c>
      <c r="Y55" s="2" t="n">
        <v>116000</v>
      </c>
      <c r="Z55" s="2" t="n">
        <v>40</v>
      </c>
    </row>
    <row r="56">
      <c r="A56" s="2" t="inlineStr">
        <is>
          <t>Expansao</t>
        </is>
      </c>
      <c r="B56" s="2" t="n">
        <v>1</v>
      </c>
      <c r="C56" s="2" t="n">
        <v>0</v>
      </c>
      <c r="D56" s="2" t="n">
        <v>0</v>
      </c>
      <c r="E56" s="2" t="n">
        <v>0</v>
      </c>
      <c r="F56" s="2" t="n">
        <v>0</v>
      </c>
      <c r="G56" s="2" t="n">
        <v>0</v>
      </c>
      <c r="H56" s="2" t="n">
        <v>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37000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37000</v>
      </c>
      <c r="T56" s="2" t="n">
        <v>-37000</v>
      </c>
      <c r="U56" s="2" t="n">
        <v>-137000</v>
      </c>
      <c r="V56" s="2" t="n">
        <v>-37000</v>
      </c>
      <c r="W56" s="2" t="n">
        <v>0</v>
      </c>
      <c r="X56" s="2" t="n">
        <v>0</v>
      </c>
      <c r="Y56" s="2" t="n">
        <v>0</v>
      </c>
      <c r="Z56" s="2" t="n">
        <v>0</v>
      </c>
    </row>
    <row r="57">
      <c r="A57" s="2" t="inlineStr">
        <is>
          <t>Expansao</t>
        </is>
      </c>
      <c r="B57" s="2" t="n">
        <v>2</v>
      </c>
      <c r="C57" s="2" t="n">
        <v>0</v>
      </c>
      <c r="D57" s="2" t="n">
        <v>0</v>
      </c>
      <c r="E57" s="2" t="n">
        <v>0</v>
      </c>
      <c r="F57" s="2" t="n">
        <v>0</v>
      </c>
      <c r="G57" s="2" t="n">
        <v>0</v>
      </c>
      <c r="H57" s="2" t="n">
        <v>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37000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37000</v>
      </c>
      <c r="T57" s="2" t="n">
        <v>-37000</v>
      </c>
      <c r="U57" s="2" t="n">
        <v>-174000</v>
      </c>
      <c r="V57" s="2" t="n">
        <v>-37000</v>
      </c>
      <c r="W57" s="2" t="n">
        <v>0</v>
      </c>
      <c r="X57" s="2" t="n">
        <v>0</v>
      </c>
      <c r="Y57" s="2" t="n">
        <v>0</v>
      </c>
      <c r="Z57" s="2" t="n">
        <v>0</v>
      </c>
    </row>
    <row r="58">
      <c r="A58" s="2" t="inlineStr">
        <is>
          <t>Expansao</t>
        </is>
      </c>
      <c r="B58" s="2" t="n">
        <v>3</v>
      </c>
      <c r="C58" s="2" t="n">
        <v>0</v>
      </c>
      <c r="D58" s="2" t="n">
        <v>0</v>
      </c>
      <c r="E58" s="2" t="n">
        <v>0</v>
      </c>
      <c r="F58" s="2" t="n">
        <v>0</v>
      </c>
      <c r="G58" s="2" t="n">
        <v>0</v>
      </c>
      <c r="H58" s="2" t="n">
        <v>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37000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37000</v>
      </c>
      <c r="T58" s="2" t="n">
        <v>-37000</v>
      </c>
      <c r="U58" s="2" t="n">
        <v>-211000</v>
      </c>
      <c r="V58" s="2" t="n">
        <v>-37000</v>
      </c>
      <c r="W58" s="2" t="n">
        <v>0</v>
      </c>
      <c r="X58" s="2" t="n">
        <v>0</v>
      </c>
      <c r="Y58" s="2" t="n">
        <v>0</v>
      </c>
      <c r="Z58" s="2" t="n">
        <v>0</v>
      </c>
    </row>
    <row r="59">
      <c r="A59" s="2" t="inlineStr">
        <is>
          <t>Expansao</t>
        </is>
      </c>
      <c r="B59" s="2" t="n">
        <v>4</v>
      </c>
      <c r="C59" s="2" t="n">
        <v>0</v>
      </c>
      <c r="D59" s="2" t="n">
        <v>0</v>
      </c>
      <c r="E59" s="2" t="n">
        <v>0</v>
      </c>
      <c r="F59" s="2" t="n">
        <v>0</v>
      </c>
      <c r="G59" s="2" t="n">
        <v>0</v>
      </c>
      <c r="H59" s="2" t="n">
        <v>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37000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37000</v>
      </c>
      <c r="T59" s="2" t="n">
        <v>-37000</v>
      </c>
      <c r="U59" s="2" t="n">
        <v>-248000</v>
      </c>
      <c r="V59" s="2" t="n">
        <v>-37000</v>
      </c>
      <c r="W59" s="2" t="n">
        <v>0</v>
      </c>
      <c r="X59" s="2" t="n">
        <v>0</v>
      </c>
      <c r="Y59" s="2" t="n">
        <v>0</v>
      </c>
      <c r="Z59" s="2" t="n">
        <v>0</v>
      </c>
    </row>
    <row r="60">
      <c r="A60" s="2" t="inlineStr">
        <is>
          <t>Expansao</t>
        </is>
      </c>
      <c r="B60" s="2" t="n">
        <v>5</v>
      </c>
      <c r="C60" s="2" t="n">
        <v>1</v>
      </c>
      <c r="D60" s="2" t="n">
        <v>0</v>
      </c>
      <c r="E60" s="2" t="n">
        <v>0</v>
      </c>
      <c r="F60" s="2" t="n">
        <v>0</v>
      </c>
      <c r="G60" s="2" t="n">
        <v>1</v>
      </c>
      <c r="H60" s="2" t="n">
        <v>80000</v>
      </c>
      <c r="I60" s="2" t="n">
        <v>0</v>
      </c>
      <c r="J60" s="2" t="n">
        <v>80000</v>
      </c>
      <c r="K60" s="2" t="n">
        <v>80000</v>
      </c>
      <c r="L60" s="2" t="n">
        <v>0</v>
      </c>
      <c r="M60" s="2" t="n">
        <v>80000</v>
      </c>
      <c r="N60" s="2" t="n">
        <v>37000</v>
      </c>
      <c r="O60" s="2" t="n">
        <v>43200</v>
      </c>
      <c r="P60" s="2" t="n">
        <v>0</v>
      </c>
      <c r="Q60" s="2" t="n">
        <v>9600</v>
      </c>
      <c r="R60" s="2" t="n">
        <v>4000</v>
      </c>
      <c r="S60" s="2" t="n">
        <v>93800</v>
      </c>
      <c r="T60" s="2" t="n">
        <v>-13800</v>
      </c>
      <c r="U60" s="2" t="n">
        <v>-261800</v>
      </c>
      <c r="V60" s="2" t="n">
        <v>-37000</v>
      </c>
      <c r="W60" s="2" t="n">
        <v>240</v>
      </c>
      <c r="X60" s="2" t="n">
        <v>0</v>
      </c>
      <c r="Y60" s="2" t="n">
        <v>0</v>
      </c>
      <c r="Z60" s="2" t="n">
        <v>10</v>
      </c>
    </row>
    <row r="61">
      <c r="A61" s="2" t="inlineStr">
        <is>
          <t>Expansao</t>
        </is>
      </c>
      <c r="B61" s="2" t="n">
        <v>6</v>
      </c>
      <c r="C61" s="2" t="n">
        <v>0</v>
      </c>
      <c r="D61" s="2" t="n">
        <v>0</v>
      </c>
      <c r="E61" s="2" t="n">
        <v>0</v>
      </c>
      <c r="F61" s="2" t="n">
        <v>0</v>
      </c>
      <c r="G61" s="2" t="n">
        <v>1</v>
      </c>
      <c r="H61" s="2" t="n">
        <v>80000</v>
      </c>
      <c r="I61" s="2" t="n">
        <v>0</v>
      </c>
      <c r="J61" s="2" t="n">
        <v>80000</v>
      </c>
      <c r="K61" s="2" t="n">
        <v>0</v>
      </c>
      <c r="L61" s="2" t="n">
        <v>0</v>
      </c>
      <c r="M61" s="2" t="n">
        <v>0</v>
      </c>
      <c r="N61" s="2" t="n">
        <v>37000</v>
      </c>
      <c r="O61" s="2" t="n">
        <v>43200</v>
      </c>
      <c r="P61" s="2" t="n">
        <v>0</v>
      </c>
      <c r="Q61" s="2" t="n">
        <v>9600</v>
      </c>
      <c r="R61" s="2" t="n">
        <v>0</v>
      </c>
      <c r="S61" s="2" t="n">
        <v>89800</v>
      </c>
      <c r="T61" s="2" t="n">
        <v>-89800</v>
      </c>
      <c r="U61" s="2" t="n">
        <v>-351600</v>
      </c>
      <c r="V61" s="2" t="n">
        <v>-37000</v>
      </c>
      <c r="W61" s="2" t="n">
        <v>240</v>
      </c>
      <c r="X61" s="2" t="n">
        <v>0</v>
      </c>
      <c r="Y61" s="2" t="n">
        <v>80000</v>
      </c>
      <c r="Z61" s="2" t="n">
        <v>10</v>
      </c>
    </row>
    <row r="62">
      <c r="A62" s="2" t="inlineStr">
        <is>
          <t>Expansao</t>
        </is>
      </c>
      <c r="B62" s="2" t="n">
        <v>7</v>
      </c>
      <c r="C62" s="2" t="n">
        <v>0</v>
      </c>
      <c r="D62" s="2" t="n">
        <v>0</v>
      </c>
      <c r="E62" s="2" t="n">
        <v>0</v>
      </c>
      <c r="F62" s="2" t="n">
        <v>0</v>
      </c>
      <c r="G62" s="2" t="n">
        <v>1</v>
      </c>
      <c r="H62" s="2" t="n">
        <v>40000</v>
      </c>
      <c r="I62" s="2" t="n">
        <v>0</v>
      </c>
      <c r="J62" s="2" t="n">
        <v>40000</v>
      </c>
      <c r="K62" s="2" t="n">
        <v>80000</v>
      </c>
      <c r="L62" s="2" t="n">
        <v>0</v>
      </c>
      <c r="M62" s="2" t="n">
        <v>80000</v>
      </c>
      <c r="N62" s="2" t="n">
        <v>37000</v>
      </c>
      <c r="O62" s="2" t="n">
        <v>43200</v>
      </c>
      <c r="P62" s="2" t="n">
        <v>0</v>
      </c>
      <c r="Q62" s="2" t="n">
        <v>4800</v>
      </c>
      <c r="R62" s="2" t="n">
        <v>4000</v>
      </c>
      <c r="S62" s="2" t="n">
        <v>89000</v>
      </c>
      <c r="T62" s="2" t="n">
        <v>-9000</v>
      </c>
      <c r="U62" s="2" t="n">
        <v>-360600</v>
      </c>
      <c r="V62" s="2" t="n">
        <v>-37000</v>
      </c>
      <c r="W62" s="2" t="n">
        <v>240</v>
      </c>
      <c r="X62" s="2" t="n">
        <v>0</v>
      </c>
      <c r="Y62" s="2" t="n">
        <v>40000</v>
      </c>
      <c r="Z62" s="2" t="n">
        <v>10</v>
      </c>
    </row>
    <row r="63">
      <c r="A63" s="2" t="inlineStr">
        <is>
          <t>Expansao</t>
        </is>
      </c>
      <c r="B63" s="2" t="n">
        <v>8</v>
      </c>
      <c r="C63" s="2" t="n">
        <v>1</v>
      </c>
      <c r="D63" s="2" t="n">
        <v>1</v>
      </c>
      <c r="E63" s="2" t="n">
        <v>0</v>
      </c>
      <c r="F63" s="2" t="n">
        <v>1</v>
      </c>
      <c r="G63" s="2" t="n">
        <v>1</v>
      </c>
      <c r="H63" s="2" t="n">
        <v>80000</v>
      </c>
      <c r="I63" s="2" t="n">
        <v>12000</v>
      </c>
      <c r="J63" s="2" t="n">
        <v>92000</v>
      </c>
      <c r="K63" s="2" t="n">
        <v>120000</v>
      </c>
      <c r="L63" s="2" t="n">
        <v>0</v>
      </c>
      <c r="M63" s="2" t="n">
        <v>120000</v>
      </c>
      <c r="N63" s="2" t="n">
        <v>37000</v>
      </c>
      <c r="O63" s="2" t="n">
        <v>43200</v>
      </c>
      <c r="P63" s="2" t="n">
        <v>1800</v>
      </c>
      <c r="Q63" s="2" t="n">
        <v>11040</v>
      </c>
      <c r="R63" s="2" t="n">
        <v>6000.000000000001</v>
      </c>
      <c r="S63" s="2" t="n">
        <v>99040</v>
      </c>
      <c r="T63" s="2" t="n">
        <v>20960.00000000001</v>
      </c>
      <c r="U63" s="2" t="n">
        <v>-339640</v>
      </c>
      <c r="V63" s="2" t="n">
        <v>-28840</v>
      </c>
      <c r="W63" s="2" t="n">
        <v>240</v>
      </c>
      <c r="X63" s="2" t="n">
        <v>10</v>
      </c>
      <c r="Y63" s="2" t="n">
        <v>11999.99999999999</v>
      </c>
      <c r="Z63" s="2" t="n">
        <v>20</v>
      </c>
    </row>
    <row r="64">
      <c r="A64" s="2" t="inlineStr">
        <is>
          <t>Expansao</t>
        </is>
      </c>
      <c r="B64" s="2" t="n">
        <v>9</v>
      </c>
      <c r="C64" s="2" t="n">
        <v>0</v>
      </c>
      <c r="D64" s="2" t="n">
        <v>0</v>
      </c>
      <c r="E64" s="2" t="n">
        <v>0</v>
      </c>
      <c r="F64" s="2" t="n">
        <v>1</v>
      </c>
      <c r="G64" s="2" t="n">
        <v>1</v>
      </c>
      <c r="H64" s="2" t="n">
        <v>80000</v>
      </c>
      <c r="I64" s="2" t="n">
        <v>12000</v>
      </c>
      <c r="J64" s="2" t="n">
        <v>92000</v>
      </c>
      <c r="K64" s="2" t="n">
        <v>0</v>
      </c>
      <c r="L64" s="2" t="n">
        <v>12000</v>
      </c>
      <c r="M64" s="2" t="n">
        <v>12000</v>
      </c>
      <c r="N64" s="2" t="n">
        <v>37000</v>
      </c>
      <c r="O64" s="2" t="n">
        <v>43200</v>
      </c>
      <c r="P64" s="2" t="n">
        <v>1800</v>
      </c>
      <c r="Q64" s="2" t="n">
        <v>11040</v>
      </c>
      <c r="R64" s="2" t="n">
        <v>600</v>
      </c>
      <c r="S64" s="2" t="n">
        <v>93640</v>
      </c>
      <c r="T64" s="2" t="n">
        <v>-81640</v>
      </c>
      <c r="U64" s="2" t="n">
        <v>-421280</v>
      </c>
      <c r="V64" s="2" t="n">
        <v>-28840</v>
      </c>
      <c r="W64" s="2" t="n">
        <v>240</v>
      </c>
      <c r="X64" s="2" t="n">
        <v>10</v>
      </c>
      <c r="Y64" s="2" t="n">
        <v>91999.99999999999</v>
      </c>
      <c r="Z64" s="2" t="n">
        <v>20</v>
      </c>
    </row>
    <row r="65">
      <c r="A65" s="2" t="inlineStr">
        <is>
          <t>Expansao</t>
        </is>
      </c>
      <c r="B65" s="2" t="n">
        <v>10</v>
      </c>
      <c r="C65" s="2" t="n">
        <v>0</v>
      </c>
      <c r="D65" s="2" t="n">
        <v>0</v>
      </c>
      <c r="E65" s="2" t="n">
        <v>0</v>
      </c>
      <c r="F65" s="2" t="n">
        <v>1</v>
      </c>
      <c r="G65" s="2" t="n">
        <v>1</v>
      </c>
      <c r="H65" s="2" t="n">
        <v>40000</v>
      </c>
      <c r="I65" s="2" t="n">
        <v>12000</v>
      </c>
      <c r="J65" s="2" t="n">
        <v>52000</v>
      </c>
      <c r="K65" s="2" t="n">
        <v>80000</v>
      </c>
      <c r="L65" s="2" t="n">
        <v>12000</v>
      </c>
      <c r="M65" s="2" t="n">
        <v>92000</v>
      </c>
      <c r="N65" s="2" t="n">
        <v>37000</v>
      </c>
      <c r="O65" s="2" t="n">
        <v>43200</v>
      </c>
      <c r="P65" s="2" t="n">
        <v>1800</v>
      </c>
      <c r="Q65" s="2" t="n">
        <v>6240</v>
      </c>
      <c r="R65" s="2" t="n">
        <v>4600</v>
      </c>
      <c r="S65" s="2" t="n">
        <v>92840</v>
      </c>
      <c r="T65" s="2" t="n">
        <v>-840</v>
      </c>
      <c r="U65" s="2" t="n">
        <v>-422120</v>
      </c>
      <c r="V65" s="2" t="n">
        <v>-28840</v>
      </c>
      <c r="W65" s="2" t="n">
        <v>240</v>
      </c>
      <c r="X65" s="2" t="n">
        <v>10</v>
      </c>
      <c r="Y65" s="2" t="n">
        <v>51999.99999999999</v>
      </c>
      <c r="Z65" s="2" t="n">
        <v>20</v>
      </c>
    </row>
    <row r="66">
      <c r="A66" s="2" t="inlineStr">
        <is>
          <t>Expansao</t>
        </is>
      </c>
      <c r="B66" s="2" t="n">
        <v>11</v>
      </c>
      <c r="C66" s="2" t="n">
        <v>1</v>
      </c>
      <c r="D66" s="2" t="n">
        <v>1</v>
      </c>
      <c r="E66" s="2" t="n">
        <v>0</v>
      </c>
      <c r="F66" s="2" t="n">
        <v>2</v>
      </c>
      <c r="G66" s="2" t="n">
        <v>1</v>
      </c>
      <c r="H66" s="2" t="n">
        <v>80000</v>
      </c>
      <c r="I66" s="2" t="n">
        <v>24000</v>
      </c>
      <c r="J66" s="2" t="n">
        <v>104000</v>
      </c>
      <c r="K66" s="2" t="n">
        <v>120000</v>
      </c>
      <c r="L66" s="2" t="n">
        <v>12000</v>
      </c>
      <c r="M66" s="2" t="n">
        <v>132000</v>
      </c>
      <c r="N66" s="2" t="n">
        <v>37000</v>
      </c>
      <c r="O66" s="2" t="n">
        <v>43200</v>
      </c>
      <c r="P66" s="2" t="n">
        <v>3600</v>
      </c>
      <c r="Q66" s="2" t="n">
        <v>12480</v>
      </c>
      <c r="R66" s="2" t="n">
        <v>6600</v>
      </c>
      <c r="S66" s="2" t="n">
        <v>102880</v>
      </c>
      <c r="T66" s="2" t="n">
        <v>29120</v>
      </c>
      <c r="U66" s="2" t="n">
        <v>-393000</v>
      </c>
      <c r="V66" s="2" t="n">
        <v>-20680</v>
      </c>
      <c r="W66" s="2" t="n">
        <v>240</v>
      </c>
      <c r="X66" s="2" t="n">
        <v>20</v>
      </c>
      <c r="Y66" s="2" t="n">
        <v>23999.99999999999</v>
      </c>
      <c r="Z66" s="2" t="n">
        <v>30</v>
      </c>
    </row>
    <row r="67">
      <c r="A67" s="2" t="inlineStr">
        <is>
          <t>Expansao</t>
        </is>
      </c>
      <c r="B67" s="2" t="n">
        <v>12</v>
      </c>
      <c r="C67" s="2" t="n">
        <v>0</v>
      </c>
      <c r="D67" s="2" t="n">
        <v>0</v>
      </c>
      <c r="E67" s="2" t="n">
        <v>0</v>
      </c>
      <c r="F67" s="2" t="n">
        <v>2</v>
      </c>
      <c r="G67" s="2" t="n">
        <v>1</v>
      </c>
      <c r="H67" s="2" t="n">
        <v>80000</v>
      </c>
      <c r="I67" s="2" t="n">
        <v>24000</v>
      </c>
      <c r="J67" s="2" t="n">
        <v>104000</v>
      </c>
      <c r="K67" s="2" t="n">
        <v>0</v>
      </c>
      <c r="L67" s="2" t="n">
        <v>24000</v>
      </c>
      <c r="M67" s="2" t="n">
        <v>24000</v>
      </c>
      <c r="N67" s="2" t="n">
        <v>37000</v>
      </c>
      <c r="O67" s="2" t="n">
        <v>43200</v>
      </c>
      <c r="P67" s="2" t="n">
        <v>3600</v>
      </c>
      <c r="Q67" s="2" t="n">
        <v>12480</v>
      </c>
      <c r="R67" s="2" t="n">
        <v>1200</v>
      </c>
      <c r="S67" s="2" t="n">
        <v>97480</v>
      </c>
      <c r="T67" s="2" t="n">
        <v>-73480</v>
      </c>
      <c r="U67" s="2" t="n">
        <v>-466480</v>
      </c>
      <c r="V67" s="2" t="n">
        <v>-20680</v>
      </c>
      <c r="W67" s="2" t="n">
        <v>240</v>
      </c>
      <c r="X67" s="2" t="n">
        <v>20</v>
      </c>
      <c r="Y67" s="2" t="n">
        <v>104000</v>
      </c>
      <c r="Z67" s="2" t="n">
        <v>30</v>
      </c>
    </row>
    <row r="68">
      <c r="A68" s="2" t="inlineStr">
        <is>
          <t>Expansao</t>
        </is>
      </c>
      <c r="B68" s="2" t="n">
        <v>13</v>
      </c>
      <c r="C68" s="2" t="n">
        <v>0</v>
      </c>
      <c r="D68" s="2" t="n">
        <v>0</v>
      </c>
      <c r="E68" s="2" t="n">
        <v>0</v>
      </c>
      <c r="F68" s="2" t="n">
        <v>2</v>
      </c>
      <c r="G68" s="2" t="n">
        <v>1</v>
      </c>
      <c r="H68" s="2" t="n">
        <v>40000</v>
      </c>
      <c r="I68" s="2" t="n">
        <v>24000</v>
      </c>
      <c r="J68" s="2" t="n">
        <v>64000</v>
      </c>
      <c r="K68" s="2" t="n">
        <v>80000</v>
      </c>
      <c r="L68" s="2" t="n">
        <v>24000</v>
      </c>
      <c r="M68" s="2" t="n">
        <v>104000</v>
      </c>
      <c r="N68" s="2" t="n">
        <v>42000</v>
      </c>
      <c r="O68" s="2" t="n">
        <v>43200</v>
      </c>
      <c r="P68" s="2" t="n">
        <v>3600</v>
      </c>
      <c r="Q68" s="2" t="n">
        <v>7680</v>
      </c>
      <c r="R68" s="2" t="n">
        <v>5200</v>
      </c>
      <c r="S68" s="2" t="n">
        <v>101680</v>
      </c>
      <c r="T68" s="2" t="n">
        <v>2320</v>
      </c>
      <c r="U68" s="2" t="n">
        <v>-464160</v>
      </c>
      <c r="V68" s="2" t="n">
        <v>-25680</v>
      </c>
      <c r="W68" s="2" t="n">
        <v>240</v>
      </c>
      <c r="X68" s="2" t="n">
        <v>20</v>
      </c>
      <c r="Y68" s="2" t="n">
        <v>63999.99999999999</v>
      </c>
      <c r="Z68" s="2" t="n">
        <v>30</v>
      </c>
    </row>
    <row r="69">
      <c r="A69" s="2" t="inlineStr">
        <is>
          <t>Expansao</t>
        </is>
      </c>
      <c r="B69" s="2" t="n">
        <v>14</v>
      </c>
      <c r="C69" s="2" t="n">
        <v>1</v>
      </c>
      <c r="D69" s="2" t="n">
        <v>1</v>
      </c>
      <c r="E69" s="2" t="n">
        <v>0</v>
      </c>
      <c r="F69" s="2" t="n">
        <v>3</v>
      </c>
      <c r="G69" s="2" t="n">
        <v>1</v>
      </c>
      <c r="H69" s="2" t="n">
        <v>80000</v>
      </c>
      <c r="I69" s="2" t="n">
        <v>36000</v>
      </c>
      <c r="J69" s="2" t="n">
        <v>116000</v>
      </c>
      <c r="K69" s="2" t="n">
        <v>120000</v>
      </c>
      <c r="L69" s="2" t="n">
        <v>24000</v>
      </c>
      <c r="M69" s="2" t="n">
        <v>144000</v>
      </c>
      <c r="N69" s="2" t="n">
        <v>42000</v>
      </c>
      <c r="O69" s="2" t="n">
        <v>43200</v>
      </c>
      <c r="P69" s="2" t="n">
        <v>5400</v>
      </c>
      <c r="Q69" s="2" t="n">
        <v>13920</v>
      </c>
      <c r="R69" s="2" t="n">
        <v>7200</v>
      </c>
      <c r="S69" s="2" t="n">
        <v>111720</v>
      </c>
      <c r="T69" s="2" t="n">
        <v>32280</v>
      </c>
      <c r="U69" s="2" t="n">
        <v>-431880</v>
      </c>
      <c r="V69" s="2" t="n">
        <v>-17520</v>
      </c>
      <c r="W69" s="2" t="n">
        <v>240</v>
      </c>
      <c r="X69" s="2" t="n">
        <v>30</v>
      </c>
      <c r="Y69" s="2" t="n">
        <v>35999.99999999999</v>
      </c>
      <c r="Z69" s="2" t="n">
        <v>40</v>
      </c>
    </row>
    <row r="70">
      <c r="A70" s="2" t="inlineStr">
        <is>
          <t>Expansao</t>
        </is>
      </c>
      <c r="B70" s="2" t="n">
        <v>15</v>
      </c>
      <c r="C70" s="2" t="n">
        <v>0</v>
      </c>
      <c r="D70" s="2" t="n">
        <v>0</v>
      </c>
      <c r="E70" s="2" t="n">
        <v>0</v>
      </c>
      <c r="F70" s="2" t="n">
        <v>3</v>
      </c>
      <c r="G70" s="2" t="n">
        <v>1</v>
      </c>
      <c r="H70" s="2" t="n">
        <v>80000</v>
      </c>
      <c r="I70" s="2" t="n">
        <v>36000</v>
      </c>
      <c r="J70" s="2" t="n">
        <v>116000</v>
      </c>
      <c r="K70" s="2" t="n">
        <v>0</v>
      </c>
      <c r="L70" s="2" t="n">
        <v>36000</v>
      </c>
      <c r="M70" s="2" t="n">
        <v>36000</v>
      </c>
      <c r="N70" s="2" t="n">
        <v>42000</v>
      </c>
      <c r="O70" s="2" t="n">
        <v>43200</v>
      </c>
      <c r="P70" s="2" t="n">
        <v>5400</v>
      </c>
      <c r="Q70" s="2" t="n">
        <v>13920</v>
      </c>
      <c r="R70" s="2" t="n">
        <v>1800</v>
      </c>
      <c r="S70" s="2" t="n">
        <v>106320</v>
      </c>
      <c r="T70" s="2" t="n">
        <v>-70320</v>
      </c>
      <c r="U70" s="2" t="n">
        <v>-502200</v>
      </c>
      <c r="V70" s="2" t="n">
        <v>-17520</v>
      </c>
      <c r="W70" s="2" t="n">
        <v>240</v>
      </c>
      <c r="X70" s="2" t="n">
        <v>30</v>
      </c>
      <c r="Y70" s="2" t="n">
        <v>116000</v>
      </c>
      <c r="Z70" s="2" t="n">
        <v>40</v>
      </c>
    </row>
    <row r="71">
      <c r="A71" s="2" t="inlineStr">
        <is>
          <t>Expansao</t>
        </is>
      </c>
      <c r="B71" s="2" t="n">
        <v>16</v>
      </c>
      <c r="C71" s="2" t="n">
        <v>0</v>
      </c>
      <c r="D71" s="2" t="n">
        <v>0</v>
      </c>
      <c r="E71" s="2" t="n">
        <v>0</v>
      </c>
      <c r="F71" s="2" t="n">
        <v>3</v>
      </c>
      <c r="G71" s="2" t="n">
        <v>1</v>
      </c>
      <c r="H71" s="2" t="n">
        <v>40000</v>
      </c>
      <c r="I71" s="2" t="n">
        <v>36000</v>
      </c>
      <c r="J71" s="2" t="n">
        <v>76000</v>
      </c>
      <c r="K71" s="2" t="n">
        <v>80000</v>
      </c>
      <c r="L71" s="2" t="n">
        <v>36000</v>
      </c>
      <c r="M71" s="2" t="n">
        <v>116000</v>
      </c>
      <c r="N71" s="2" t="n">
        <v>42000</v>
      </c>
      <c r="O71" s="2" t="n">
        <v>43200</v>
      </c>
      <c r="P71" s="2" t="n">
        <v>5400</v>
      </c>
      <c r="Q71" s="2" t="n">
        <v>9120</v>
      </c>
      <c r="R71" s="2" t="n">
        <v>5800</v>
      </c>
      <c r="S71" s="2" t="n">
        <v>105520</v>
      </c>
      <c r="T71" s="2" t="n">
        <v>10480</v>
      </c>
      <c r="U71" s="2" t="n">
        <v>-491720</v>
      </c>
      <c r="V71" s="2" t="n">
        <v>-17520</v>
      </c>
      <c r="W71" s="2" t="n">
        <v>240</v>
      </c>
      <c r="X71" s="2" t="n">
        <v>30</v>
      </c>
      <c r="Y71" s="2" t="n">
        <v>75999.99999999999</v>
      </c>
      <c r="Z71" s="2" t="n">
        <v>40</v>
      </c>
    </row>
    <row r="72">
      <c r="A72" s="2" t="inlineStr">
        <is>
          <t>Expansao</t>
        </is>
      </c>
      <c r="B72" s="2" t="n">
        <v>17</v>
      </c>
      <c r="C72" s="2" t="n">
        <v>1</v>
      </c>
      <c r="D72" s="2" t="n">
        <v>1</v>
      </c>
      <c r="E72" s="2" t="n">
        <v>0</v>
      </c>
      <c r="F72" s="2" t="n">
        <v>4</v>
      </c>
      <c r="G72" s="2" t="n">
        <v>1</v>
      </c>
      <c r="H72" s="2" t="n">
        <v>80000</v>
      </c>
      <c r="I72" s="2" t="n">
        <v>48000</v>
      </c>
      <c r="J72" s="2" t="n">
        <v>128000</v>
      </c>
      <c r="K72" s="2" t="n">
        <v>120000</v>
      </c>
      <c r="L72" s="2" t="n">
        <v>36000</v>
      </c>
      <c r="M72" s="2" t="n">
        <v>156000</v>
      </c>
      <c r="N72" s="2" t="n">
        <v>42000</v>
      </c>
      <c r="O72" s="2" t="n">
        <v>43200</v>
      </c>
      <c r="P72" s="2" t="n">
        <v>7200</v>
      </c>
      <c r="Q72" s="2" t="n">
        <v>15360</v>
      </c>
      <c r="R72" s="2" t="n">
        <v>7800</v>
      </c>
      <c r="S72" s="2" t="n">
        <v>115560</v>
      </c>
      <c r="T72" s="2" t="n">
        <v>40440</v>
      </c>
      <c r="U72" s="2" t="n">
        <v>-451280</v>
      </c>
      <c r="V72" s="2" t="n">
        <v>-9360</v>
      </c>
      <c r="W72" s="2" t="n">
        <v>240</v>
      </c>
      <c r="X72" s="2" t="n">
        <v>40</v>
      </c>
      <c r="Y72" s="2" t="n">
        <v>47999.99999999999</v>
      </c>
      <c r="Z72" s="2" t="n">
        <v>50</v>
      </c>
    </row>
    <row r="73">
      <c r="A73" s="2" t="inlineStr">
        <is>
          <t>Expansao</t>
        </is>
      </c>
      <c r="B73" s="2" t="n">
        <v>18</v>
      </c>
      <c r="C73" s="2" t="n">
        <v>0</v>
      </c>
      <c r="D73" s="2" t="n">
        <v>0</v>
      </c>
      <c r="E73" s="2" t="n">
        <v>0</v>
      </c>
      <c r="F73" s="2" t="n">
        <v>4</v>
      </c>
      <c r="G73" s="2" t="n">
        <v>1</v>
      </c>
      <c r="H73" s="2" t="n">
        <v>80000</v>
      </c>
      <c r="I73" s="2" t="n">
        <v>48000</v>
      </c>
      <c r="J73" s="2" t="n">
        <v>128000</v>
      </c>
      <c r="K73" s="2" t="n">
        <v>0</v>
      </c>
      <c r="L73" s="2" t="n">
        <v>48000</v>
      </c>
      <c r="M73" s="2" t="n">
        <v>48000</v>
      </c>
      <c r="N73" s="2" t="n">
        <v>42000</v>
      </c>
      <c r="O73" s="2" t="n">
        <v>43200</v>
      </c>
      <c r="P73" s="2" t="n">
        <v>7200</v>
      </c>
      <c r="Q73" s="2" t="n">
        <v>15360</v>
      </c>
      <c r="R73" s="2" t="n">
        <v>2400</v>
      </c>
      <c r="S73" s="2" t="n">
        <v>110160</v>
      </c>
      <c r="T73" s="2" t="n">
        <v>-62160</v>
      </c>
      <c r="U73" s="2" t="n">
        <v>-513440</v>
      </c>
      <c r="V73" s="2" t="n">
        <v>-9360</v>
      </c>
      <c r="W73" s="2" t="n">
        <v>240</v>
      </c>
      <c r="X73" s="2" t="n">
        <v>40</v>
      </c>
      <c r="Y73" s="2" t="n">
        <v>128000</v>
      </c>
      <c r="Z73" s="2" t="n">
        <v>50</v>
      </c>
    </row>
    <row r="74">
      <c r="A74" s="2" t="inlineStr">
        <is>
          <t>Expansao</t>
        </is>
      </c>
      <c r="B74" s="2" t="n">
        <v>19</v>
      </c>
      <c r="C74" s="2" t="n">
        <v>0</v>
      </c>
      <c r="D74" s="2" t="n">
        <v>0</v>
      </c>
      <c r="E74" s="2" t="n">
        <v>0</v>
      </c>
      <c r="F74" s="2" t="n">
        <v>4</v>
      </c>
      <c r="G74" s="2" t="n">
        <v>1</v>
      </c>
      <c r="H74" s="2" t="n">
        <v>40000</v>
      </c>
      <c r="I74" s="2" t="n">
        <v>48000</v>
      </c>
      <c r="J74" s="2" t="n">
        <v>88000</v>
      </c>
      <c r="K74" s="2" t="n">
        <v>80000</v>
      </c>
      <c r="L74" s="2" t="n">
        <v>48000</v>
      </c>
      <c r="M74" s="2" t="n">
        <v>128000</v>
      </c>
      <c r="N74" s="2" t="n">
        <v>42000</v>
      </c>
      <c r="O74" s="2" t="n">
        <v>43200</v>
      </c>
      <c r="P74" s="2" t="n">
        <v>7200</v>
      </c>
      <c r="Q74" s="2" t="n">
        <v>10560</v>
      </c>
      <c r="R74" s="2" t="n">
        <v>6400</v>
      </c>
      <c r="S74" s="2" t="n">
        <v>109360</v>
      </c>
      <c r="T74" s="2" t="n">
        <v>18640</v>
      </c>
      <c r="U74" s="2" t="n">
        <v>-494800</v>
      </c>
      <c r="V74" s="2" t="n">
        <v>-9360</v>
      </c>
      <c r="W74" s="2" t="n">
        <v>240</v>
      </c>
      <c r="X74" s="2" t="n">
        <v>40</v>
      </c>
      <c r="Y74" s="2" t="n">
        <v>87999.99999999999</v>
      </c>
      <c r="Z74" s="2" t="n">
        <v>50</v>
      </c>
    </row>
    <row r="75">
      <c r="A75" s="2" t="inlineStr">
        <is>
          <t>Expansao</t>
        </is>
      </c>
      <c r="B75" s="2" t="n">
        <v>20</v>
      </c>
      <c r="C75" s="2" t="n">
        <v>1</v>
      </c>
      <c r="D75" s="2" t="n">
        <v>1</v>
      </c>
      <c r="E75" s="2" t="n">
        <v>1</v>
      </c>
      <c r="F75" s="2" t="n">
        <v>4</v>
      </c>
      <c r="G75" s="2" t="n">
        <v>1</v>
      </c>
      <c r="H75" s="2" t="n">
        <v>80000</v>
      </c>
      <c r="I75" s="2" t="n">
        <v>48000</v>
      </c>
      <c r="J75" s="2" t="n">
        <v>128000</v>
      </c>
      <c r="K75" s="2" t="n">
        <v>120000</v>
      </c>
      <c r="L75" s="2" t="n">
        <v>48000</v>
      </c>
      <c r="M75" s="2" t="n">
        <v>168000</v>
      </c>
      <c r="N75" s="2" t="n">
        <v>42000</v>
      </c>
      <c r="O75" s="2" t="n">
        <v>43200</v>
      </c>
      <c r="P75" s="2" t="n">
        <v>7200</v>
      </c>
      <c r="Q75" s="2" t="n">
        <v>15360</v>
      </c>
      <c r="R75" s="2" t="n">
        <v>8400</v>
      </c>
      <c r="S75" s="2" t="n">
        <v>116160</v>
      </c>
      <c r="T75" s="2" t="n">
        <v>51840</v>
      </c>
      <c r="U75" s="2" t="n">
        <v>-442960</v>
      </c>
      <c r="V75" s="2" t="n">
        <v>-9360</v>
      </c>
      <c r="W75" s="2" t="n">
        <v>240</v>
      </c>
      <c r="X75" s="2" t="n">
        <v>40</v>
      </c>
      <c r="Y75" s="2" t="n">
        <v>47999.99999999999</v>
      </c>
      <c r="Z75" s="2" t="n">
        <v>50</v>
      </c>
    </row>
    <row r="76">
      <c r="A76" s="2" t="inlineStr">
        <is>
          <t>Expansao</t>
        </is>
      </c>
      <c r="B76" s="2" t="n">
        <v>21</v>
      </c>
      <c r="C76" s="2" t="n">
        <v>0</v>
      </c>
      <c r="D76" s="2" t="n">
        <v>0</v>
      </c>
      <c r="E76" s="2" t="n">
        <v>0</v>
      </c>
      <c r="F76" s="2" t="n">
        <v>4</v>
      </c>
      <c r="G76" s="2" t="n">
        <v>1</v>
      </c>
      <c r="H76" s="2" t="n">
        <v>80000</v>
      </c>
      <c r="I76" s="2" t="n">
        <v>48000</v>
      </c>
      <c r="J76" s="2" t="n">
        <v>128000</v>
      </c>
      <c r="K76" s="2" t="n">
        <v>0</v>
      </c>
      <c r="L76" s="2" t="n">
        <v>48000</v>
      </c>
      <c r="M76" s="2" t="n">
        <v>48000</v>
      </c>
      <c r="N76" s="2" t="n">
        <v>42000</v>
      </c>
      <c r="O76" s="2" t="n">
        <v>43200</v>
      </c>
      <c r="P76" s="2" t="n">
        <v>7200</v>
      </c>
      <c r="Q76" s="2" t="n">
        <v>15360</v>
      </c>
      <c r="R76" s="2" t="n">
        <v>2400</v>
      </c>
      <c r="S76" s="2" t="n">
        <v>110160</v>
      </c>
      <c r="T76" s="2" t="n">
        <v>-62160</v>
      </c>
      <c r="U76" s="2" t="n">
        <v>-505120</v>
      </c>
      <c r="V76" s="2" t="n">
        <v>-9360</v>
      </c>
      <c r="W76" s="2" t="n">
        <v>240</v>
      </c>
      <c r="X76" s="2" t="n">
        <v>40</v>
      </c>
      <c r="Y76" s="2" t="n">
        <v>128000</v>
      </c>
      <c r="Z76" s="2" t="n">
        <v>50</v>
      </c>
    </row>
    <row r="77">
      <c r="A77" s="2" t="inlineStr">
        <is>
          <t>Expansao</t>
        </is>
      </c>
      <c r="B77" s="2" t="n">
        <v>22</v>
      </c>
      <c r="C77" s="2" t="n">
        <v>0</v>
      </c>
      <c r="D77" s="2" t="n">
        <v>0</v>
      </c>
      <c r="E77" s="2" t="n">
        <v>0</v>
      </c>
      <c r="F77" s="2" t="n">
        <v>4</v>
      </c>
      <c r="G77" s="2" t="n">
        <v>1</v>
      </c>
      <c r="H77" s="2" t="n">
        <v>40000</v>
      </c>
      <c r="I77" s="2" t="n">
        <v>48000</v>
      </c>
      <c r="J77" s="2" t="n">
        <v>88000</v>
      </c>
      <c r="K77" s="2" t="n">
        <v>80000</v>
      </c>
      <c r="L77" s="2" t="n">
        <v>48000</v>
      </c>
      <c r="M77" s="2" t="n">
        <v>128000</v>
      </c>
      <c r="N77" s="2" t="n">
        <v>42000</v>
      </c>
      <c r="O77" s="2" t="n">
        <v>43200</v>
      </c>
      <c r="P77" s="2" t="n">
        <v>7200</v>
      </c>
      <c r="Q77" s="2" t="n">
        <v>10560</v>
      </c>
      <c r="R77" s="2" t="n">
        <v>6400</v>
      </c>
      <c r="S77" s="2" t="n">
        <v>109360</v>
      </c>
      <c r="T77" s="2" t="n">
        <v>18640</v>
      </c>
      <c r="U77" s="2" t="n">
        <v>-486480</v>
      </c>
      <c r="V77" s="2" t="n">
        <v>-9360</v>
      </c>
      <c r="W77" s="2" t="n">
        <v>240</v>
      </c>
      <c r="X77" s="2" t="n">
        <v>40</v>
      </c>
      <c r="Y77" s="2" t="n">
        <v>87999.99999999999</v>
      </c>
      <c r="Z77" s="2" t="n">
        <v>50</v>
      </c>
    </row>
    <row r="78">
      <c r="A78" s="2" t="inlineStr">
        <is>
          <t>Expansao</t>
        </is>
      </c>
      <c r="B78" s="2" t="n">
        <v>23</v>
      </c>
      <c r="C78" s="2" t="n">
        <v>1</v>
      </c>
      <c r="D78" s="2" t="n">
        <v>1</v>
      </c>
      <c r="E78" s="2" t="n">
        <v>0</v>
      </c>
      <c r="F78" s="2" t="n">
        <v>5</v>
      </c>
      <c r="G78" s="2" t="n">
        <v>1</v>
      </c>
      <c r="H78" s="2" t="n">
        <v>80000</v>
      </c>
      <c r="I78" s="2" t="n">
        <v>60000</v>
      </c>
      <c r="J78" s="2" t="n">
        <v>140000</v>
      </c>
      <c r="K78" s="2" t="n">
        <v>120000</v>
      </c>
      <c r="L78" s="2" t="n">
        <v>48000</v>
      </c>
      <c r="M78" s="2" t="n">
        <v>168000</v>
      </c>
      <c r="N78" s="2" t="n">
        <v>42000</v>
      </c>
      <c r="O78" s="2" t="n">
        <v>43200</v>
      </c>
      <c r="P78" s="2" t="n">
        <v>9000</v>
      </c>
      <c r="Q78" s="2" t="n">
        <v>16800</v>
      </c>
      <c r="R78" s="2" t="n">
        <v>8400</v>
      </c>
      <c r="S78" s="2" t="n">
        <v>119400</v>
      </c>
      <c r="T78" s="2" t="n">
        <v>48600</v>
      </c>
      <c r="U78" s="2" t="n">
        <v>-437880</v>
      </c>
      <c r="V78" s="2" t="n">
        <v>-1200</v>
      </c>
      <c r="W78" s="2" t="n">
        <v>240</v>
      </c>
      <c r="X78" s="2" t="n">
        <v>50</v>
      </c>
      <c r="Y78" s="2" t="n">
        <v>59999.99999999999</v>
      </c>
      <c r="Z78" s="2" t="n">
        <v>60</v>
      </c>
    </row>
    <row r="79">
      <c r="A79" s="2" t="inlineStr">
        <is>
          <t>Expansao</t>
        </is>
      </c>
      <c r="B79" s="2" t="n">
        <v>24</v>
      </c>
      <c r="C79" s="2" t="n">
        <v>0</v>
      </c>
      <c r="D79" s="2" t="n">
        <v>0</v>
      </c>
      <c r="E79" s="2" t="n">
        <v>0</v>
      </c>
      <c r="F79" s="2" t="n">
        <v>5</v>
      </c>
      <c r="G79" s="2" t="n">
        <v>1</v>
      </c>
      <c r="H79" s="2" t="n">
        <v>80000</v>
      </c>
      <c r="I79" s="2" t="n">
        <v>60000</v>
      </c>
      <c r="J79" s="2" t="n">
        <v>140000</v>
      </c>
      <c r="K79" s="2" t="n">
        <v>0</v>
      </c>
      <c r="L79" s="2" t="n">
        <v>60000</v>
      </c>
      <c r="M79" s="2" t="n">
        <v>60000</v>
      </c>
      <c r="N79" s="2" t="n">
        <v>42000</v>
      </c>
      <c r="O79" s="2" t="n">
        <v>43200</v>
      </c>
      <c r="P79" s="2" t="n">
        <v>9000</v>
      </c>
      <c r="Q79" s="2" t="n">
        <v>16800</v>
      </c>
      <c r="R79" s="2" t="n">
        <v>3000</v>
      </c>
      <c r="S79" s="2" t="n">
        <v>114000</v>
      </c>
      <c r="T79" s="2" t="n">
        <v>-54000</v>
      </c>
      <c r="U79" s="2" t="n">
        <v>-491880</v>
      </c>
      <c r="V79" s="2" t="n">
        <v>-1200</v>
      </c>
      <c r="W79" s="2" t="n">
        <v>240</v>
      </c>
      <c r="X79" s="2" t="n">
        <v>50</v>
      </c>
      <c r="Y79" s="2" t="n">
        <v>140000</v>
      </c>
      <c r="Z79" s="2" t="n">
        <v>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Participante</t>
        </is>
      </c>
      <c r="B1" s="1" t="inlineStr">
        <is>
          <t>Participação</t>
        </is>
      </c>
      <c r="C1" s="1" t="inlineStr">
        <is>
          <t>Condições</t>
        </is>
      </c>
    </row>
    <row r="2" ht="42" customHeight="1">
      <c r="A2" s="2" t="inlineStr">
        <is>
          <t>AUMI</t>
        </is>
      </c>
      <c r="B2" s="4" t="n">
        <v>0.5</v>
      </c>
      <c r="C2" s="2" t="inlineStr">
        <is>
          <t>Marcos, Luciana, João conjuntamente; divisão interna não informada</t>
        </is>
      </c>
    </row>
    <row r="3" ht="42" customHeight="1">
      <c r="A3" s="2" t="inlineStr">
        <is>
          <t>Dani</t>
        </is>
      </c>
      <c r="B3" s="4" t="n">
        <v>0.5</v>
      </c>
      <c r="C3" s="2" t="inlineStr">
        <is>
          <t>Investidora; aporte e condições ainda não definidos</t>
        </is>
      </c>
    </row>
    <row r="4" ht="42" customHeight="1">
      <c r="A4" s="2" t="inlineStr">
        <is>
          <t>Governança</t>
        </is>
      </c>
      <c r="B4" s="2" t="n"/>
      <c r="C4" s="2" t="inlineStr">
        <is>
          <t>Formalizar administração, impasses50/50, propriedade intelectual, responsabilidades, saída e diluição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0" customWidth="1" min="2" max="2"/>
    <col width="72" customWidth="1" min="3" max="3"/>
  </cols>
  <sheetData>
    <row r="1" ht="46" customHeight="1">
      <c r="A1" s="1" t="inlineStr">
        <is>
          <t>Fonte</t>
        </is>
      </c>
      <c r="B1" s="1" t="inlineStr">
        <is>
          <t>Referência</t>
        </is>
      </c>
      <c r="C1" s="1" t="inlineStr">
        <is>
          <t>Limite</t>
        </is>
      </c>
    </row>
    <row r="2" ht="42" customHeight="1">
      <c r="A2" s="2" t="inlineStr">
        <is>
          <t>NVIDIA hardware</t>
        </is>
      </c>
      <c r="B2" s="2" t="inlineStr">
        <is>
          <t>https://docs.nvidia.com/dgx/dgx-spark/hardware.html</t>
        </is>
      </c>
      <c r="C2" s="2" t="inlineStr">
        <is>
          <t>Não é benchmark Topologic</t>
        </is>
      </c>
    </row>
    <row r="3" ht="42" customHeight="1">
      <c r="A3" s="2" t="inlineStr">
        <is>
          <t>NVIDIA inferência</t>
        </is>
      </c>
      <c r="B3" s="2" t="inlineStr">
        <is>
          <t>https://build.nvidia.com/spark/vllm</t>
        </is>
      </c>
      <c r="C3" s="2" t="inlineStr">
        <is>
          <t>Receita para uma DGX; não prova usuários</t>
        </is>
      </c>
    </row>
    <row r="4" ht="42" customHeight="1">
      <c r="A4" s="2" t="inlineStr">
        <is>
          <t>Preço DGX</t>
        </is>
      </c>
      <c r="B4" s="2" t="inlineStr">
        <is>
          <t>Reserva de R$65mil</t>
        </is>
      </c>
      <c r="C4" s="2" t="inlineStr">
        <is>
          <t>Cotação não confirmada</t>
        </is>
      </c>
    </row>
    <row r="5" ht="42" customHeight="1">
      <c r="A5" s="2" t="inlineStr">
        <is>
          <t>Vendas e custos</t>
        </is>
      </c>
      <c r="B5" s="2" t="inlineStr">
        <is>
          <t>Hipóteses comerciais e envelopes internos</t>
        </is>
      </c>
      <c r="C5" s="2" t="inlineStr">
        <is>
          <t>Não são benchmarks de mercado nem pipeline existente</t>
        </is>
      </c>
    </row>
  </sheetData>
  <pageMargins left="0.75" right="0.75" top="1" bottom="1" header="0.5" footer="0.5"/>
</worksheet>
</file>

<file path=xl/worksheets/sheet13.xml><?xml version="1.0" encoding="utf-8"?>
<ns0:worksheet xmlns:ns0="http://schemas.openxmlformats.org/spreadsheetml/2006/main">
  <ns0:sheetPr>
    <ns0:pageSetUpPr fitToPage="1"/>
  </ns0:sheetPr>
  <ns0:dimension ref="A1:E23"/>
  <ns0:sheetViews>
    <ns0:sheetView tabSelected="1" workbookViewId="0">
      <ns0:pane xSplit="1" ySplit="1" topLeftCell="B2" activePane="bottomRight" state="frozen"/>
      <ns0:selection pane="topRight" activeCell="B1" sqref="B1"/>
      <ns0:selection pane="bottomLeft" activeCell="A2" sqref="A2"/>
      <ns0:selection pane="bottomRight"/>
    </ns0:sheetView>
  </ns0:sheetViews>
  <ns0:sheetFormatPr defaultRowHeight="15"/>
  <ns0:cols>
    <ns0:col min="1" max="1" width="43.7109375" customWidth="1"/>
    <ns0:col min="2" max="4" width="22.7109375" customWidth="1"/>
    <ns0:col min="5" max="5" width="95.7109375" customWidth="1"/>
  </ns0:cols>
  <ns0:sheetData>
    <ns0:row r="1" ht="42" customHeight="1">
      <ns0:c r="A1" s="6" t="inlineStr">
        <ns0:is>
          <ns0:t>Item / alcance</ns0:t>
        </ns0:is>
      </ns0:c>
      <ns0:c r="B1" s="6" t="inlineStr">
        <ns0:is>
          <ns0:t>Capital R$100 mil</ns0:t>
        </ns0:is>
      </ns0:c>
      <ns0:c r="C1" s="6" t="inlineStr">
        <ns0:is>
          <ns0:t>Capital R$150 mil</ns0:t>
        </ns0:is>
      </ns0:c>
      <ns0:c r="D1" s="6" t="inlineStr">
        <ns0:is>
          <ns0:t>Capital R$200 mil</ns0:t>
        </ns0:is>
      </ns0:c>
      <ns0:c r="E1" s="6" t="inlineStr">
        <ns0:is>
          <ns0:t>Fonte / leitura</ns0:t>
        </ns0:is>
      </ns0:c>
    </ns0:row>
    <ns0:row r="2" ht="46" customHeight="1">
      <ns0:c r="A2" s="7" t="inlineStr">
        <ns0:is>
          <ns0:t>Capital total inicial</ns0:t>
        </ns0:is>
      </ns0:c>
      <ns0:c r="B2" s="8">
        <ns0:v>100000</ns0:v>
      </ns0:c>
      <ns0:c r="C2" s="8">
        <ns0:v>150000</ns0:v>
      </ns0:c>
      <ns0:c r="D2" s="8">
        <ns0:v>200000</ns0:v>
      </ns0:c>
      <ns0:c r="E2" s="7" t="inlineStr">
        <ns0:is>
          <ns0:t>Hipóteses de capital; não preço ao cliente nem autorização de compra</ns0:t>
        </ns0:is>
      </ns0:c>
    </ns0:row>
    <ns0:row r="3" ht="46" customHeight="1">
      <ns0:c r="A3" s="7" t="inlineStr">
        <ns0:is>
          <ns0:t>Equipamentos</ns0:t>
        </ns0:is>
      </ns0:c>
      <ns0:c r="B3" s="8">
        <ns0:f>Premissas!$B$21</ns0:f>
        <ns0:v>76000</ns0:v>
      </ns0:c>
      <ns0:c r="C3" s="8">
        <ns0:f>Premissas!$B$21</ns0:f>
        <ns0:v>76000</ns0:v>
      </ns0:c>
      <ns0:c r="D3" s="8">
        <ns0:f>Premissas!$B$21</ns0:f>
        <ns0:v>76000</ns0:v>
      </ns0:c>
      <ns0:c r="E3" s="7" t="inlineStr">
        <ns0:is>
          <ns0:t>Hardware R$76 mil; uma DGX em todas as perspectivas</ns0:t>
        </ns0:is>
      </ns0:c>
    </ns0:row>
    <ns0:row r="4" ht="46" customHeight="1">
      <ns0:c r="A4" s="7" t="inlineStr">
        <ns0:is>
          <ns0:t>Pré-operacional</ns0:t>
        </ns0:is>
      </ns0:c>
      <ns0:c r="B4" s="8">
        <ns0:f>Premissas!$B$22</ns0:f>
        <ns0:v>24000</ns0:v>
      </ns0:c>
      <ns0:c r="C4" s="8">
        <ns0:f>Premissas!$B$22</ns0:f>
        <ns0:v>24000</ns0:v>
      </ns0:c>
      <ns0:c r="D4" s="8">
        <ns0:f>Premissas!$B$22</ns0:f>
        <ns0:v>24000</ns0:v>
      </ns0:c>
      <ns0:c r="E4" s="7" t="inlineStr">
        <ns0:is>
          <ns0:t>Jurídico R$12 mil + segurança R$12 mil; hipóteses</ns0:t>
        </ns0:is>
      </ns0:c>
    </ns0:row>
    <ns0:row r="5" ht="46" customHeight="1">
      <ns0:c r="A5" s="7" t="inlineStr">
        <ns0:is>
          <ns0:t>M0: desembolso inicial</ns0:t>
        </ns0:is>
      </ns0:c>
      <ns0:c r="B5" s="8">
        <ns0:f>SUM(B3:B4)</ns0:f>
        <ns0:v>100000</ns0:v>
      </ns0:c>
      <ns0:c r="C5" s="8">
        <ns0:f>SUM(C3:C4)</ns0:f>
        <ns0:v>100000</ns0:v>
      </ns0:c>
      <ns0:c r="D5" s="8">
        <ns0:f>SUM(D3:D4)</ns0:f>
        <ns0:v>100000</ns0:v>
      </ns0:c>
      <ns0:c r="E5" s="7" t="inlineStr">
        <ns0:is>
          <ns0:t>Equipamentos + preparação, sem operação mensal</ns0:t>
        </ns0:is>
      </ns0:c>
    </ns0:row>
    <ns0:row r="6" ht="46" customHeight="1">
      <ns0:c r="A6" s="7" t="inlineStr">
        <ns0:is>
          <ns0:t>Fixo mensal inicial</ns0:t>
        </ns0:is>
      </ns0:c>
      <ns0:c r="B6" s="8">
        <ns0:f>Premissas!$B$10</ns0:f>
        <ns0:v>37000</ns0:v>
      </ns0:c>
      <ns0:c r="C6" s="8">
        <ns0:f>Premissas!$B$10</ns0:f>
        <ns0:v>37000</ns0:v>
      </ns0:c>
      <ns0:c r="D6" s="8">
        <ns0:f>Premissas!$B$10</ns0:f>
        <ns0:v>37000</ns0:v>
      </ns0:c>
      <ns0:c r="E6" s="7" t="inlineStr">
        <ns0:is>
          <ns0:t>Meses 1–12; R$37 mil; pessoas de P&amp;D não são implantação</ns0:t>
        </ns0:is>
      </ns0:c>
    </ns0:row>
    <ns0:row r="7" ht="46" customHeight="1">
      <ns0:c r="A7" s="7" t="inlineStr">
        <ns0:is>
          <ns0:t>Caixa após M0</ns0:t>
        </ns0:is>
      </ns0:c>
      <ns0:c r="B7" s="8">
        <ns0:f>B2-B5</ns0:f>
        <ns0:v>0</ns0:v>
      </ns0:c>
      <ns0:c r="C7" s="8">
        <ns0:f>C2-C5</ns0:f>
        <ns0:v>50000</ns0:v>
      </ns0:c>
      <ns0:c r="D7" s="8">
        <ns0:f>D2-D5</ns0:f>
        <ns0:v>100000</ns0:v>
      </ns0:c>
      <ns0:c r="E7" s="7" t="inlineStr">
        <ns0:is>
          <ns0:t>Capital − M0; sem receita nem reserva</ns0:t>
        </ns0:is>
      </ns0:c>
    </ns0:row>
    <ns0:row r="8" ht="46" customHeight="1">
      <ns0:c r="A8" s="7" t="inlineStr">
        <ns0:is>
          <ns0:t>Meses aritméticos financiados</ns0:t>
        </ns0:is>
      </ns0:c>
      <ns0:c r="B8" s="9">
        <ns0:f>MAX(0,B7/B6)</ns0:f>
        <ns0:v>0</ns0:v>
      </ns0:c>
      <ns0:c r="C8" s="9">
        <ns0:f>MAX(0,C7/C6)</ns0:f>
        <ns0:v>1.3513513513513513</ns0:v>
      </ns0:c>
      <ns0:c r="D8" s="9">
        <ns0:f>MAX(0,D7/D6)</ns0:f>
        <ns0:v>2.7027027027027026</ns0:v>
      </ns0:c>
      <ns0:c r="E8" s="7" t="inlineStr">
        <ns0:is>
          <ns0:t>Não representa parcelamento de despesas ou garantia de desenvolvimento</ns0:t>
        </ns0:is>
      </ns0:c>
    </ns0:row>
    <ns0:row r="9" ht="46" customHeight="1">
      <ns0:c r="A9" s="7" t="inlineStr">
        <ns0:is>
          <ns0:t>Meses completos financiados</ns0:t>
        </ns0:is>
      </ns0:c>
      <ns0:c r="B9" s="10">
        <ns0:f>INT(B8)</ns0:f>
        <ns0:v>0</ns0:v>
      </ns0:c>
      <ns0:c r="C9" s="10">
        <ns0:f>INT(C8)</ns0:f>
        <ns0:v>1</ns0:v>
      </ns0:c>
      <ns0:c r="D9" s="10">
        <ns0:f>INT(D8)</ns0:f>
        <ns0:v>2</ns0:v>
      </ns0:c>
      <ns0:c r="E9" s="7" t="inlineStr">
        <ns0:is>
          <ns0:t>Parte inteira do prazo; sem reduzir fixos</ns0:t>
        </ns0:is>
      </ns0:c>
    </ns0:row>
    <ns0:row r="10" ht="46" customHeight="1">
      <ns0:c r="A10" s="7" t="inlineStr">
        <ns0:is>
          <ns0:t>Saldo após meses completos</ns0:t>
        </ns0:is>
      </ns0:c>
      <ns0:c r="B10" s="8">
        <ns0:f>B7-B9*B6</ns0:f>
        <ns0:v>0</ns0:v>
      </ns0:c>
      <ns0:c r="C10" s="8">
        <ns0:f>C7-C9*C6</ns0:f>
        <ns0:v>13000</ns0:v>
      </ns0:c>
      <ns0:c r="D10" s="8">
        <ns0:f>D7-D9*D6</ns0:f>
        <ns0:v>26000</ns0:v>
      </ns0:c>
      <ns0:c r="E10" s="7" t="inlineStr">
        <ns0:is>
          <ns0:t>Insuficiente para financiar integralmente o mês seguinte</ns0:t>
        </ns0:is>
      </ns0:c>
    </ns0:row>
    <ns0:row r="11" ht="46" customHeight="1">
      <ns0:c r="A11" s="7" t="inlineStr">
        <ns0:is>
          <ns0:t>M0 + três meses</ns0:t>
        </ns0:is>
      </ns0:c>
      <ns0:c r="B11" s="8">
        <ns0:f>B5+3*B6</ns0:f>
        <ns0:v>211000</ns0:v>
      </ns0:c>
      <ns0:c r="C11" s="8">
        <ns0:f>C5+3*C6</ns0:f>
        <ns0:v>211000</ns0:v>
      </ns0:c>
      <ns0:c r="D11" s="8">
        <ns0:f>D5+3*D6</ns0:f>
        <ns0:v>211000</ns0:v>
      </ns0:c>
      <ns0:c r="E11" s="7" t="inlineStr">
        <ns0:is>
          <ns0:t>Sem reserva, receita ou custos de entrega</ns0:t>
        </ns0:is>
      </ns0:c>
    </ns0:row>
    <ns0:row r="12" ht="46" customHeight="1">
      <ns0:c r="A12" s="7" t="inlineStr">
        <ns0:is>
          <ns0:t>Falta para três meses</ns0:t>
        </ns0:is>
      </ns0:c>
      <ns0:c r="B12" s="8">
        <ns0:f>MAX(0,B11-B2)</ns0:f>
        <ns0:v>111000</ns0:v>
      </ns0:c>
      <ns0:c r="C12" s="8">
        <ns0:f>MAX(0,C11-C2)</ns0:f>
        <ns0:v>61000</ns0:v>
      </ns0:c>
      <ns0:c r="D12" s="8">
        <ns0:f>MAX(0,D11-D2)</ns0:f>
        <ns0:v>11000</ns0:v>
      </ns0:c>
      <ns0:c r="E12" s="7" t="inlineStr">
        <ns0:is>
          <ns0:t>Capital adicional necessário até o patamar, não garantia de aceite</ns0:t>
        </ns0:is>
      </ns0:c>
    </ns0:row>
    <ns0:row r="13" ht="46" customHeight="1">
      <ns0:c r="A13" s="7" t="inlineStr">
        <ns0:is>
          <ns0:t>M0 + seis meses</ns0:t>
        </ns0:is>
      </ns0:c>
      <ns0:c r="B13" s="8">
        <ns0:f>B5+6*B6</ns0:f>
        <ns0:v>322000</ns0:v>
      </ns0:c>
      <ns0:c r="C13" s="8">
        <ns0:f>C5+6*C6</ns0:f>
        <ns0:v>322000</ns0:v>
      </ns0:c>
      <ns0:c r="D13" s="8">
        <ns0:f>D5+6*D6</ns0:f>
        <ns0:v>322000</ns0:v>
      </ns0:c>
      <ns0:c r="E13" s="7" t="inlineStr">
        <ns0:is>
          <ns0:t>Sem reserva, receita ou custos de entrega</ns0:t>
        </ns0:is>
      </ns0:c>
    </ns0:row>
    <ns0:row r="14" ht="46" customHeight="1">
      <ns0:c r="A14" s="7" t="inlineStr">
        <ns0:is>
          <ns0:t>Falta para seis meses</ns0:t>
        </ns0:is>
      </ns0:c>
      <ns0:c r="B14" s="8">
        <ns0:f>MAX(0,B13-B2)</ns0:f>
        <ns0:v>222000</ns0:v>
      </ns0:c>
      <ns0:c r="C14" s="8">
        <ns0:f>MAX(0,C13-C2)</ns0:f>
        <ns0:v>172000</ns0:v>
      </ns0:c>
      <ns0:c r="D14" s="8">
        <ns0:f>MAX(0,D13-D2)</ns0:f>
        <ns0:v>122000</ns0:v>
      </ns0:c>
      <ns0:c r="E14" s="7" t="inlineStr">
        <ns0:is>
          <ns0:t>M7 primeira venda-base não comprovada</ns0:t>
        </ns0:is>
      </ns0:c>
    </ns0:row>
    <ns0:row r="15" ht="46" customHeight="1">
      <ns0:c r="A15" s="7" t="inlineStr">
        <ns0:is>
          <ns0:t>Capital-base 24 meses</ns0:t>
        </ns0:is>
      </ns0:c>
      <ns0:c r="B15" s="8">
        <ns0:f>Resumo!$L$3</ns0:f>
        <ns0:v>830000</ns0:v>
      </ns0:c>
      <ns0:c r="C15" s="8">
        <ns0:f>Resumo!$L$3</ns0:f>
        <ns0:v>830000</ns0:v>
      </ns0:c>
      <ns0:c r="D15" s="8">
        <ns0:f>Resumo!$L$3</ns0:f>
        <ns0:v>830000</ns0:v>
      </ns0:c>
      <ns0:c r="E15" s="7" t="inlineStr">
        <ns0:is>
          <ns0:t>Fluxo com vendas hipotéticas, custos diretos, fixos e reserva; inalterado</ns0:t>
        </ns0:is>
      </ns0:c>
    </ns0:row>
    <ns0:row r="16" ht="46" customHeight="1">
      <ns0:c r="A16" s="7" t="inlineStr">
        <ns0:is>
          <ns0:t>Falta para capital-base 24 meses</ns0:t>
        </ns0:is>
      </ns0:c>
      <ns0:c r="B16" s="8">
        <ns0:f>MAX(0,B15-B2)</ns0:f>
        <ns0:v>730000</ns0:v>
      </ns0:c>
      <ns0:c r="C16" s="8">
        <ns0:f>MAX(0,C15-C2)</ns0:f>
        <ns0:v>680000</ns0:v>
      </ns0:c>
      <ns0:c r="D16" s="8">
        <ns0:f>MAX(0,D15-D2)</ns0:f>
        <ns0:v>630000</ns0:v>
      </ns0:c>
      <ns0:c r="E16" s="7" t="inlineStr">
        <ns0:is>
          <ns0:t>Diferença entre R$830 mil de planejamento e capital inicial</ns0:t>
        </ns0:is>
      </ns0:c>
    </ns0:row>
    <ns0:row r="17" ht="46" customHeight="1">
      <ns0:c r="A17" s="7" t="inlineStr">
        <ns0:is>
          <ns0:t>Lançamento integral financiado</ns0:t>
        </ns0:is>
      </ns0:c>
      <ns0:c r="B17" s="7" t="inlineStr">
        <ns0:is>
          <ns0:t>Não</ns0:t>
        </ns0:is>
      </ns0:c>
      <ns0:c r="C17" s="7" t="inlineStr">
        <ns0:is>
          <ns0:t>Não</ns0:t>
        </ns0:is>
      </ns0:c>
      <ns0:c r="D17" s="7" t="inlineStr">
        <ns0:is>
          <ns0:t>Não</ns0:t>
        </ns0:is>
      </ns0:c>
      <ns0:c r="E17" s="7" t="inlineStr">
        <ns0:is>
          <ns0:t>Nenhum capital financia sequer M0 + três meses integralmente</ns0:t>
        </ns0:is>
      </ns0:c>
    </ns0:row>
    <ns0:row r="18" ht="46" customHeight="1">
      <ns0:c r="A18" s="7" t="inlineStr">
        <ns0:is>
          <ns0:t>Infraestrutura do primeiro ano</ns0:t>
        </ns0:is>
      </ns0:c>
      <ns0:c r="B18" s="8">
        <ns0:f>Infraestrutura!$D$11</ns0:f>
        <ns0:v>100000</ns0:v>
      </ns0:c>
      <ns0:c r="C18" s="8">
        <ns0:f>Infraestrutura!$D$11</ns0:f>
        <ns0:v>100000</ns0:v>
      </ns0:c>
      <ns0:c r="D18" s="8">
        <ns0:f>Infraestrutura!$D$11</ns0:f>
        <ns0:v>100000</ns0:v>
      </ns0:c>
      <ns0:c r="E18" s="7" t="inlineStr">
        <ns0:is>
          <ns0:t>Outra composição: hardware76 + serviços18 + reserva6; não somar novamente</ns0:t>
        </ns0:is>
      </ns0:c>
    </ns0:row>
    <ns0:row r="19" ht="46" customHeight="1">
      <ns0:c r="A19" s="7" t="inlineStr">
        <ns0:is>
          <ns0:t>Preço de implantação do cliente</ns0:t>
        </ns0:is>
      </ns0:c>
      <ns0:c r="B19" s="8">
        <ns0:f>Premissas!$B$2</ns0:f>
        <ns0:v>200000</ns0:v>
      </ns0:c>
      <ns0:c r="C19" s="8">
        <ns0:f>Premissas!$B$2</ns0:f>
        <ns0:v>200000</ns0:v>
      </ns0:c>
      <ns0:c r="D19" s="8">
        <ns0:f>Premissas!$B$2</ns0:f>
        <ns0:v>200000</ns0:v>
      </ns0:c>
      <ns0:c r="E19" s="7" t="inlineStr">
        <ns0:is>
          <ns0:t>Oferta principal; não aporte ou lucro</ns0:t>
        </ns0:is>
      </ns0:c>
    </ns0:row>
    <ns0:row r="20" ht="46" customHeight="1">
      <ns0:c r="A20" s="7" t="inlineStr">
        <ns0:is>
          <ns0:t>Mensalidade do cliente</ns0:t>
        </ns0:is>
      </ns0:c>
      <ns0:c r="B20" s="8">
        <ns0:f>Premissas!$B$3</ns0:f>
        <ns0:v>12000</ns0:v>
      </ns0:c>
      <ns0:c r="C20" s="8">
        <ns0:f>Premissas!$B$3</ns0:f>
        <ns0:v>12000</ns0:v>
      </ns0:c>
      <ns0:c r="D20" s="8">
        <ns0:f>Premissas!$B$3</ns0:f>
        <ns0:v>12000</ns0:v>
      </ns0:c>
      <ns0:c r="E20" s="7" t="inlineStr">
        <ns0:is>
          <ns0:t>Após aceite; hipótese comercial, não receita garantida</ns0:t>
        </ns0:is>
      </ns0:c>
    </ns0:row>
    <ns0:row r="23" ht="72" customHeight="1">
      <ns0:c r="A23" s="6" t="inlineStr">
        <ns0:is>
          <ns0:t>Fonte e atualização</ns0:t>
        </ns0:is>
      </ns0:c>
      <ns0:c r="E23" s="7" t="inlineStr">
        <ns0:is>
          <ns0:t>planning.json, Premissas, Infraestrutura e Resumo. Entradas B2:D2 editáveis. Fórmulas com cache inicial; recalcular no Excel/LibreOffice ao editar. Textos/CSV são snapshots.</ns0:t>
        </ns0:is>
      </ns0:c>
    </ns0:row>
  </ns0:sheetData>
  <ns0:pageMargins left="0.7" right="0.7" top="0.75" bottom="0.75" header="0.3" footer="0.3"/>
  <ns0:pageSetup fitToHeight="0" orientation="landscape"/>
</ns0:worksheet>
</file>

<file path=xl/worksheets/sheet14.xml><?xml version="1.0" encoding="utf-8"?>
<ns0:worksheet xmlns:ns0="http://schemas.openxmlformats.org/spreadsheetml/2006/main">
  <ns0:sheetPr>
    <ns0:pageSetUpPr fitToPage="1"/>
  </ns0:sheetPr>
  <ns0:dimension ref="A1:I13"/>
  <ns0:sheetViews>
    <ns0:sheetView workbookViewId="0">
      <ns0:pane xSplit="1" ySplit="1" topLeftCell="B2" activePane="bottomRight" state="frozen"/>
      <ns0:selection pane="topRight" activeCell="B1" sqref="B1"/>
      <ns0:selection pane="bottomLeft" activeCell="A2" sqref="A2"/>
      <ns0:selection pane="bottomRight"/>
    </ns0:sheetView>
  </ns0:sheetViews>
  <ns0:sheetFormatPr defaultRowHeight="15"/>
  <ns0:cols>
    <ns0:col min="1" max="1" width="26.7109375" customWidth="1"/>
    <ns0:col min="2" max="2" width="42.7109375" customWidth="1"/>
    <ns0:col min="3" max="3" width="90.7109375" customWidth="1"/>
    <ns0:col min="4" max="4" width="17.7109375" customWidth="1"/>
    <ns0:col min="5" max="8" width="23.7109375" customWidth="1"/>
    <ns0:col min="9" max="9" width="90.7109375" customWidth="1"/>
  </ns0:cols>
  <ns0:sheetData>
    <ns0:row r="1" ht="42" customHeight="1">
      <ns0:c r="A1" s="6" t="inlineStr">
        <ns0:is>
          <ns0:t>Período</ns0:t>
        </ns0:is>
      </ns0:c>
      <ns0:c r="B1" s="6" t="inlineStr">
        <ns0:is>
          <ns0:t>Objetivo</ns0:t>
        </ns0:is>
      </ns0:c>
      <ns0:c r="C1" s="6" t="inlineStr">
        <ns0:is>
          <ns0:t>Aceite necessário (não garantia)</ns0:t>
        </ns0:is>
      </ns0:c>
      <ns0:c r="D1" s="6" t="inlineStr">
        <ns0:is>
          <ns0:t>Meses acumulados</ns0:t>
        </ns0:is>
      </ns0:c>
      <ns0:c r="E1" s="6" t="inlineStr">
        <ns0:is>
          <ns0:t>M0 + fixos mínimos</ns0:t>
        </ns0:is>
      </ns0:c>
      <ns0:c r="F1" s="6" t="inlineStr">
        <ns0:is>
          <ns0:t>Falta: 100 mil</ns0:t>
        </ns0:is>
      </ns0:c>
      <ns0:c r="G1" s="6" t="inlineStr">
        <ns0:is>
          <ns0:t>Falta: 150 mil</ns0:t>
        </ns0:is>
      </ns0:c>
      <ns0:c r="H1" s="6" t="inlineStr">
        <ns0:is>
          <ns0:t>Falta: 200 mil</ns0:t>
        </ns0:is>
      </ns0:c>
      <ns0:c r="I1" s="6" t="inlineStr">
        <ns0:is>
          <ns0:t>Condição / fonte</ns0:t>
        </ns0:is>
      </ns0:c>
    </ns0:row>
    <ns0:row r="2" ht="120" customHeight="1">
      <ns0:c r="A2" s="7" t="inlineStr">
        <ns0:is>
          <ns0:t>Antes do desembolso</ns0:t>
        </ns0:is>
      </ns0:c>
      <ns0:c r="B2" s="7" t="inlineStr">
        <ns0:is>
          <ns0:t>Confirmar caixa, comprador-alvo e cotação</ns0:t>
        </ns0:is>
      </ns0:c>
      <ns0:c r="C2" s="7" t="inlineStr">
        <ns0:is>
          <ns0:t>Cotação brasileira completa, origem do capital, contrato societário, escopo e condições de parada; sem compra automática.</ns0:t>
        </ns0:is>
      </ns0:c>
      <ns0:c r="D2" s="10">
        <ns0:v>0</ns0:v>
      </ns0:c>
      <ns0:c r="E2" s="8">
        <ns0:f>Perspectivas!$B$5+D2*Premissas!$B$10</ns0:f>
        <ns0:v>100000</ns0:v>
      </ns0:c>
      <ns0:c r="F2" s="8">
        <ns0:f>MAX(0,E2-Perspectivas!$B$2)</ns0:f>
        <ns0:v>0</ns0:v>
      </ns0:c>
      <ns0:c r="G2" s="8">
        <ns0:f>MAX(0,E2-Perspectivas!$C$2)</ns0:f>
        <ns0:v>0</ns0:v>
      </ns0:c>
      <ns0:c r="H2" s="8">
        <ns0:f>MAX(0,E2-Perspectivas!$D$2)</ns0:f>
        <ns0:v>0</ns0:v>
      </ns0:c>
      <ns0:c r="I2" s="7" t="inlineStr">
        <ns0:is>
          <ns0:t>planning.json; mínimo financeiro sem reserva, receita e custos de implantação. Antes do desembolso, resolver financiamento. Nos demais marcos, caixa não comprova aceite; parar se faltar acesso, recursos ou segurança.</ns0:t>
        </ns0:is>
      </ns0:c>
    </ns0:row>
    <ns0:row r="3" ht="120" customHeight="1">
      <ns0:c r="A3" s="7" t="inlineStr">
        <ns0:is>
          <ns0:t>Mês 1</ns0:t>
        </ns0:is>
      </ns0:c>
      <ns0:c r="B3" s="7" t="inlineStr">
        <ns0:is>
          <ns0:t>Transformar a demonstração em núcleo persistente</ns0:t>
        </ns0:is>
      </ns0:c>
      <ns0:c r="C3" s="7" t="inlineStr">
        <ns0:is>
          <ns0:t>Modelo versionado, identidade, fontes autorizadas e restauração demonstrada. Não equivale a produto comercial homologado.</ns0:t>
        </ns0:is>
      </ns0:c>
      <ns0:c r="D3" s="10">
        <ns0:v>1</ns0:v>
      </ns0:c>
      <ns0:c r="E3" s="8">
        <ns0:f>Perspectivas!$B$5+D3*Premissas!$B$10</ns0:f>
        <ns0:v>137000</ns0:v>
      </ns0:c>
      <ns0:c r="F3" s="8">
        <ns0:f>MAX(0,E3-Perspectivas!$B$2)</ns0:f>
        <ns0:v>37000</ns0:v>
      </ns0:c>
      <ns0:c r="G3" s="8">
        <ns0:f>MAX(0,E3-Perspectivas!$C$2)</ns0:f>
        <ns0:v>0</ns0:v>
      </ns0:c>
      <ns0:c r="H3" s="8">
        <ns0:f>MAX(0,E3-Perspectivas!$D$2)</ns0:f>
        <ns0:v>0</ns0:v>
      </ns0:c>
      <ns0:c r="I3" s="7" t="inlineStr">
        <ns0:is>
          <ns0:t>planning.json; mínimo financeiro sem reserva, receita e custos de implantação. Antes do desembolso, resolver financiamento. Nos demais marcos, caixa não comprova aceite; parar se faltar acesso, recursos ou segurança.</ns0:t>
        </ns0:is>
      </ns0:c>
    </ns0:row>
    <ns0:row r="4" ht="120" customHeight="1">
      <ns0:c r="A4" s="7" t="inlineStr">
        <ns0:is>
          <ns0:t>Mês 2</ns0:t>
        </ns0:is>
      </ns0:c>
      <ns0:c r="B4" s="7" t="inlineStr">
        <ns0:is>
          <ns0:t>Conectar contexto e testar fronteiras</ns0:t>
        </ns0:is>
      </ns0:c>
      <ns0:c r="C4" s="7" t="inlineStr">
        <ns0:is>
          <ns0:t>Ingestão de fontes de ensaio, consultas com evidência e testes de permissão. Dois conectores de produção ainda dependem de acesso e homologação.</ns0:t>
        </ns0:is>
      </ns0:c>
      <ns0:c r="D4" s="10">
        <ns0:v>2</ns0:v>
      </ns0:c>
      <ns0:c r="E4" s="8">
        <ns0:f>Perspectivas!$B$5+D4*Premissas!$B$10</ns0:f>
        <ns0:v>174000</ns0:v>
      </ns0:c>
      <ns0:c r="F4" s="8">
        <ns0:f>MAX(0,E4-Perspectivas!$B$2)</ns0:f>
        <ns0:v>74000</ns0:v>
      </ns0:c>
      <ns0:c r="G4" s="8">
        <ns0:f>MAX(0,E4-Perspectivas!$C$2)</ns0:f>
        <ns0:v>24000</ns0:v>
      </ns0:c>
      <ns0:c r="H4" s="8">
        <ns0:f>MAX(0,E4-Perspectivas!$D$2)</ns0:f>
        <ns0:v>0</ns0:v>
      </ns0:c>
      <ns0:c r="I4" s="7" t="inlineStr">
        <ns0:is>
          <ns0:t>planning.json; mínimo financeiro sem reserva, receita e custos de implantação. Antes do desembolso, resolver financiamento. Nos demais marcos, caixa não comprova aceite; parar se faltar acesso, recursos ou segurança.</ns0:t>
        </ns0:is>
      </ns0:c>
    </ns0:row>
    <ns0:row r="5" ht="120" customHeight="1">
      <ns0:c r="A5" s="7" t="inlineStr">
        <ns0:is>
          <ns0:t>Mês 3</ns0:t>
        </ns0:is>
      </ns0:c>
      <ns0:c r="B5" s="7" t="inlineStr">
        <ns0:is>
          <ns0:t>Medir qualidade e recuperar falhas</ns0:t>
        </ns0:is>
      </ns0:c>
      <ns0:c r="C5" s="7" t="inlineStr">
        <ns0:is>
          <ns0:t>Benchmark na DGX, fila e recusa, exportação, recuperação e fluxo de reunião. Orçamento mínimo M0–M3: R$211 mil, sem reserva.</ns0:t>
        </ns0:is>
      </ns0:c>
      <ns0:c r="D5" s="10">
        <ns0:v>3</ns0:v>
      </ns0:c>
      <ns0:c r="E5" s="8">
        <ns0:f>Perspectivas!$B$5+D5*Premissas!$B$10</ns0:f>
        <ns0:v>211000</ns0:v>
      </ns0:c>
      <ns0:c r="F5" s="8">
        <ns0:f>MAX(0,E5-Perspectivas!$B$2)</ns0:f>
        <ns0:v>111000</ns0:v>
      </ns0:c>
      <ns0:c r="G5" s="8">
        <ns0:f>MAX(0,E5-Perspectivas!$C$2)</ns0:f>
        <ns0:v>61000</ns0:v>
      </ns0:c>
      <ns0:c r="H5" s="8">
        <ns0:f>MAX(0,E5-Perspectivas!$D$2)</ns0:f>
        <ns0:v>11000</ns0:v>
      </ns0:c>
      <ns0:c r="I5" s="7" t="inlineStr">
        <ns0:is>
          <ns0:t>planning.json; mínimo financeiro sem reserva, receita e custos de implantação. Antes do desembolso, resolver financiamento. Nos demais marcos, caixa não comprova aceite; parar se faltar acesso, recursos ou segurança.</ns0:t>
        </ns0:is>
      </ns0:c>
    </ns0:row>
    <ns0:row r="6" ht="120" customHeight="1">
      <ns0:c r="A6" s="7" t="inlineStr">
        <ns0:is>
          <ns0:t>Meses 4–6</ns0:t>
        </ns0:is>
      </ns0:c>
      <ns0:c r="B6" s="7" t="inlineStr">
        <ns0:is>
          <ns0:t>Homologar o recorte comercial</ns0:t>
        </ns0:is>
      </ns0:c>
      <ns0:c r="C6" s="7" t="inlineStr">
        <ns0:is>
          <ns0:t>Conectores suportados, segurança, limites contratuais e usuários de validação. Se faltarem recursos ou acesso, interromper avanço, não declarar entrega.</ns0:t>
        </ns0:is>
      </ns0:c>
      <ns0:c r="D6" s="10">
        <ns0:v>6</ns0:v>
      </ns0:c>
      <ns0:c r="E6" s="8">
        <ns0:f>Perspectivas!$B$5+D6*Premissas!$B$10</ns0:f>
        <ns0:v>322000</ns0:v>
      </ns0:c>
      <ns0:c r="F6" s="8">
        <ns0:f>MAX(0,E6-Perspectivas!$B$2)</ns0:f>
        <ns0:v>222000</ns0:v>
      </ns0:c>
      <ns0:c r="G6" s="8">
        <ns0:f>MAX(0,E6-Perspectivas!$C$2)</ns0:f>
        <ns0:v>172000</ns0:v>
      </ns0:c>
      <ns0:c r="H6" s="8">
        <ns0:f>MAX(0,E6-Perspectivas!$D$2)</ns0:f>
        <ns0:v>122000</ns0:v>
      </ns0:c>
      <ns0:c r="I6" s="7" t="inlineStr">
        <ns0:is>
          <ns0:t>planning.json; mínimo financeiro sem reserva, receita e custos de implantação. Antes do desembolso, resolver financiamento. Nos demais marcos, caixa não comprova aceite; parar se faltar acesso, recursos ou segurança.</ns0:t>
        </ns0:is>
      </ns0:c>
    </ns0:row>
    <ns0:row r="7" ht="120" customHeight="1">
      <ns0:c r="A7" s="7" t="inlineStr">
        <ns0:is>
          <ns0:t>A partir do mês 7 no cenário-base</ns0:t>
        </ns0:is>
      </ns0:c>
      <ns0:c r="B7" s="7" t="inlineStr">
        <ns0:is>
          <ns0:t>Entregar o primeiro ambiente pago</ns0:t>
        </ns0:is>
      </ns0:c>
      <ns0:c r="C7" s="7" t="inlineStr">
        <ns0:is>
          <ns0:t>Contrato e entrada recebida antes do início; três meses e 720 horas diretas separados do P&amp;D. Não é receita garantida.</ns0:t>
        </ns0:is>
      </ns0:c>
      <ns0:c r="D7" s="7" t="inlineStr">
        <ns0:is>
          <ns0:t>Não estimado aqui</ns0:t>
        </ns0:is>
      </ns0:c>
      <ns0:c r="E7" s="7" t="inlineStr">
        <ns0:is>
          <ns0:t>Não estimado aqui</ns0:t>
        </ns0:is>
      </ns0:c>
      <ns0:c r="F7" s="7" t="inlineStr">
        <ns0:is>
          <ns0:t>Não estimado aqui</ns0:t>
        </ns0:is>
      </ns0:c>
      <ns0:c r="G7" s="7" t="inlineStr">
        <ns0:is>
          <ns0:t>Não estimado aqui</ns0:t>
        </ns0:is>
      </ns0:c>
      <ns0:c r="H7" s="7" t="inlineStr">
        <ns0:is>
          <ns0:t>Não estimado aqui</ns0:t>
        </ns0:is>
      </ns0:c>
      <ns0:c r="I7" s="7" t="inlineStr">
        <ns0:is>
          <ns0:t>M7 é hipótese-base, não venda comprovada. Contrato + entrada recebida. Custos diretos e recebimentos têm calendário próprio no fluxo Base; não extrapolar R$37 mil/mês como custo total.</ns0:t>
        </ns0:is>
      </ns0:c>
    </ns0:row>
    <ns0:row r="10">
      <ns0:c r="A10" s="6" t="inlineStr">
        <ns0:is>
          <ns0:t>Implantação principal</ns0:t>
        </ns0:is>
      </ns0:c>
      <ns0:c r="B10" s="7" t="inlineStr">
        <ns0:is>
          <ns0:t>Horas diretas</ns0:t>
        </ns0:is>
      </ns0:c>
      <ns0:c r="C10" s="10">
        <ns0:f>Premissas!B4*(1+Premissas!B5)</ns0:f>
        <ns0:v>720</ns0:v>
      </ns0:c>
    </ns0:row>
    <ns0:row r="11">
      <ns0:c r="B11" s="7" t="inlineStr">
        <ns0:is>
          <ns0:t>Custo direto por implantação</ns0:t>
        </ns0:is>
      </ns0:c>
      <ns0:c r="C11" s="8">
        <ns0:f>C10*Premissas!B6</ns0:f>
        <ns0:v>129600</ns0:v>
      </ns0:c>
    </ns0:row>
    <ns0:row r="12" ht="90" customHeight="1">
      <ns0:c r="B12" s="6" t="inlineStr">
        <ns0:is>
          <ns0:t>Sequência de construção</ns0:t>
        </ns0:is>
      </ns0:c>
      <ns0:c r="C12" s="7" t="inlineStr">
        <ns0:is>
          <ns0:t>Núcleo e Topologic Operação primeiro. Diagnóstico valida comprador/recorte. Consulta privada após isolamento/carga; Viva após oferta repetível; parceiros após método e contratos. Não cinco produtos simultâneos.</ns0:t>
        </ns0:is>
      </ns0:c>
    </ns0:row>
    <ns0:row r="13" ht="90" customHeight="1">
      <ns0:c r="B13" s="6" t="inlineStr">
        <ns0:is>
          <ns0:t>Capacidade e privacidade</ns0:t>
        </ns0:is>
      </ns0:c>
      <ns0:c r="C13" s="7" t="inlineStr">
        <ns0:is>
          <ns0:t>Uma implantação por vez; P&amp;D separado. 100 usuários, 20 simultâneos no mapa, 1 IA ativa + 2 em fila: metas compartilhadas, não benchmark. Uma DGX sem redundância. Sem reutilizar dados de clientes entre ofertas.</ns0:t>
        </ns0:is>
      </ns0:c>
    </ns0:row>
  </ns0:sheetData>
  <ns0:pageMargins left="0.7" right="0.7" top="0.75" bottom="0.75" header="0.3" footer="0.3"/>
  <ns0:pageSetup fitToHeight="0" orientation="landscape"/>
</ns0:worksheet>
</file>

<file path=xl/worksheets/sheet15.xml><?xml version="1.0" encoding="utf-8"?>
<ns0:worksheet xmlns:ns0="http://schemas.openxmlformats.org/spreadsheetml/2006/main">
  <ns0:sheetPr>
    <ns0:pageSetUpPr fitToPage="1"/>
  </ns0:sheetPr>
  <ns0:dimension ref="A1:Q20"/>
  <ns0:sheetViews>
    <ns0:sheetView workbookViewId="0">
      <ns0:pane xSplit="1" ySplit="1" topLeftCell="B2" activePane="bottomRight" state="frozen"/>
      <ns0:selection pane="topRight" activeCell="B1" sqref="B1"/>
      <ns0:selection pane="bottomLeft" activeCell="A2" sqref="A2"/>
      <ns0:selection pane="bottomRight"/>
    </ns0:sheetView>
  </ns0:sheetViews>
  <ns0:sheetFormatPr defaultRowHeight="15"/>
  <ns0:cols>
    <ns0:col min="1" max="1" width="29.7109375" customWidth="1"/>
    <ns0:col min="2" max="3" width="22.7109375" customWidth="1"/>
    <ns0:col min="4" max="4" width="16.7109375" customWidth="1"/>
    <ns0:col min="5" max="6" width="20.7109375" customWidth="1"/>
    <ns0:col min="7" max="8" width="15.7109375" customWidth="1"/>
    <ns0:col min="9" max="12" width="22.7109375" customWidth="1"/>
    <ns0:col min="13" max="13" width="48.7109375" customWidth="1"/>
    <ns0:col min="14" max="14" width="85.7109375" customWidth="1"/>
    <ns0:col min="15" max="15" width="65.7109375" customWidth="1"/>
    <ns0:col min="16" max="16" width="90.7109375" customWidth="1"/>
    <ns0:col min="17" max="17" width="65.7109375" customWidth="1"/>
  </ns0:cols>
  <ns0:sheetData>
    <ns0:row r="1" ht="42" customHeight="1">
      <ns0:c r="A1" s="6" t="inlineStr">
        <ns0:is>
          <ns0:t>Oferta</ns0:t>
        </ns0:is>
      </ns0:c>
      <ns0:c r="B1" s="6" t="inlineStr">
        <ns0:is>
          <ns0:t>Setup proposto</ns0:t>
        </ns0:is>
      </ns0:c>
      <ns0:c r="C1" s="6" t="inlineStr">
        <ns0:is>
          <ns0:t>Mensalidade proposta</ns0:t>
        </ns0:is>
      </ns0:c>
      <ns0:c r="D1" s="6" t="inlineStr">
        <ns0:is>
          <ns0:t>Horas setup</ns0:t>
        </ns0:is>
      </ns0:c>
      <ns0:c r="E1" s="6" t="inlineStr">
        <ns0:is>
          <ns0:t>Horas curadoria/mês</ns0:t>
        </ns0:is>
      </ns0:c>
      <ns0:c r="F1" s="6" t="inlineStr">
        <ns0:is>
          <ns0:t>Custo/hora</ns0:t>
        </ns0:is>
      </ns0:c>
      <ns0:c r="G1" s="6" t="inlineStr">
        <ns0:is>
          <ns0:t>Tributos</ns0:t>
        </ns0:is>
      </ns0:c>
      <ns0:c r="H1" s="6" t="inlineStr">
        <ns0:is>
          <ns0:t>Comercial</ns0:t>
        </ns0:is>
      </ns0:c>
      <ns0:c r="I1" s="6" t="inlineStr">
        <ns0:is>
          <ns0:t>Direto setup</ns0:t>
        </ns0:is>
      </ns0:c>
      <ns0:c r="J1" s="6" t="inlineStr">
        <ns0:is>
          <ns0:t>Direto/mês</ns0:t>
        </ns0:is>
      </ns0:c>
      <ns0:c r="K1" s="6" t="inlineStr">
        <ns0:is>
          <ns0:t>Contribuição setup</ns0:t>
        </ns0:is>
      </ns0:c>
      <ns0:c r="L1" s="6" t="inlineStr">
        <ns0:is>
          <ns0:t>Contribuição/mês</ns0:t>
        </ns0:is>
      </ns0:c>
      <ns0:c r="M1" s="6" t="inlineStr">
        <ns0:is>
          <ns0:t>Comprador</ns0:t>
        </ns0:is>
      </ns0:c>
      <ns0:c r="N1" s="6" t="inlineStr">
        <ns0:is>
          <ns0:t>Escopo</ns0:t>
        </ns0:is>
      </ns0:c>
      <ns0:c r="O1" s="6" t="inlineStr">
        <ns0:is>
          <ns0:t>Reuso compartilhado</ns0:t>
        </ns0:is>
      </ns0:c>
      <ns0:c r="P1" s="6" t="inlineStr">
        <ns0:is>
          <ns0:t>Pré-requisito</ns0:t>
        </ns0:is>
      </ns0:c>
      <ns0:c r="Q1" s="6" t="inlineStr">
        <ns0:is>
          <ns0:t>Status / fonte</ns0:t>
        </ns0:is>
      </ns0:c>
    </ns0:row>
    <ns0:row r="2" ht="165" customHeight="1">
      <ns0:c r="A2" s="7" t="inlineStr">
        <ns0:is>
          <ns0:t>Diagnóstico operacional</ns0:t>
        </ns0:is>
      </ns0:c>
      <ns0:c r="B2" s="8">
        <ns0:v>30000</ns0:v>
      </ns0:c>
      <ns0:c r="C2" s="8">
        <ns0:v>0</ns0:v>
      </ns0:c>
      <ns0:c r="D2" s="10">
        <ns0:v>80</ns0:v>
      </ns0:c>
      <ns0:c r="E2" s="10">
        <ns0:v>0</ns0:v>
      </ns0:c>
      <ns0:c r="F2" s="8">
        <ns0:f>Premissas!$B$6</ns0:f>
        <ns0:v>180</ns0:v>
      </ns0:c>
      <ns0:c r="G2" s="11">
        <ns0:f>Premissas!$B$8</ns0:f>
        <ns0:v>0.12</ns0:v>
      </ns0:c>
      <ns0:c r="H2" s="11">
        <ns0:f>Premissas!$B$9</ns0:f>
        <ns0:v>0.05</ns0:v>
      </ns0:c>
      <ns0:c r="I2" s="8">
        <ns0:f>D2*F2</ns0:f>
        <ns0:v>14400</ns0:v>
      </ns0:c>
      <ns0:c r="J2" s="8">
        <ns0:f>E2*F2</ns0:f>
        <ns0:v>0</ns0:v>
      </ns0:c>
      <ns0:c r="K2" s="8">
        <ns0:f>B2*(1-G2-H2)-I2</ns0:f>
        <ns0:v>10500</ns0:v>
      </ns0:c>
      <ns0:c r="L2" s="8">
        <ns0:f>C2*(1-G2-H2)-J2</ns0:f>
        <ns0:v>0</ns0:v>
      </ns0:c>
      <ns0:c r="M2" s="7" t="inlineStr">
        <ns0:is>
          <ns0:t>Patrocinador de uma mudança industrial ou logística</ns0:t>
        </ns0:is>
      </ns0:c>
      <ns0:c r="N2" s="7" t="inlineStr">
        <ns0:is>
          <ns0:t>Um recorte, fontes autorizadas, mapa de dependências e perguntas de decisão; sem integração produtiva.</ns0:t>
        </ns0:is>
      </ns0:c>
      <ns0:c r="O2" s="7" t="inlineStr">
        <ns0:is>
          <ns0:t>Método, editor e processamento documental em janela agendada</ns0:t>
        </ns0:is>
      </ns0:c>
      <ns0:c r="P2" s="7" t="inlineStr">
        <ns0:is>
          <ns0:t>Validar disposição de pagar, acesso e escopo. Se o valor for creditado no setup, não somar as duas receitas integralmente.</ns0:t>
        </ns0:is>
      </ns0:c>
      <ns0:c r="Q2" s="7" t="inlineStr">
        <ns0:is>
          <ns0:t>Nova hipótese comercial; fora do fluxo de 24 meses; planning.json, hipóteses não validadas</ns0:t>
        </ns0:is>
      </ns0:c>
    </ns0:row>
    <ns0:row r="3" ht="165" customHeight="1">
      <ns0:c r="A3" s="7" t="inlineStr">
        <ns0:is>
          <ns0:t>Topologic Operação</ns0:t>
        </ns0:is>
      </ns0:c>
      <ns0:c r="B3" s="8">
        <ns0:f>Premissas!B2</ns0:f>
        <ns0:v>200000</ns0:v>
      </ns0:c>
      <ns0:c r="C3" s="8">
        <ns0:f>Premissas!B3</ns0:f>
        <ns0:v>12000</ns0:v>
      </ns0:c>
      <ns0:c r="D3" s="10">
        <ns0:f>Premissas!B4*(1+Premissas!B5)</ns0:f>
        <ns0:v>720</ns0:v>
      </ns0:c>
      <ns0:c r="E3" s="10">
        <ns0:f>Premissas!B7</ns0:f>
        <ns0:v>10</ns0:v>
      </ns0:c>
      <ns0:c r="F3" s="8">
        <ns0:f>Premissas!$B$6</ns0:f>
        <ns0:v>180</ns0:v>
      </ns0:c>
      <ns0:c r="G3" s="11">
        <ns0:f>Premissas!$B$8</ns0:f>
        <ns0:v>0.12</ns0:v>
      </ns0:c>
      <ns0:c r="H3" s="11">
        <ns0:f>Premissas!$B$9</ns0:f>
        <ns0:v>0.05</ns0:v>
      </ns0:c>
      <ns0:c r="I3" s="8">
        <ns0:f>D3*F3</ns0:f>
        <ns0:v>129600</ns0:v>
      </ns0:c>
      <ns0:c r="J3" s="8">
        <ns0:f>E3*F3</ns0:f>
        <ns0:v>1800</ns0:v>
      </ns0:c>
      <ns0:c r="K3" s="8">
        <ns0:f>B3*(1-G3-H3)-I3</ns0:f>
        <ns0:v>36400</ns0:v>
      </ns0:c>
      <ns0:c r="L3" s="8">
        <ns0:f>C3*(1-G3-H3)-J3</ns0:f>
        <ns0:v>8160</ns0:v>
      </ns0:c>
      <ns0:c r="M3" s="7" t="inlineStr">
        <ns0:is>
          <ns0:t>Diretor de operações com transformação financiada</ns0:t>
        </ns0:is>
      </ns0:c>
      <ns0:c r="N3" s="7" t="inlineStr">
        <ns0:is>
          <ns0:t>Uma unidade, até três processos relacionados, dois conectores homologados, 150 entidades e dez usuários.</ns0:t>
        </ns0:is>
      </ns0:c>
      <ns0:c r="O3" s="7" t="inlineStr">
        <ns0:is>
          <ns0:t>Grafo de conhecimento, fontes, permissões, visões e inferência</ns0:t>
        </ns0:is>
      </ns0:c>
      <ns0:c r="P3" s="7" t="inlineStr">
        <ns0:is>
          <ns0:t>Produto e conectores homologados, contrato e entrada recebida. Oferta proposta, não vendas comprovadas.</ns0:t>
        </ns0:is>
      </ns0:c>
      <ns0:c r="Q3" s="7" t="inlineStr">
        <ns0:is>
          <ns0:t>Oferta principal; única linha nas projeções de 24 meses; planning.json, hipóteses não validadas</ns0:t>
        </ns0:is>
      </ns0:c>
    </ns0:row>
    <ns0:row r="4" ht="165" customHeight="1">
      <ns0:c r="A4" s="7" t="inlineStr">
        <ns0:is>
          <ns0:t>Conhecimento privado</ns0:t>
        </ns0:is>
      </ns0:c>
      <ns0:c r="B4" s="8">
        <ns0:v>60000</ns0:v>
      </ns0:c>
      <ns0:c r="C4" s="8">
        <ns0:v>6000</ns0:v>
      </ns0:c>
      <ns0:c r="D4" s="10">
        <ns0:v>180</ns0:v>
      </ns0:c>
      <ns0:c r="E4" s="10">
        <ns0:v>6</ns0:v>
      </ns0:c>
      <ns0:c r="F4" s="8">
        <ns0:f>Premissas!$B$6</ns0:f>
        <ns0:v>180</ns0:v>
      </ns0:c>
      <ns0:c r="G4" s="11">
        <ns0:f>Premissas!$B$8</ns0:f>
        <ns0:v>0.12</ns0:v>
      </ns0:c>
      <ns0:c r="H4" s="11">
        <ns0:f>Premissas!$B$9</ns0:f>
        <ns0:v>0.05</ns0:v>
      </ns0:c>
      <ns0:c r="I4" s="8">
        <ns0:f>D4*F4</ns0:f>
        <ns0:v>32400</ns0:v>
      </ns0:c>
      <ns0:c r="J4" s="8">
        <ns0:f>E4*F4</ns0:f>
        <ns0:v>1080</ns0:v>
      </ns0:c>
      <ns0:c r="K4" s="8">
        <ns0:f>B4*(1-G4-H4)-I4</ns0:f>
        <ns0:v>17400</ns0:v>
      </ns0:c>
      <ns0:c r="L4" s="8">
        <ns0:f>C4*(1-G4-H4)-J4</ns0:f>
        <ns0:v>3900</ns0:v>
      </ns0:c>
      <ns0:c r="M4" s="7" t="inlineStr">
        <ns0:is>
          <ns0:t>Área com documentação técnica e necessidade de consulta restrita</ns0:t>
        </ns0:is>
      </ns0:c>
      <ns0:c r="N4" s="7" t="inlineStr">
        <ns0:is>
          <ns0:t>Consulta documental com fontes e permissões, sem promessa de mapear toda a operação.</ns0:t>
        </ns0:is>
      </ns0:c>
      <ns0:c r="O4" s="7" t="inlineStr">
        <ns0:is>
          <ns0:t>Ingestão, busca, identidade, armazenamento e IA local</ns0:t>
        </ns0:is>
      </ns0:c>
      <ns0:c r="P4" s="7" t="inlineStr">
        <ns0:is>
          <ns0:t>Teste de isolamento, qualidade, retenção e carga. Limites de corpus e usuários definidos antes da proposta. Não é produto pronto.</ns0:t>
        </ns0:is>
      </ns0:c>
      <ns0:c r="Q4" s="7" t="inlineStr">
        <ns0:is>
          <ns0:t>Nova hipótese comercial; fora do fluxo de 24 meses; planning.json, hipóteses não validadas</ns0:t>
        </ns0:is>
      </ns0:c>
    </ns0:row>
    <ns0:row r="5" ht="165" customHeight="1">
      <ns0:c r="A5" s="7" t="inlineStr">
        <ns0:is>
          <ns0:t>Topologia Viva</ns0:t>
        </ns0:is>
      </ns0:c>
      <ns0:c r="B5" s="8">
        <ns0:v>90000</ns0:v>
      </ns0:c>
      <ns0:c r="C5" s="8">
        <ns0:v>8000</ns0:v>
      </ns0:c>
      <ns0:c r="D5" s="10">
        <ns0:v>300</ns0:v>
      </ns0:c>
      <ns0:c r="E5" s="10">
        <ns0:v>8</ns0:v>
      </ns0:c>
      <ns0:c r="F5" s="8">
        <ns0:f>Premissas!$B$6</ns0:f>
        <ns0:v>180</ns0:v>
      </ns0:c>
      <ns0:c r="G5" s="11">
        <ns0:f>Premissas!$B$8</ns0:f>
        <ns0:v>0.12</ns0:v>
      </ns0:c>
      <ns0:c r="H5" s="11">
        <ns0:f>Premissas!$B$9</ns0:f>
        <ns0:v>0.05</ns0:v>
      </ns0:c>
      <ns0:c r="I5" s="8">
        <ns0:f>D5*F5</ns0:f>
        <ns0:v>54000</ns0:v>
      </ns0:c>
      <ns0:c r="J5" s="8">
        <ns0:f>E5*F5</ns0:f>
        <ns0:v>1440</ns0:v>
      </ns0:c>
      <ns0:c r="K5" s="8">
        <ns0:f>B5*(1-G5-H5)-I5</ns0:f>
        <ns0:v>20700</ns0:v>
      </ns0:c>
      <ns0:c r="L5" s="8">
        <ns0:f>C5*(1-G5-H5)-J5</ns0:f>
        <ns0:v>5200</ns0:v>
      </ns0:c>
      <ns0:c r="M5" s="7" t="inlineStr">
        <ns0:is>
          <ns0:t>Cliente Topologic já homologado</ns0:t>
        </ns0:is>
      </ns0:c>
      <ns0:c r="N5" s="7" t="inlineStr">
        <ns0:is>
          <ns0:t>Um fluxo de observação e ação assistida, com aprovação humana e destinos autorizados.</ns0:t>
        </ns0:is>
      </ns0:c>
      <ns0:c r="O5" s="7" t="inlineStr">
        <ns0:is>
          <ns0:t>Eventos, contexto do grafo, fila, auditoria e inferência</ns0:t>
        </ns0:is>
      </ns0:c>
      <ns0:c r="P5" s="7" t="inlineStr">
        <ns0:is>
          <ns0:t>Somente após oferta principal repetível. Homologar integração, limites, parada e recuperação. Não vender autonomia irrestrita.</ns0:t>
        </ns0:is>
      </ns0:c>
      <ns0:c r="Q5" s="7" t="inlineStr">
        <ns0:is>
          <ns0:t>Expansão futura; fora do fluxo de 24 meses; planning.json, hipóteses não validadas</ns0:t>
        </ns0:is>
      </ns0:c>
    </ns0:row>
    <ns0:row r="6" ht="165" customHeight="1">
      <ns0:c r="A6" s="7" t="inlineStr">
        <ns0:is>
          <ns0:t>Licenciamento com parceiros</ns0:t>
        </ns0:is>
      </ns0:c>
      <ns0:c r="B6" s="7" t="inlineStr">
        <ns0:is>
          <ns0:t>A definir</ns0:t>
        </ns0:is>
      </ns0:c>
      <ns0:c r="C6" s="7" t="inlineStr">
        <ns0:is>
          <ns0:t>A definir</ns0:t>
        </ns0:is>
      </ns0:c>
      <ns0:c r="D6" s="7" t="inlineStr">
        <ns0:is>
          <ns0:t>A definir</ns0:t>
        </ns0:is>
      </ns0:c>
      <ns0:c r="E6" s="7" t="inlineStr">
        <ns0:is>
          <ns0:t>A definir</ns0:t>
        </ns0:is>
      </ns0:c>
      <ns0:c r="F6" s="7" t="inlineStr">
        <ns0:is>
          <ns0:t>A definir</ns0:t>
        </ns0:is>
      </ns0:c>
      <ns0:c r="G6" s="7" t="inlineStr">
        <ns0:is>
          <ns0:t>A definir</ns0:t>
        </ns0:is>
      </ns0:c>
      <ns0:c r="H6" s="7" t="inlineStr">
        <ns0:is>
          <ns0:t>A definir</ns0:t>
        </ns0:is>
      </ns0:c>
      <ns0:c r="I6" s="7" t="inlineStr">
        <ns0:is>
          <ns0:t>A definir</ns0:t>
        </ns0:is>
      </ns0:c>
      <ns0:c r="J6" s="7" t="inlineStr">
        <ns0:is>
          <ns0:t>A definir</ns0:t>
        </ns0:is>
      </ns0:c>
      <ns0:c r="K6" s="7" t="inlineStr">
        <ns0:is>
          <ns0:t>A definir</ns0:t>
        </ns0:is>
      </ns0:c>
      <ns0:c r="L6" s="7" t="inlineStr">
        <ns0:is>
          <ns0:t>A definir</ns0:t>
        </ns0:is>
      </ns0:c>
      <ns0:c r="M6" s="7" t="inlineStr">
        <ns0:is>
          <ns0:t>Integradores de indústria e logística</ns0:t>
        </ns0:is>
      </ns0:c>
      <ns0:c r="N6" s="7" t="inlineStr">
        <ns0:is>
          <ns0:t>Distribuição e implantação com método e componentes reutilizáveis, nunca revenda de dados de clientes.</ns0:t>
        </ns0:is>
      </ns0:c>
      <ns0:c r="O6" s="7" t="inlineStr">
        <ns0:is>
          <ns0:t>Ontologias próprias, editor, conectores homologados e método</ns0:t>
        </ns0:is>
      </ns0:c>
      <ns0:c r="P6" s="7" t="inlineStr">
        <ns0:is>
          <ns0:t>Preço, direitos, suporte, responsabilidades e repartição de receita ainda precisam ser definidos. Não presumir comissão de 5% suficiente.</ns0:t>
        </ns0:is>
      </ns0:c>
      <ns0:c r="Q6" s="7" t="inlineStr">
        <ns0:is>
          <ns0:t>Canal posterior, sem receita precificada ou projetada; planning.json, hipóteses não validadas</ns0:t>
        </ns0:is>
      </ns0:c>
    </ns0:row>
    <ns0:row r="9" ht="175" customHeight="1">
      <ns0:c r="A9" s="6" t="inlineStr">
        <ns0:is>
          <ns0:t>Economia unitária</ns0:t>
        </ns0:is>
      </ns0:c>
      <ns0:c r="B9" s="7" t="inlineStr">
        <ns0:is>
          <ns0:t>Contribuição não é lucro. Comparação estável usa 12% + 5%; fluxo 24 meses separa faturamento e recebimentos. Custos fixos e capital não são abatidos nesta contribuição.</ns0:t>
        </ns0:is>
      </ns0:c>
    </ns0:row>
    <ns0:row r="10" ht="175" customHeight="1">
      <ns0:c r="A10" s="6" t="inlineStr">
        <ns0:is>
          <ns0:t>Sem receita adicional projetada</ns0:t>
        </ns0:is>
      </ns0:c>
      <ns0:c r="B10" s="7" t="inlineStr">
        <ns0:is>
          <ns0:t>Somente Topologic Operação está nas abas de 24 meses. Outras ofertas não reduzem déficits; canais e preços não comprovados. Parceiros sem preço ou margem calculável; 5% não é comissão negociada.</ns0:t>
        </ns0:is>
      </ns0:c>
    </ns0:row>
    <ns0:row r="11" ht="175" customHeight="1">
      <ns0:c r="A11" s="6" t="inlineStr">
        <ns0:is>
          <ns0:t>Recursos e sequência</ns0:t>
        </ns0:is>
      </ns0:c>
      <ns0:c r="B11" s="7" t="inlineStr">
        <ns0:is>
          <ns0:t>Mesma DGX, pessoas, fila, armazenamento e janelas. Não multiplicar capacidade por oferta nem contar P&amp;D como implantação. Núcleo primeiro; ofertas adjacentes dependem de homologação. Nenhum aluguel ilimitado de GPU.</ns0:t>
        </ns0:is>
      </ns0:c>
    </ns0:row>
    <ns0:row r="12" ht="175" customHeight="1">
      <ns0:c r="A12" s="6" t="inlineStr">
        <ns0:is>
          <ns0:t>Privacidade</ns0:t>
        </ns0:is>
      </ns0:c>
      <ns0:c r="B12" s="7" t="inlineStr">
        <ns0:is>
          <ns0:t>Reutilizar código, ontologias próprias e método; nunca dados de clientes. Isolamento, retenção, fontes autorizadas e LGPD por oferta; IA local não elimina risco de vazamento.</ns0:t>
        </ns0:is>
      </ns0:c>
    </ns0:row>
    <ns0:row r="14" ht="60" customHeight="1">
      <ns0:c r="A14" s="7" t="inlineStr">
        <ns0:is>
          <ns0:t>Crédito integral de diagnóstico no setup</ns0:t>
        </ns0:is>
      </ns0:c>
      <ns0:c r="B14" s="8">
        <ns0:f>B2</ns0:f>
        <ns0:v>30000</ns0:v>
      </ns0:c>
    </ns0:row>
    <ns0:row r="15" ht="60" customHeight="1">
      <ns0:c r="A15" s="7" t="inlineStr">
        <ns0:is>
          <ns0:t>Saldo de setup após crédito</ns0:t>
        </ns0:is>
      </ns0:c>
      <ns0:c r="B15" s="8">
        <ns0:f>B3-B14</ns0:f>
        <ns0:v>170000</ns0:v>
      </ns0:c>
    </ns0:row>
    <ns0:row r="16" ht="60" customHeight="1">
      <ns0:c r="A16" s="7" t="inlineStr">
        <ns0:is>
          <ns0:t>Receita combinada, sem duplicação</ns0:t>
        </ns0:is>
      </ns0:c>
      <ns0:c r="B16" s="8">
        <ns0:f>B2+B15</ns0:f>
        <ns0:v>200000</ns0:v>
      </ns0:c>
    </ns0:row>
    <ns0:row r="17" ht="60" customHeight="1">
      <ns0:c r="A17" s="7" t="inlineStr">
        <ns0:is>
          <ns0:t>Diretos combinados: 80h adicionais às 720h</ns0:t>
        </ns0:is>
      </ns0:c>
      <ns0:c r="B17" s="8">
        <ns0:f>I2+I3</ns0:f>
        <ns0:v>144000</ns0:v>
      </ns0:c>
    </ns0:row>
    <ns0:row r="18" ht="60" customHeight="1">
      <ns0:c r="A18" s="7" t="inlineStr">
        <ns0:is>
          <ns0:t>Contribuição combinada antes de fixos</ns0:t>
        </ns0:is>
      </ns0:c>
      <ns0:c r="B18" s="8">
        <ns0:f>B16*(1-G3-H3)-B17</ns0:f>
        <ns0:v>22000</ns0:v>
      </ns0:c>
    </ns0:row>
    <ns0:row r="20" ht="200" customHeight="1">
      <ns0:c r="A20" s="6" t="inlineStr">
        <ns0:is>
          <ns0:t>Hipótese do crédito</ns0:t>
        </ns0:is>
      </ns0:c>
      <ns0:c r="B20" s="7" t="inlineStr">
        <ns0:is>
          <ns0:t>Exemplo conservador: diagnóstico 80h adicional às 720h. Crédito comercial não apaga custo. Se houver reuso comprovado, revisar escopo/horas sem duplicação. Não somar R$30 mil + R$200 mil de receita quando os R$30 mil são creditados.</ns0:t>
        </ns0:is>
      </ns0:c>
    </ns0:row>
  </ns0:sheetData>
  <ns0:pageMargins left="0.7" right="0.7" top="0.75" bottom="0.75" header="0.3" footer="0.3"/>
  <ns0:pageSetup fitToHeight="0" orientation="landscape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2026-10-02T01:18:00Z</dcterms:created>
  <dcterms:modified xmlns:dcterms="http://purl.org/dc/terms/" xmlns:xsi="http://www.w3.org/2001/XMLSchema-instance" xsi:type="dcterms:W3CDTF">2026-10-02T01:18:01Z</dcterms:modified>
</cp:coreProperties>
</file>