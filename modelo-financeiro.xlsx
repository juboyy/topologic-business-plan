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Premissas" sheetId="2" state="visible" r:id="rId2"/>
    <sheet xmlns:r="http://schemas.openxmlformats.org/officeDocument/2006/relationships" name="Capex" sheetId="3" state="visible" r:id="rId3"/>
    <sheet xmlns:r="http://schemas.openxmlformats.org/officeDocument/2006/relationships" name="Agenda" sheetId="4" state="visible" r:id="rId4"/>
    <sheet xmlns:r="http://schemas.openxmlformats.org/officeDocument/2006/relationships" name="Conservador" sheetId="5" state="visible" r:id="rId5"/>
    <sheet xmlns:r="http://schemas.openxmlformats.org/officeDocument/2006/relationships" name="Base" sheetId="6" state="visible" r:id="rId6"/>
    <sheet xmlns:r="http://schemas.openxmlformats.org/officeDocument/2006/relationships" name="Expansao" sheetId="7" state="visible" r:id="rId7"/>
    <sheet xmlns:r="http://schemas.openxmlformats.org/officeDocument/2006/relationships" name="Resumo" sheetId="8" state="visible" r:id="rId8"/>
    <sheet xmlns:r="http://schemas.openxmlformats.org/officeDocument/2006/relationships" name="Verificado" sheetId="9" state="visible" r:id="rId9"/>
    <sheet xmlns:r="http://schemas.openxmlformats.org/officeDocument/2006/relationships" name="Fontes" sheetId="10" state="visible" r:id="rId10"/>
    <sheet xmlns:r="http://schemas.openxmlformats.org/officeDocument/2006/relationships" name="Publicacao" sheetId="11" state="visible" r:id="rId11"/>
  </sheets>
  <definedNames>
    <definedName name="_xlnm._FilterDatabase" localSheetId="4" hidden="1">'Conservador'!$A$1:$X$26</definedName>
    <definedName name="_xlnm._FilterDatabase" localSheetId="5" hidden="1">'Base'!$A$1:$X$26</definedName>
    <definedName name="_xlnm._FilterDatabase" localSheetId="6" hidden="1">'Expansao'!$A$1:$X$26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1765B5"/>
    </font>
    <font>
      <color rgb="00172B4D"/>
    </font>
  </fonts>
  <fills count="3">
    <fill>
      <patternFill/>
    </fill>
    <fill>
      <patternFill patternType="gray125"/>
    </fill>
    <fill>
      <patternFill patternType="solid">
        <fgColor rgb="001936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164" fontId="2" fillId="0" borderId="0" pivotButton="0" quotePrefix="0" xfId="0"/>
    <xf numFmtId="165" fontId="2" fillId="0" borderId="0" pivotButton="0" quotePrefix="0" xfId="0"/>
    <xf numFmtId="164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15" customWidth="1" min="2" max="2"/>
  </cols>
  <sheetData>
    <row r="1" ht="32" customHeight="1">
      <c r="A1" s="1" t="inlineStr">
        <is>
          <t>Topologic — modelo financeiro gerencial, 24 meses</t>
        </is>
      </c>
      <c r="B1" s="1" t="n"/>
    </row>
    <row r="2" ht="35" customHeight="1">
      <c r="A2" s="2" t="inlineStr">
        <is>
          <t>Data de referência</t>
        </is>
      </c>
      <c r="B2" s="2" t="inlineStr">
        <is>
          <t>2026-10-01</t>
        </is>
      </c>
    </row>
    <row r="3" ht="35" customHeight="1">
      <c r="A3" s="2" t="inlineStr">
        <is>
          <t>Status</t>
        </is>
      </c>
      <c r="B3" s="2" t="inlineStr">
        <is>
          <t>Todas as receitas, custos, conversões e preços são hipóteses; não há clientes pagantes comprovados.</t>
        </is>
      </c>
    </row>
    <row r="4" ht="35" customHeight="1">
      <c r="A4" s="2" t="inlineStr">
        <is>
          <t>Como editar</t>
        </is>
      </c>
      <c r="B4" s="2" t="inlineStr">
        <is>
          <t>Premissas, Capex e Agenda contêm entradas; cenários e Resumo usam fórmulas. Abra no Excel/LibreOffice para recalcular.</t>
        </is>
      </c>
    </row>
    <row r="5" ht="35" customHeight="1">
      <c r="A5" s="2" t="inlineStr">
        <is>
          <t>Valores verificados</t>
        </is>
      </c>
      <c r="B5" s="2" t="inlineStr">
        <is>
          <t>Aba Verificado contém snapshot calculado independentemente em Python; não muda quando entradas forem editadas.</t>
        </is>
      </c>
    </row>
    <row r="6" ht="35" customHeight="1">
      <c r="A6" s="2" t="inlineStr">
        <is>
          <t>Mês zero</t>
        </is>
      </c>
      <c r="B6" s="2" t="inlineStr">
        <is>
          <t>Aquisição de hardware e despesas pré-operacionais. M1 começa após autorização do plano, sem data-calendário assumida.</t>
        </is>
      </c>
    </row>
    <row r="7" ht="35" customHeight="1">
      <c r="A7" s="2" t="inlineStr">
        <is>
          <t>Implantação</t>
        </is>
      </c>
      <c r="B7" s="2" t="inlineStr">
        <is>
          <t>36 mil em dois marcos mensais de 50%; 120h distribuídas nos mesmos dois meses. Sem atraso/inadimplência nos marcos, hipótese forte.</t>
        </is>
      </c>
    </row>
    <row r="8" ht="35" customHeight="1">
      <c r="A8" s="2" t="inlineStr">
        <is>
          <t>Assinatura</t>
        </is>
      </c>
      <c r="B8" s="2" t="inlineStr">
        <is>
          <t>Começa dois meses após início do projeto apenas para projetos que convertem; recebimento padrão 1 mês depois.</t>
        </is>
      </c>
    </row>
    <row r="9" ht="35" customHeight="1">
      <c r="A9" s="2" t="inlineStr">
        <is>
          <t>Tributação</t>
        </is>
      </c>
      <c r="B9" s="2" t="inlineStr">
        <is>
          <t>Provisão gerencial sobre faturamento no próprio mês; não é enquadramento ou calendário fiscal validado.</t>
        </is>
      </c>
    </row>
    <row r="10" ht="35" customHeight="1">
      <c r="A10" s="2" t="inlineStr">
        <is>
          <t>Comissão</t>
        </is>
      </c>
      <c r="B10" s="2" t="inlineStr">
        <is>
          <t>Reserva média de 5% sobre recebimentos, não promessa de comissão a parceiros.</t>
        </is>
      </c>
    </row>
    <row r="11" ht="35" customHeight="1">
      <c r="A11" s="2" t="inlineStr">
        <is>
          <t>Pessoal</t>
        </is>
      </c>
      <c r="B11" s="2" t="inlineStr">
        <is>
          <t>Equipe interna no fixo; implantação e curadoria executadas por prestadores de entrega nos custos diretos. Não duplicar as mesmas horas.</t>
        </is>
      </c>
    </row>
    <row r="12" ht="35" customHeight="1">
      <c r="A12" s="2" t="inlineStr">
        <is>
          <t>Caixa</t>
        </is>
      </c>
      <c r="B12" s="2" t="inlineStr">
        <is>
          <t>Acumulado sem aporte; capital indicado cobre maior déficit mais maior entre 15% do déficit e três meses do fixo máximo.</t>
        </is>
      </c>
    </row>
    <row r="13" ht="35" customHeight="1">
      <c r="A13" s="2" t="inlineStr">
        <is>
          <t>Resultado recorrente</t>
        </is>
      </c>
      <c r="B13" s="2" t="inlineStr">
        <is>
          <t>MRR menos provisão tributária/comercial, custo direto recorrente e fixo. Não depende de novas implantações e não inclui depreciação.</t>
        </is>
      </c>
    </row>
    <row r="14" ht="35" customHeight="1">
      <c r="A14" s="2" t="inlineStr">
        <is>
          <t>Depreciação</t>
        </is>
      </c>
      <c r="B14" s="2" t="inlineStr">
        <is>
          <t>Hardware total / 36 meses apenas como referência gerencial; não deduzida novamente do caixa.</t>
        </is>
      </c>
    </row>
    <row r="15" ht="35" customHeight="1">
      <c r="A15" s="2" t="inlineStr">
        <is>
          <t>Limitações</t>
        </is>
      </c>
      <c r="B15" s="2" t="inlineStr">
        <is>
          <t>Sem valuation, LTV, inflação/reajuste, juros, recuperação de hardware, inadimplência ou garantia de SLA. Não é DRE/balanço auditado.</t>
        </is>
      </c>
    </row>
    <row r="16" ht="35" customHeight="1">
      <c r="A16" s="2" t="inlineStr">
        <is>
          <t>Capacidade</t>
        </is>
      </c>
      <c r="B16" s="2" t="inlineStr">
        <is>
          <t>Horas diretas aparecem em cada cenário; GPU/clientes simultâneos não foram benchmarkados.</t>
        </is>
      </c>
    </row>
    <row r="17" ht="35" customHeight="1">
      <c r="A17" s="2" t="inlineStr">
        <is>
          <t>Cenário conservador</t>
        </is>
      </c>
      <c r="B17" s="2" t="inlineStr">
        <is>
          <t>Teste de exposição com estrutura mantida. Não é recomendação de financiar prejuízo por 24 meses.</t>
        </is>
      </c>
    </row>
    <row r="18" ht="35" customHeight="1">
      <c r="A18" s="2" t="inlineStr">
        <is>
          <t>Canais externos</t>
        </is>
      </c>
      <c r="B18" s="2" t="inlineStr">
        <is>
          <t>MCP não transfere a inferência do Claude/ChatGPT para a DGX. Licenças clientes/ERP/ITSM não incluídas.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75" customWidth="1" min="3" max="3"/>
  </cols>
  <sheetData>
    <row r="1" ht="32" customHeight="1">
      <c r="A1" s="3" t="inlineStr">
        <is>
          <t>Parâmetro</t>
        </is>
      </c>
      <c r="B1" s="3" t="inlineStr">
        <is>
          <t>Valor</t>
        </is>
      </c>
      <c r="C1" s="3" t="inlineStr">
        <is>
          <t>Unidade/observação</t>
        </is>
      </c>
    </row>
    <row r="2">
      <c r="A2" t="inlineStr">
        <is>
          <t>setup_price</t>
        </is>
      </c>
      <c r="B2" s="4" t="n">
        <v>36000</v>
      </c>
      <c r="C2" t="inlineStr">
        <is>
          <t>R$/implantação; hipótese</t>
        </is>
      </c>
    </row>
    <row r="3">
      <c r="A3" t="inlineStr">
        <is>
          <t>strategic_price</t>
        </is>
      </c>
      <c r="B3" s="4" t="n">
        <v>7500</v>
      </c>
      <c r="C3" t="inlineStr">
        <is>
          <t>R$/cliente/mês; hipótese</t>
        </is>
      </c>
    </row>
    <row r="4">
      <c r="A4" t="inlineStr">
        <is>
          <t>live_uplift</t>
        </is>
      </c>
      <c r="B4" s="4" t="n">
        <v>4500</v>
      </c>
      <c r="C4" t="inlineStr">
        <is>
          <t>R$/cliente vivo/mês adicional; hipótese</t>
        </is>
      </c>
    </row>
    <row r="5">
      <c r="A5" t="inlineStr">
        <is>
          <t>setup_hours</t>
        </is>
      </c>
      <c r="B5" s="4" t="n">
        <v>120</v>
      </c>
      <c r="C5" t="inlineStr">
        <is>
          <t>horas/implantação em dois meses</t>
        </is>
      </c>
    </row>
    <row r="6">
      <c r="A6" t="inlineStr">
        <is>
          <t>hourly_cost</t>
        </is>
      </c>
      <c r="B6" s="4" t="n">
        <v>150</v>
      </c>
      <c r="C6" t="inlineStr">
        <is>
          <t>R$/hora prestador de entrega</t>
        </is>
      </c>
    </row>
    <row r="7">
      <c r="A7" t="inlineStr">
        <is>
          <t>client_cost</t>
        </is>
      </c>
      <c r="B7" s="4" t="n">
        <v>1500</v>
      </c>
      <c r="C7" t="inlineStr">
        <is>
          <t>R$/cliente/mês: 6h x150 +600 infraestrutura</t>
        </is>
      </c>
    </row>
    <row r="8">
      <c r="A8" t="inlineStr">
        <is>
          <t>live_cost</t>
        </is>
      </c>
      <c r="B8" s="4" t="n">
        <v>1000</v>
      </c>
      <c r="C8" t="inlineStr">
        <is>
          <t>R$/cliente vivo/mês: 4h x150 +400 infraestrutura</t>
        </is>
      </c>
    </row>
    <row r="9">
      <c r="A9" t="inlineStr">
        <is>
          <t>tax_rate</t>
        </is>
      </c>
      <c r="B9" s="5" t="n">
        <v>0.08</v>
      </c>
      <c r="C9" t="inlineStr">
        <is>
          <t>Provisão/faturamento; validar contador</t>
        </is>
      </c>
    </row>
    <row r="10">
      <c r="A10" t="inlineStr">
        <is>
          <t>commission_rate</t>
        </is>
      </c>
      <c r="B10" s="5" t="n">
        <v>0.05</v>
      </c>
      <c r="C10" t="inlineStr">
        <is>
          <t>Reserva comercial/recebimento</t>
        </is>
      </c>
    </row>
    <row r="11">
      <c r="A11" t="inlineStr">
        <is>
          <t>conversion_delay</t>
        </is>
      </c>
      <c r="B11" s="4" t="n">
        <v>2</v>
      </c>
      <c r="C11" t="inlineStr">
        <is>
          <t>Meses do início até assinatura; fórmula usa esta entrada</t>
        </is>
      </c>
    </row>
    <row r="12">
      <c r="A12" t="inlineStr">
        <is>
          <t>receipt_lag</t>
        </is>
      </c>
      <c r="B12" s="4" t="n">
        <v>1</v>
      </c>
      <c r="C12" t="inlineStr">
        <is>
          <t>Meses do faturamento recorrente até recebimento; &gt;=1</t>
        </is>
      </c>
    </row>
    <row r="13">
      <c r="A13" t="inlineStr">
        <is>
          <t>attach_conservative</t>
        </is>
      </c>
      <c r="B13" s="5" t="n">
        <v>0</v>
      </c>
      <c r="C13" t="inlineStr">
        <is>
          <t>Percentual alvo vivo; arredondado para baixo</t>
        </is>
      </c>
    </row>
    <row r="14">
      <c r="A14" t="inlineStr">
        <is>
          <t>attach_base</t>
        </is>
      </c>
      <c r="B14" s="5" t="n">
        <v>0.2</v>
      </c>
      <c r="C14" t="inlineStr">
        <is>
          <t>Percentual alvo vivo; arredondado para baixo</t>
        </is>
      </c>
    </row>
    <row r="15">
      <c r="A15" t="inlineStr">
        <is>
          <t>attach_expansion</t>
        </is>
      </c>
      <c r="B15" s="5" t="n">
        <v>0.4</v>
      </c>
      <c r="C15" t="inlineStr">
        <is>
          <t>Percentual alvo vivo; arredondado para baixo</t>
        </is>
      </c>
    </row>
    <row r="16">
      <c r="A16" t="inlineStr">
        <is>
          <t>live_first_month</t>
        </is>
      </c>
      <c r="B16" s="4" t="n">
        <v>9</v>
      </c>
      <c r="C16" t="inlineStr">
        <is>
          <t>Mês inicial de upgrade vivo</t>
        </is>
      </c>
    </row>
    <row r="17">
      <c r="A17" t="inlineStr">
        <is>
          <t>fixed_1_6</t>
        </is>
      </c>
      <c r="B17" s="4" t="n">
        <v>38000</v>
      </c>
      <c r="C17" t="inlineStr">
        <is>
          <t>R$/mês</t>
        </is>
      </c>
    </row>
    <row r="18">
      <c r="A18" t="inlineStr">
        <is>
          <t>fixed_7_12</t>
        </is>
      </c>
      <c r="B18" s="4" t="n">
        <v>54000</v>
      </c>
      <c r="C18" t="inlineStr">
        <is>
          <t>R$/mês</t>
        </is>
      </c>
    </row>
    <row r="19">
      <c r="A19" t="inlineStr">
        <is>
          <t>fixed_13_24</t>
        </is>
      </c>
      <c r="B19" s="4" t="n">
        <v>66000</v>
      </c>
      <c r="C19" t="inlineStr">
        <is>
          <t>R$/mês</t>
        </is>
      </c>
    </row>
    <row r="20">
      <c r="A20" t="inlineStr">
        <is>
          <t>reserve_rate</t>
        </is>
      </c>
      <c r="B20" s="5" t="n">
        <v>0.15</v>
      </c>
      <c r="C20" t="inlineStr">
        <is>
          <t>Reserva mínima proporcional ao déficit</t>
        </is>
      </c>
    </row>
    <row r="21">
      <c r="A21" t="inlineStr">
        <is>
          <t>reserve_fixed_months</t>
        </is>
      </c>
      <c r="B21" s="4" t="n">
        <v>3</v>
      </c>
      <c r="C21" t="inlineStr">
        <is>
          <t>Meses do fixo máximo</t>
        </is>
      </c>
    </row>
    <row r="22">
      <c r="A22" t="inlineStr">
        <is>
          <t>depreciation_months</t>
        </is>
      </c>
      <c r="B22" s="4" t="n">
        <v>36</v>
      </c>
      <c r="C22" t="inlineStr">
        <is>
          <t>Vida econômica gerencial; sem valor residual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75" customWidth="1" min="5" max="5"/>
  </cols>
  <sheetData>
    <row r="1" ht="32" customHeight="1">
      <c r="A1" s="3" t="inlineStr">
        <is>
          <t>Item</t>
        </is>
      </c>
      <c r="B1" s="3" t="inlineStr">
        <is>
          <t>Quantidade</t>
        </is>
      </c>
      <c r="C1" s="3" t="inlineStr">
        <is>
          <t>Unitário R$</t>
        </is>
      </c>
      <c r="D1" s="3" t="inlineStr">
        <is>
          <t>Total R$</t>
        </is>
      </c>
      <c r="E1" s="3" t="inlineStr">
        <is>
          <t>Classificação / status</t>
        </is>
      </c>
    </row>
    <row r="2">
      <c r="A2" t="inlineStr">
        <is>
          <t>DGX Spark 128GB/4TB</t>
        </is>
      </c>
      <c r="B2" s="4" t="n">
        <v>2</v>
      </c>
      <c r="C2" s="4" t="n">
        <v>65000</v>
      </c>
      <c r="D2" s="6">
        <f>B2*C2</f>
        <v/>
      </c>
      <c r="E2" t="inlineStr">
        <is>
          <t>CAPEX; reserva sem cotação brasileira confirmada</t>
        </is>
      </c>
    </row>
    <row r="3">
      <c r="A3" t="inlineStr">
        <is>
          <t>Nobreak e proteção elétrica</t>
        </is>
      </c>
      <c r="B3" s="4" t="n">
        <v>1</v>
      </c>
      <c r="C3" s="4" t="n">
        <v>6000</v>
      </c>
      <c r="D3" s="6">
        <f>B3*C3</f>
        <v/>
      </c>
      <c r="E3" t="inlineStr">
        <is>
          <t>CAPEX; hipótese</t>
        </is>
      </c>
    </row>
    <row r="4">
      <c r="A4" t="inlineStr">
        <is>
          <t>Rede e segurança de perímetro</t>
        </is>
      </c>
      <c r="B4" s="4" t="n">
        <v>1</v>
      </c>
      <c r="C4" s="4" t="n">
        <v>4000</v>
      </c>
      <c r="D4" s="6">
        <f>B4*C4</f>
        <v/>
      </c>
      <c r="E4" t="inlineStr">
        <is>
          <t>CAPEX; hipótese</t>
        </is>
      </c>
    </row>
    <row r="5">
      <c r="A5" t="inlineStr">
        <is>
          <t>Backup local complementar</t>
        </is>
      </c>
      <c r="B5" s="4" t="n">
        <v>1</v>
      </c>
      <c r="C5" s="4" t="n">
        <v>4000</v>
      </c>
      <c r="D5" s="6">
        <f>B5*C5</f>
        <v/>
      </c>
      <c r="E5" t="inlineStr">
        <is>
          <t>CAPEX; hipótese; cópia externa no OPEX</t>
        </is>
      </c>
    </row>
    <row r="6">
      <c r="A6" t="inlineStr">
        <is>
          <t>Estação/periféricos complementares</t>
        </is>
      </c>
      <c r="B6" s="4" t="n">
        <v>1</v>
      </c>
      <c r="C6" s="4" t="n">
        <v>6000</v>
      </c>
      <c r="D6" s="6">
        <f>B6*C6</f>
        <v/>
      </c>
      <c r="E6" t="inlineStr">
        <is>
          <t>CAPEX; hipótese</t>
        </is>
      </c>
    </row>
    <row r="7">
      <c r="A7" t="inlineStr">
        <is>
          <t>Jurídico, contratos e constituição</t>
        </is>
      </c>
      <c r="B7" s="4" t="n">
        <v>1</v>
      </c>
      <c r="C7" s="4" t="n">
        <v>12000</v>
      </c>
      <c r="D7" s="6">
        <f>B7*C7</f>
        <v/>
      </c>
      <c r="E7" t="inlineStr">
        <is>
          <t>Pré-operação; hipótese</t>
        </is>
      </c>
    </row>
    <row r="8">
      <c r="A8" t="inlineStr">
        <is>
          <t>Revisão inicial de segurança</t>
        </is>
      </c>
      <c r="B8" s="4" t="n">
        <v>1</v>
      </c>
      <c r="C8" s="4" t="n">
        <v>12000</v>
      </c>
      <c r="D8" s="6">
        <f>B8*C8</f>
        <v/>
      </c>
      <c r="E8" t="inlineStr">
        <is>
          <t>Pré-operação; hipótese</t>
        </is>
      </c>
    </row>
    <row r="9">
      <c r="A9" t="inlineStr">
        <is>
          <t>Total hardware</t>
        </is>
      </c>
      <c r="D9" s="6">
        <f>SUM(D2:D6)</f>
        <v/>
      </c>
    </row>
    <row r="10">
      <c r="A10" t="inlineStr">
        <is>
          <t>Total pré-operação</t>
        </is>
      </c>
      <c r="D10" s="6">
        <f>SUM(D7:D8)</f>
        <v/>
      </c>
    </row>
    <row r="11">
      <c r="A11" t="inlineStr">
        <is>
          <t>Desembolso M0</t>
        </is>
      </c>
      <c r="D11" s="6">
        <f>D9+D10</f>
        <v/>
      </c>
    </row>
    <row r="12">
      <c r="A12" t="inlineStr">
        <is>
          <t>Depreciação mensal referência</t>
        </is>
      </c>
      <c r="D12" s="6">
        <f>D9/Premissas!$B$22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2" customHeight="1">
      <c r="A1" s="3" t="inlineStr">
        <is>
          <t>Cenário</t>
        </is>
      </c>
      <c r="B1" s="3" t="inlineStr">
        <is>
          <t>Mês</t>
        </is>
      </c>
      <c r="C1" s="3" t="inlineStr">
        <is>
          <t>Novos projetos pagos</t>
        </is>
      </c>
      <c r="D1" s="3" t="inlineStr">
        <is>
          <t>Destes, convertem em assinatura</t>
        </is>
      </c>
      <c r="E1" s="3" t="inlineStr">
        <is>
          <t>Saídas de assinatura no mês</t>
        </is>
      </c>
    </row>
    <row r="2">
      <c r="A2" t="inlineStr">
        <is>
          <t>Conservador</t>
        </is>
      </c>
      <c r="B2" s="4" t="n">
        <v>1</v>
      </c>
      <c r="C2" s="4" t="n">
        <v>0</v>
      </c>
      <c r="D2" s="4" t="n">
        <v>0</v>
      </c>
      <c r="E2" s="4" t="n">
        <v>0</v>
      </c>
    </row>
    <row r="3">
      <c r="A3" t="inlineStr">
        <is>
          <t>Conservador</t>
        </is>
      </c>
      <c r="B3" s="4" t="n">
        <v>2</v>
      </c>
      <c r="C3" s="4" t="n">
        <v>0</v>
      </c>
      <c r="D3" s="4" t="n">
        <v>0</v>
      </c>
      <c r="E3" s="4" t="n">
        <v>0</v>
      </c>
    </row>
    <row r="4">
      <c r="A4" t="inlineStr">
        <is>
          <t>Conservador</t>
        </is>
      </c>
      <c r="B4" s="4" t="n">
        <v>3</v>
      </c>
      <c r="C4" s="4" t="n">
        <v>0</v>
      </c>
      <c r="D4" s="4" t="n">
        <v>0</v>
      </c>
      <c r="E4" s="4" t="n">
        <v>0</v>
      </c>
    </row>
    <row r="5">
      <c r="A5" t="inlineStr">
        <is>
          <t>Conservador</t>
        </is>
      </c>
      <c r="B5" s="4" t="n">
        <v>4</v>
      </c>
      <c r="C5" s="4" t="n">
        <v>0</v>
      </c>
      <c r="D5" s="4" t="n">
        <v>0</v>
      </c>
      <c r="E5" s="4" t="n">
        <v>0</v>
      </c>
    </row>
    <row r="6">
      <c r="A6" t="inlineStr">
        <is>
          <t>Conservador</t>
        </is>
      </c>
      <c r="B6" s="4" t="n">
        <v>5</v>
      </c>
      <c r="C6" s="4" t="n">
        <v>0</v>
      </c>
      <c r="D6" s="4" t="n">
        <v>0</v>
      </c>
      <c r="E6" s="4" t="n">
        <v>0</v>
      </c>
    </row>
    <row r="7">
      <c r="A7" t="inlineStr">
        <is>
          <t>Conservador</t>
        </is>
      </c>
      <c r="B7" s="4" t="n">
        <v>6</v>
      </c>
      <c r="C7" s="4" t="n">
        <v>1</v>
      </c>
      <c r="D7" s="4" t="n">
        <v>1</v>
      </c>
      <c r="E7" s="4" t="n">
        <v>0</v>
      </c>
    </row>
    <row r="8">
      <c r="A8" t="inlineStr">
        <is>
          <t>Conservador</t>
        </is>
      </c>
      <c r="B8" s="4" t="n">
        <v>7</v>
      </c>
      <c r="C8" s="4" t="n">
        <v>0</v>
      </c>
      <c r="D8" s="4" t="n">
        <v>0</v>
      </c>
      <c r="E8" s="4" t="n">
        <v>0</v>
      </c>
    </row>
    <row r="9">
      <c r="A9" t="inlineStr">
        <is>
          <t>Conservador</t>
        </is>
      </c>
      <c r="B9" s="4" t="n">
        <v>8</v>
      </c>
      <c r="C9" s="4" t="n">
        <v>0</v>
      </c>
      <c r="D9" s="4" t="n">
        <v>0</v>
      </c>
      <c r="E9" s="4" t="n">
        <v>0</v>
      </c>
    </row>
    <row r="10">
      <c r="A10" t="inlineStr">
        <is>
          <t>Conservador</t>
        </is>
      </c>
      <c r="B10" s="4" t="n">
        <v>9</v>
      </c>
      <c r="C10" s="4" t="n">
        <v>0</v>
      </c>
      <c r="D10" s="4" t="n">
        <v>0</v>
      </c>
      <c r="E10" s="4" t="n">
        <v>0</v>
      </c>
    </row>
    <row r="11">
      <c r="A11" t="inlineStr">
        <is>
          <t>Conservador</t>
        </is>
      </c>
      <c r="B11" s="4" t="n">
        <v>10</v>
      </c>
      <c r="C11" s="4" t="n">
        <v>1</v>
      </c>
      <c r="D11" s="4" t="n">
        <v>0</v>
      </c>
      <c r="E11" s="4" t="n">
        <v>0</v>
      </c>
    </row>
    <row r="12">
      <c r="A12" t="inlineStr">
        <is>
          <t>Conservador</t>
        </is>
      </c>
      <c r="B12" s="4" t="n">
        <v>11</v>
      </c>
      <c r="C12" s="4" t="n">
        <v>0</v>
      </c>
      <c r="D12" s="4" t="n">
        <v>0</v>
      </c>
      <c r="E12" s="4" t="n">
        <v>0</v>
      </c>
    </row>
    <row r="13">
      <c r="A13" t="inlineStr">
        <is>
          <t>Conservador</t>
        </is>
      </c>
      <c r="B13" s="4" t="n">
        <v>12</v>
      </c>
      <c r="C13" s="4" t="n">
        <v>0</v>
      </c>
      <c r="D13" s="4" t="n">
        <v>0</v>
      </c>
      <c r="E13" s="4" t="n">
        <v>0</v>
      </c>
    </row>
    <row r="14">
      <c r="A14" t="inlineStr">
        <is>
          <t>Conservador</t>
        </is>
      </c>
      <c r="B14" s="4" t="n">
        <v>13</v>
      </c>
      <c r="C14" s="4" t="n">
        <v>0</v>
      </c>
      <c r="D14" s="4" t="n">
        <v>0</v>
      </c>
      <c r="E14" s="4" t="n">
        <v>0</v>
      </c>
    </row>
    <row r="15">
      <c r="A15" t="inlineStr">
        <is>
          <t>Conservador</t>
        </is>
      </c>
      <c r="B15" s="4" t="n">
        <v>14</v>
      </c>
      <c r="C15" s="4" t="n">
        <v>1</v>
      </c>
      <c r="D15" s="4" t="n">
        <v>1</v>
      </c>
      <c r="E15" s="4" t="n">
        <v>0</v>
      </c>
    </row>
    <row r="16">
      <c r="A16" t="inlineStr">
        <is>
          <t>Conservador</t>
        </is>
      </c>
      <c r="B16" s="4" t="n">
        <v>15</v>
      </c>
      <c r="C16" s="4" t="n">
        <v>0</v>
      </c>
      <c r="D16" s="4" t="n">
        <v>0</v>
      </c>
      <c r="E16" s="4" t="n">
        <v>0</v>
      </c>
    </row>
    <row r="17">
      <c r="A17" t="inlineStr">
        <is>
          <t>Conservador</t>
        </is>
      </c>
      <c r="B17" s="4" t="n">
        <v>16</v>
      </c>
      <c r="C17" s="4" t="n">
        <v>0</v>
      </c>
      <c r="D17" s="4" t="n">
        <v>0</v>
      </c>
      <c r="E17" s="4" t="n">
        <v>0</v>
      </c>
    </row>
    <row r="18">
      <c r="A18" t="inlineStr">
        <is>
          <t>Conservador</t>
        </is>
      </c>
      <c r="B18" s="4" t="n">
        <v>17</v>
      </c>
      <c r="C18" s="4" t="n">
        <v>0</v>
      </c>
      <c r="D18" s="4" t="n">
        <v>0</v>
      </c>
      <c r="E18" s="4" t="n">
        <v>0</v>
      </c>
    </row>
    <row r="19">
      <c r="A19" t="inlineStr">
        <is>
          <t>Conservador</t>
        </is>
      </c>
      <c r="B19" s="4" t="n">
        <v>18</v>
      </c>
      <c r="C19" s="4" t="n">
        <v>1</v>
      </c>
      <c r="D19" s="4" t="n">
        <v>0</v>
      </c>
      <c r="E19" s="4" t="n">
        <v>1</v>
      </c>
    </row>
    <row r="20">
      <c r="A20" t="inlineStr">
        <is>
          <t>Conservador</t>
        </is>
      </c>
      <c r="B20" s="4" t="n">
        <v>19</v>
      </c>
      <c r="C20" s="4" t="n">
        <v>0</v>
      </c>
      <c r="D20" s="4" t="n">
        <v>0</v>
      </c>
      <c r="E20" s="4" t="n">
        <v>0</v>
      </c>
    </row>
    <row r="21">
      <c r="A21" t="inlineStr">
        <is>
          <t>Conservador</t>
        </is>
      </c>
      <c r="B21" s="4" t="n">
        <v>20</v>
      </c>
      <c r="C21" s="4" t="n">
        <v>0</v>
      </c>
      <c r="D21" s="4" t="n">
        <v>0</v>
      </c>
      <c r="E21" s="4" t="n">
        <v>0</v>
      </c>
    </row>
    <row r="22">
      <c r="A22" t="inlineStr">
        <is>
          <t>Conservador</t>
        </is>
      </c>
      <c r="B22" s="4" t="n">
        <v>21</v>
      </c>
      <c r="C22" s="4" t="n">
        <v>0</v>
      </c>
      <c r="D22" s="4" t="n">
        <v>0</v>
      </c>
      <c r="E22" s="4" t="n">
        <v>0</v>
      </c>
    </row>
    <row r="23">
      <c r="A23" t="inlineStr">
        <is>
          <t>Conservador</t>
        </is>
      </c>
      <c r="B23" s="4" t="n">
        <v>22</v>
      </c>
      <c r="C23" s="4" t="n">
        <v>1</v>
      </c>
      <c r="D23" s="4" t="n">
        <v>1</v>
      </c>
      <c r="E23" s="4" t="n">
        <v>0</v>
      </c>
    </row>
    <row r="24">
      <c r="A24" t="inlineStr">
        <is>
          <t>Conservador</t>
        </is>
      </c>
      <c r="B24" s="4" t="n">
        <v>23</v>
      </c>
      <c r="C24" s="4" t="n">
        <v>0</v>
      </c>
      <c r="D24" s="4" t="n">
        <v>0</v>
      </c>
      <c r="E24" s="4" t="n">
        <v>0</v>
      </c>
    </row>
    <row r="25">
      <c r="A25" t="inlineStr">
        <is>
          <t>Conservador</t>
        </is>
      </c>
      <c r="B25" s="4" t="n">
        <v>24</v>
      </c>
      <c r="C25" s="4" t="n">
        <v>0</v>
      </c>
      <c r="D25" s="4" t="n">
        <v>0</v>
      </c>
      <c r="E25" s="4" t="n">
        <v>0</v>
      </c>
    </row>
    <row r="26">
      <c r="A26" t="inlineStr">
        <is>
          <t>Base</t>
        </is>
      </c>
      <c r="B26" s="4" t="n">
        <v>1</v>
      </c>
      <c r="C26" s="4" t="n">
        <v>0</v>
      </c>
      <c r="D26" s="4" t="n">
        <v>0</v>
      </c>
      <c r="E26" s="4" t="n">
        <v>0</v>
      </c>
    </row>
    <row r="27">
      <c r="A27" t="inlineStr">
        <is>
          <t>Base</t>
        </is>
      </c>
      <c r="B27" s="4" t="n">
        <v>2</v>
      </c>
      <c r="C27" s="4" t="n">
        <v>0</v>
      </c>
      <c r="D27" s="4" t="n">
        <v>0</v>
      </c>
      <c r="E27" s="4" t="n">
        <v>0</v>
      </c>
    </row>
    <row r="28">
      <c r="A28" t="inlineStr">
        <is>
          <t>Base</t>
        </is>
      </c>
      <c r="B28" s="4" t="n">
        <v>3</v>
      </c>
      <c r="C28" s="4" t="n">
        <v>0</v>
      </c>
      <c r="D28" s="4" t="n">
        <v>0</v>
      </c>
      <c r="E28" s="4" t="n">
        <v>0</v>
      </c>
    </row>
    <row r="29">
      <c r="A29" t="inlineStr">
        <is>
          <t>Base</t>
        </is>
      </c>
      <c r="B29" s="4" t="n">
        <v>4</v>
      </c>
      <c r="C29" s="4" t="n">
        <v>1</v>
      </c>
      <c r="D29" s="4" t="n">
        <v>1</v>
      </c>
      <c r="E29" s="4" t="n">
        <v>0</v>
      </c>
    </row>
    <row r="30">
      <c r="A30" t="inlineStr">
        <is>
          <t>Base</t>
        </is>
      </c>
      <c r="B30" s="4" t="n">
        <v>5</v>
      </c>
      <c r="C30" s="4" t="n">
        <v>1</v>
      </c>
      <c r="D30" s="4" t="n">
        <v>1</v>
      </c>
      <c r="E30" s="4" t="n">
        <v>0</v>
      </c>
    </row>
    <row r="31">
      <c r="A31" t="inlineStr">
        <is>
          <t>Base</t>
        </is>
      </c>
      <c r="B31" s="4" t="n">
        <v>6</v>
      </c>
      <c r="C31" s="4" t="n">
        <v>0</v>
      </c>
      <c r="D31" s="4" t="n">
        <v>0</v>
      </c>
      <c r="E31" s="4" t="n">
        <v>0</v>
      </c>
    </row>
    <row r="32">
      <c r="A32" t="inlineStr">
        <is>
          <t>Base</t>
        </is>
      </c>
      <c r="B32" s="4" t="n">
        <v>7</v>
      </c>
      <c r="C32" s="4" t="n">
        <v>1</v>
      </c>
      <c r="D32" s="4" t="n">
        <v>0</v>
      </c>
      <c r="E32" s="4" t="n">
        <v>0</v>
      </c>
    </row>
    <row r="33">
      <c r="A33" t="inlineStr">
        <is>
          <t>Base</t>
        </is>
      </c>
      <c r="B33" s="4" t="n">
        <v>8</v>
      </c>
      <c r="C33" s="4" t="n">
        <v>1</v>
      </c>
      <c r="D33" s="4" t="n">
        <v>1</v>
      </c>
      <c r="E33" s="4" t="n">
        <v>0</v>
      </c>
    </row>
    <row r="34">
      <c r="A34" t="inlineStr">
        <is>
          <t>Base</t>
        </is>
      </c>
      <c r="B34" s="4" t="n">
        <v>9</v>
      </c>
      <c r="C34" s="4" t="n">
        <v>0</v>
      </c>
      <c r="D34" s="4" t="n">
        <v>0</v>
      </c>
      <c r="E34" s="4" t="n">
        <v>0</v>
      </c>
    </row>
    <row r="35">
      <c r="A35" t="inlineStr">
        <is>
          <t>Base</t>
        </is>
      </c>
      <c r="B35" s="4" t="n">
        <v>10</v>
      </c>
      <c r="C35" s="4" t="n">
        <v>1</v>
      </c>
      <c r="D35" s="4" t="n">
        <v>1</v>
      </c>
      <c r="E35" s="4" t="n">
        <v>0</v>
      </c>
    </row>
    <row r="36">
      <c r="A36" t="inlineStr">
        <is>
          <t>Base</t>
        </is>
      </c>
      <c r="B36" s="4" t="n">
        <v>11</v>
      </c>
      <c r="C36" s="4" t="n">
        <v>1</v>
      </c>
      <c r="D36" s="4" t="n">
        <v>1</v>
      </c>
      <c r="E36" s="4" t="n">
        <v>0</v>
      </c>
    </row>
    <row r="37">
      <c r="A37" t="inlineStr">
        <is>
          <t>Base</t>
        </is>
      </c>
      <c r="B37" s="4" t="n">
        <v>12</v>
      </c>
      <c r="C37" s="4" t="n">
        <v>0</v>
      </c>
      <c r="D37" s="4" t="n">
        <v>0</v>
      </c>
      <c r="E37" s="4" t="n">
        <v>0</v>
      </c>
    </row>
    <row r="38">
      <c r="A38" t="inlineStr">
        <is>
          <t>Base</t>
        </is>
      </c>
      <c r="B38" s="4" t="n">
        <v>13</v>
      </c>
      <c r="C38" s="4" t="n">
        <v>1</v>
      </c>
      <c r="D38" s="4" t="n">
        <v>1</v>
      </c>
      <c r="E38" s="4" t="n">
        <v>0</v>
      </c>
    </row>
    <row r="39">
      <c r="A39" t="inlineStr">
        <is>
          <t>Base</t>
        </is>
      </c>
      <c r="B39" s="4" t="n">
        <v>14</v>
      </c>
      <c r="C39" s="4" t="n">
        <v>1</v>
      </c>
      <c r="D39" s="4" t="n">
        <v>1</v>
      </c>
      <c r="E39" s="4" t="n">
        <v>0</v>
      </c>
    </row>
    <row r="40">
      <c r="A40" t="inlineStr">
        <is>
          <t>Base</t>
        </is>
      </c>
      <c r="B40" s="4" t="n">
        <v>15</v>
      </c>
      <c r="C40" s="4" t="n">
        <v>1</v>
      </c>
      <c r="D40" s="4" t="n">
        <v>1</v>
      </c>
      <c r="E40" s="4" t="n">
        <v>0</v>
      </c>
    </row>
    <row r="41">
      <c r="A41" t="inlineStr">
        <is>
          <t>Base</t>
        </is>
      </c>
      <c r="B41" s="4" t="n">
        <v>16</v>
      </c>
      <c r="C41" s="4" t="n">
        <v>1</v>
      </c>
      <c r="D41" s="4" t="n">
        <v>1</v>
      </c>
      <c r="E41" s="4" t="n">
        <v>0</v>
      </c>
    </row>
    <row r="42">
      <c r="A42" t="inlineStr">
        <is>
          <t>Base</t>
        </is>
      </c>
      <c r="B42" s="4" t="n">
        <v>17</v>
      </c>
      <c r="C42" s="4" t="n">
        <v>1</v>
      </c>
      <c r="D42" s="4" t="n">
        <v>1</v>
      </c>
      <c r="E42" s="4" t="n">
        <v>0</v>
      </c>
    </row>
    <row r="43">
      <c r="A43" t="inlineStr">
        <is>
          <t>Base</t>
        </is>
      </c>
      <c r="B43" s="4" t="n">
        <v>18</v>
      </c>
      <c r="C43" s="4" t="n">
        <v>1</v>
      </c>
      <c r="D43" s="4" t="n">
        <v>1</v>
      </c>
      <c r="E43" s="4" t="n">
        <v>1</v>
      </c>
    </row>
    <row r="44">
      <c r="A44" t="inlineStr">
        <is>
          <t>Base</t>
        </is>
      </c>
      <c r="B44" s="4" t="n">
        <v>19</v>
      </c>
      <c r="C44" s="4" t="n">
        <v>0</v>
      </c>
      <c r="D44" s="4" t="n">
        <v>0</v>
      </c>
      <c r="E44" s="4" t="n">
        <v>0</v>
      </c>
    </row>
    <row r="45">
      <c r="A45" t="inlineStr">
        <is>
          <t>Base</t>
        </is>
      </c>
      <c r="B45" s="4" t="n">
        <v>20</v>
      </c>
      <c r="C45" s="4" t="n">
        <v>1</v>
      </c>
      <c r="D45" s="4" t="n">
        <v>1</v>
      </c>
      <c r="E45" s="4" t="n">
        <v>0</v>
      </c>
    </row>
    <row r="46">
      <c r="A46" t="inlineStr">
        <is>
          <t>Base</t>
        </is>
      </c>
      <c r="B46" s="4" t="n">
        <v>21</v>
      </c>
      <c r="C46" s="4" t="n">
        <v>1</v>
      </c>
      <c r="D46" s="4" t="n">
        <v>1</v>
      </c>
      <c r="E46" s="4" t="n">
        <v>0</v>
      </c>
    </row>
    <row r="47">
      <c r="A47" t="inlineStr">
        <is>
          <t>Base</t>
        </is>
      </c>
      <c r="B47" s="4" t="n">
        <v>22</v>
      </c>
      <c r="C47" s="4" t="n">
        <v>1</v>
      </c>
      <c r="D47" s="4" t="n">
        <v>1</v>
      </c>
      <c r="E47" s="4" t="n">
        <v>0</v>
      </c>
    </row>
    <row r="48">
      <c r="A48" t="inlineStr">
        <is>
          <t>Base</t>
        </is>
      </c>
      <c r="B48" s="4" t="n">
        <v>23</v>
      </c>
      <c r="C48" s="4" t="n">
        <v>0</v>
      </c>
      <c r="D48" s="4" t="n">
        <v>0</v>
      </c>
      <c r="E48" s="4" t="n">
        <v>1</v>
      </c>
    </row>
    <row r="49">
      <c r="A49" t="inlineStr">
        <is>
          <t>Base</t>
        </is>
      </c>
      <c r="B49" s="4" t="n">
        <v>24</v>
      </c>
      <c r="C49" s="4" t="n">
        <v>0</v>
      </c>
      <c r="D49" s="4" t="n">
        <v>0</v>
      </c>
      <c r="E49" s="4" t="n">
        <v>0</v>
      </c>
    </row>
    <row r="50">
      <c r="A50" t="inlineStr">
        <is>
          <t>Expansao</t>
        </is>
      </c>
      <c r="B50" s="4" t="n">
        <v>1</v>
      </c>
      <c r="C50" s="4" t="n">
        <v>0</v>
      </c>
      <c r="D50" s="4" t="n">
        <v>0</v>
      </c>
      <c r="E50" s="4" t="n">
        <v>0</v>
      </c>
    </row>
    <row r="51">
      <c r="A51" t="inlineStr">
        <is>
          <t>Expansao</t>
        </is>
      </c>
      <c r="B51" s="4" t="n">
        <v>2</v>
      </c>
      <c r="C51" s="4" t="n">
        <v>0</v>
      </c>
      <c r="D51" s="4" t="n">
        <v>0</v>
      </c>
      <c r="E51" s="4" t="n">
        <v>0</v>
      </c>
    </row>
    <row r="52">
      <c r="A52" t="inlineStr">
        <is>
          <t>Expansao</t>
        </is>
      </c>
      <c r="B52" s="4" t="n">
        <v>3</v>
      </c>
      <c r="C52" s="4" t="n">
        <v>0</v>
      </c>
      <c r="D52" s="4" t="n">
        <v>0</v>
      </c>
      <c r="E52" s="4" t="n">
        <v>0</v>
      </c>
    </row>
    <row r="53">
      <c r="A53" t="inlineStr">
        <is>
          <t>Expansao</t>
        </is>
      </c>
      <c r="B53" s="4" t="n">
        <v>4</v>
      </c>
      <c r="C53" s="4" t="n">
        <v>1</v>
      </c>
      <c r="D53" s="4" t="n">
        <v>1</v>
      </c>
      <c r="E53" s="4" t="n">
        <v>0</v>
      </c>
    </row>
    <row r="54">
      <c r="A54" t="inlineStr">
        <is>
          <t>Expansao</t>
        </is>
      </c>
      <c r="B54" s="4" t="n">
        <v>5</v>
      </c>
      <c r="C54" s="4" t="n">
        <v>1</v>
      </c>
      <c r="D54" s="4" t="n">
        <v>1</v>
      </c>
      <c r="E54" s="4" t="n">
        <v>0</v>
      </c>
    </row>
    <row r="55">
      <c r="A55" t="inlineStr">
        <is>
          <t>Expansao</t>
        </is>
      </c>
      <c r="B55" s="4" t="n">
        <v>6</v>
      </c>
      <c r="C55" s="4" t="n">
        <v>1</v>
      </c>
      <c r="D55" s="4" t="n">
        <v>0</v>
      </c>
      <c r="E55" s="4" t="n">
        <v>0</v>
      </c>
    </row>
    <row r="56">
      <c r="A56" t="inlineStr">
        <is>
          <t>Expansao</t>
        </is>
      </c>
      <c r="B56" s="4" t="n">
        <v>7</v>
      </c>
      <c r="C56" s="4" t="n">
        <v>1</v>
      </c>
      <c r="D56" s="4" t="n">
        <v>1</v>
      </c>
      <c r="E56" s="4" t="n">
        <v>0</v>
      </c>
    </row>
    <row r="57">
      <c r="A57" t="inlineStr">
        <is>
          <t>Expansao</t>
        </is>
      </c>
      <c r="B57" s="4" t="n">
        <v>8</v>
      </c>
      <c r="C57" s="4" t="n">
        <v>1</v>
      </c>
      <c r="D57" s="4" t="n">
        <v>1</v>
      </c>
      <c r="E57" s="4" t="n">
        <v>0</v>
      </c>
    </row>
    <row r="58">
      <c r="A58" t="inlineStr">
        <is>
          <t>Expansao</t>
        </is>
      </c>
      <c r="B58" s="4" t="n">
        <v>9</v>
      </c>
      <c r="C58" s="4" t="n">
        <v>1</v>
      </c>
      <c r="D58" s="4" t="n">
        <v>1</v>
      </c>
      <c r="E58" s="4" t="n">
        <v>0</v>
      </c>
    </row>
    <row r="59">
      <c r="A59" t="inlineStr">
        <is>
          <t>Expansao</t>
        </is>
      </c>
      <c r="B59" s="4" t="n">
        <v>10</v>
      </c>
      <c r="C59" s="4" t="n">
        <v>1</v>
      </c>
      <c r="D59" s="4" t="n">
        <v>1</v>
      </c>
      <c r="E59" s="4" t="n">
        <v>0</v>
      </c>
    </row>
    <row r="60">
      <c r="A60" t="inlineStr">
        <is>
          <t>Expansao</t>
        </is>
      </c>
      <c r="B60" s="4" t="n">
        <v>11</v>
      </c>
      <c r="C60" s="4" t="n">
        <v>1</v>
      </c>
      <c r="D60" s="4" t="n">
        <v>1</v>
      </c>
      <c r="E60" s="4" t="n">
        <v>0</v>
      </c>
    </row>
    <row r="61">
      <c r="A61" t="inlineStr">
        <is>
          <t>Expansao</t>
        </is>
      </c>
      <c r="B61" s="4" t="n">
        <v>12</v>
      </c>
      <c r="C61" s="4" t="n">
        <v>1</v>
      </c>
      <c r="D61" s="4" t="n">
        <v>1</v>
      </c>
      <c r="E61" s="4" t="n">
        <v>0</v>
      </c>
    </row>
    <row r="62">
      <c r="A62" t="inlineStr">
        <is>
          <t>Expansao</t>
        </is>
      </c>
      <c r="B62" s="4" t="n">
        <v>13</v>
      </c>
      <c r="C62" s="4" t="n">
        <v>1</v>
      </c>
      <c r="D62" s="4" t="n">
        <v>1</v>
      </c>
      <c r="E62" s="4" t="n">
        <v>0</v>
      </c>
    </row>
    <row r="63">
      <c r="A63" t="inlineStr">
        <is>
          <t>Expansao</t>
        </is>
      </c>
      <c r="B63" s="4" t="n">
        <v>14</v>
      </c>
      <c r="C63" s="4" t="n">
        <v>1</v>
      </c>
      <c r="D63" s="4" t="n">
        <v>0</v>
      </c>
      <c r="E63" s="4" t="n">
        <v>0</v>
      </c>
    </row>
    <row r="64">
      <c r="A64" t="inlineStr">
        <is>
          <t>Expansao</t>
        </is>
      </c>
      <c r="B64" s="4" t="n">
        <v>15</v>
      </c>
      <c r="C64" s="4" t="n">
        <v>1</v>
      </c>
      <c r="D64" s="4" t="n">
        <v>1</v>
      </c>
      <c r="E64" s="4" t="n">
        <v>0</v>
      </c>
    </row>
    <row r="65">
      <c r="A65" t="inlineStr">
        <is>
          <t>Expansao</t>
        </is>
      </c>
      <c r="B65" s="4" t="n">
        <v>16</v>
      </c>
      <c r="C65" s="4" t="n">
        <v>1</v>
      </c>
      <c r="D65" s="4" t="n">
        <v>1</v>
      </c>
      <c r="E65" s="4" t="n">
        <v>0</v>
      </c>
    </row>
    <row r="66">
      <c r="A66" t="inlineStr">
        <is>
          <t>Expansao</t>
        </is>
      </c>
      <c r="B66" s="4" t="n">
        <v>17</v>
      </c>
      <c r="C66" s="4" t="n">
        <v>1</v>
      </c>
      <c r="D66" s="4" t="n">
        <v>1</v>
      </c>
      <c r="E66" s="4" t="n">
        <v>0</v>
      </c>
    </row>
    <row r="67">
      <c r="A67" t="inlineStr">
        <is>
          <t>Expansao</t>
        </is>
      </c>
      <c r="B67" s="4" t="n">
        <v>18</v>
      </c>
      <c r="C67" s="4" t="n">
        <v>1</v>
      </c>
      <c r="D67" s="4" t="n">
        <v>1</v>
      </c>
      <c r="E67" s="4" t="n">
        <v>0</v>
      </c>
    </row>
    <row r="68">
      <c r="A68" t="inlineStr">
        <is>
          <t>Expansao</t>
        </is>
      </c>
      <c r="B68" s="4" t="n">
        <v>19</v>
      </c>
      <c r="C68" s="4" t="n">
        <v>1</v>
      </c>
      <c r="D68" s="4" t="n">
        <v>1</v>
      </c>
      <c r="E68" s="4" t="n">
        <v>0</v>
      </c>
    </row>
    <row r="69">
      <c r="A69" t="inlineStr">
        <is>
          <t>Expansao</t>
        </is>
      </c>
      <c r="B69" s="4" t="n">
        <v>20</v>
      </c>
      <c r="C69" s="4" t="n">
        <v>1</v>
      </c>
      <c r="D69" s="4" t="n">
        <v>1</v>
      </c>
      <c r="E69" s="4" t="n">
        <v>1</v>
      </c>
    </row>
    <row r="70">
      <c r="A70" t="inlineStr">
        <is>
          <t>Expansao</t>
        </is>
      </c>
      <c r="B70" s="4" t="n">
        <v>21</v>
      </c>
      <c r="C70" s="4" t="n">
        <v>1</v>
      </c>
      <c r="D70" s="4" t="n">
        <v>1</v>
      </c>
      <c r="E70" s="4" t="n">
        <v>0</v>
      </c>
    </row>
    <row r="71">
      <c r="A71" t="inlineStr">
        <is>
          <t>Expansao</t>
        </is>
      </c>
      <c r="B71" s="4" t="n">
        <v>22</v>
      </c>
      <c r="C71" s="4" t="n">
        <v>1</v>
      </c>
      <c r="D71" s="4" t="n">
        <v>1</v>
      </c>
      <c r="E71" s="4" t="n">
        <v>0</v>
      </c>
    </row>
    <row r="72">
      <c r="A72" t="inlineStr">
        <is>
          <t>Expansao</t>
        </is>
      </c>
      <c r="B72" s="4" t="n">
        <v>23</v>
      </c>
      <c r="C72" s="4" t="n">
        <v>1</v>
      </c>
      <c r="D72" s="4" t="n">
        <v>1</v>
      </c>
      <c r="E72" s="4" t="n">
        <v>0</v>
      </c>
    </row>
    <row r="73">
      <c r="A73" t="inlineStr">
        <is>
          <t>Expansao</t>
        </is>
      </c>
      <c r="B73" s="4" t="n">
        <v>24</v>
      </c>
      <c r="C73" s="4" t="n">
        <v>1</v>
      </c>
      <c r="D73" s="4" t="n">
        <v>1</v>
      </c>
      <c r="E73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xSplit="7" ySplit="2" topLeftCell="H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 ht="32" customHeight="1">
      <c r="A1" s="3" t="inlineStr">
        <is>
          <t>Mês</t>
        </is>
      </c>
      <c r="B1" s="3" t="inlineStr">
        <is>
          <t>Projetos novos</t>
        </is>
      </c>
      <c r="C1" s="3" t="inlineStr">
        <is>
          <t>Assinaturas novas</t>
        </is>
      </c>
      <c r="D1" s="3" t="inlineStr">
        <is>
          <t>Saídas</t>
        </is>
      </c>
      <c r="E1" s="3" t="inlineStr">
        <is>
          <t>Clientes ativos</t>
        </is>
      </c>
      <c r="F1" s="3" t="inlineStr">
        <is>
          <t>Clientes vivos</t>
        </is>
      </c>
      <c r="G1" s="3" t="inlineStr">
        <is>
          <t>Projetos em entrega</t>
        </is>
      </c>
      <c r="H1" s="3" t="inlineStr">
        <is>
          <t>Fat. implantação</t>
        </is>
      </c>
      <c r="I1" s="3" t="inlineStr">
        <is>
          <t>Fat. recorrente/MRR</t>
        </is>
      </c>
      <c r="J1" s="3" t="inlineStr">
        <is>
          <t>Faturamento total</t>
        </is>
      </c>
      <c r="K1" s="3" t="inlineStr">
        <is>
          <t>Receb. recorrente</t>
        </is>
      </c>
      <c r="L1" s="3" t="inlineStr">
        <is>
          <t>Recebimentos totais</t>
        </is>
      </c>
      <c r="M1" s="3" t="inlineStr">
        <is>
          <t>Fixo</t>
        </is>
      </c>
      <c r="N1" s="3" t="inlineStr">
        <is>
          <t>Custo implantação</t>
        </is>
      </c>
      <c r="O1" s="3" t="inlineStr">
        <is>
          <t>Custo recorrente</t>
        </is>
      </c>
      <c r="P1" s="3" t="inlineStr">
        <is>
          <t>Provisão tributos</t>
        </is>
      </c>
      <c r="Q1" s="3" t="inlineStr">
        <is>
          <t>Reserva comercial</t>
        </is>
      </c>
      <c r="R1" s="3" t="inlineStr">
        <is>
          <t>Saídas totais</t>
        </is>
      </c>
      <c r="S1" s="3" t="inlineStr">
        <is>
          <t>Caixa do mês</t>
        </is>
      </c>
      <c r="T1" s="3" t="inlineStr">
        <is>
          <t>Acumulado sem aporte</t>
        </is>
      </c>
      <c r="U1" s="3" t="inlineStr">
        <is>
          <t>Resultado recorrente</t>
        </is>
      </c>
      <c r="V1" s="3" t="inlineStr">
        <is>
          <t>Horas implantação</t>
        </is>
      </c>
      <c r="W1" s="3" t="inlineStr">
        <is>
          <t>Horas curadoria</t>
        </is>
      </c>
      <c r="X1" s="3" t="inlineStr">
        <is>
          <t>Contas a receber recorrente</t>
        </is>
      </c>
    </row>
    <row r="2">
      <c r="A2" s="7" t="n">
        <v>0</v>
      </c>
      <c r="B2" s="7" t="n">
        <v>0</v>
      </c>
      <c r="C2" s="7" t="n">
        <v>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6">
        <f>Capex!D11</f>
        <v/>
      </c>
      <c r="S2" s="6">
        <f>-R2</f>
        <v/>
      </c>
      <c r="T2" s="6">
        <f>S2</f>
        <v/>
      </c>
      <c r="U2" s="7" t="n">
        <v>0</v>
      </c>
      <c r="V2" s="7" t="n">
        <v>0</v>
      </c>
      <c r="W2" s="7" t="n">
        <v>0</v>
      </c>
      <c r="X2" s="7" t="n">
        <v>0</v>
      </c>
    </row>
    <row r="3">
      <c r="A3" s="7" t="n">
        <v>1</v>
      </c>
      <c r="B3" s="6">
        <f>Agenda!C2</f>
        <v/>
      </c>
      <c r="C3" s="6">
        <f>IF(A3&gt;Premissas!$B$11,INDEX(Agenda!$D$2:$D$25,A3-Premissas!$B$11),0)</f>
        <v/>
      </c>
      <c r="D3" s="6">
        <f>Agenda!E2</f>
        <v/>
      </c>
      <c r="E3" s="6">
        <f>E2+C3-D3</f>
        <v/>
      </c>
      <c r="F3" s="6">
        <f>IF(A3&gt;=Premissas!$B$16,ROUNDDOWN(E3*Premissas!$B$13,0),0)</f>
        <v/>
      </c>
      <c r="G3" s="6">
        <f>B3+B2</f>
        <v/>
      </c>
      <c r="H3" s="6">
        <f>G3*Premissas!$B$2/2</f>
        <v/>
      </c>
      <c r="I3" s="6">
        <f>E3*Premissas!$B$3+F3*Premissas!$B$4</f>
        <v/>
      </c>
      <c r="J3" s="6">
        <f>H3+I3</f>
        <v/>
      </c>
      <c r="K3" s="6">
        <f>IF(A3&gt;Premissas!$B$12,INDEX($I$3:$I$26,A3-Premissas!$B$12),0)</f>
        <v/>
      </c>
      <c r="L3" s="6">
        <f>H3+K3</f>
        <v/>
      </c>
      <c r="M3" s="6">
        <f>IF(A3&lt;=6,Premissas!$B$17,IF(A3&lt;=12,Premissas!$B$18,Premissas!$B$19))</f>
        <v/>
      </c>
      <c r="N3" s="6">
        <f>G3*Premissas!$B$5/2*Premissas!$B$6</f>
        <v/>
      </c>
      <c r="O3" s="6">
        <f>E3*Premissas!$B$7+F3*Premissas!$B$8</f>
        <v/>
      </c>
      <c r="P3" s="6">
        <f>J3*Premissas!$B$9</f>
        <v/>
      </c>
      <c r="Q3" s="6">
        <f>L3*Premissas!$B$10</f>
        <v/>
      </c>
      <c r="R3" s="6">
        <f>SUM(M3:Q3)</f>
        <v/>
      </c>
      <c r="S3" s="6">
        <f>L3-R3</f>
        <v/>
      </c>
      <c r="T3" s="6">
        <f>T2+S3</f>
        <v/>
      </c>
      <c r="U3" s="6">
        <f>I3*(1-Premissas!$B$9-Premissas!$B$10)-O3-M3</f>
        <v/>
      </c>
      <c r="V3" s="6">
        <f>G3*Premissas!$B$5/2</f>
        <v/>
      </c>
      <c r="W3" s="6">
        <f>E3*6+F3*4</f>
        <v/>
      </c>
      <c r="X3" s="6">
        <f>X2+I3-K3</f>
        <v/>
      </c>
    </row>
    <row r="4">
      <c r="A4" s="7" t="n">
        <v>2</v>
      </c>
      <c r="B4" s="6">
        <f>Agenda!C3</f>
        <v/>
      </c>
      <c r="C4" s="6">
        <f>IF(A4&gt;Premissas!$B$11,INDEX(Agenda!$D$2:$D$25,A4-Premissas!$B$11),0)</f>
        <v/>
      </c>
      <c r="D4" s="6">
        <f>Agenda!E3</f>
        <v/>
      </c>
      <c r="E4" s="6">
        <f>E3+C4-D4</f>
        <v/>
      </c>
      <c r="F4" s="6">
        <f>IF(A4&gt;=Premissas!$B$16,ROUNDDOWN(E4*Premissas!$B$13,0),0)</f>
        <v/>
      </c>
      <c r="G4" s="6">
        <f>B4+B3</f>
        <v/>
      </c>
      <c r="H4" s="6">
        <f>G4*Premissas!$B$2/2</f>
        <v/>
      </c>
      <c r="I4" s="6">
        <f>E4*Premissas!$B$3+F4*Premissas!$B$4</f>
        <v/>
      </c>
      <c r="J4" s="6">
        <f>H4+I4</f>
        <v/>
      </c>
      <c r="K4" s="6">
        <f>IF(A4&gt;Premissas!$B$12,INDEX($I$3:$I$26,A4-Premissas!$B$12),0)</f>
        <v/>
      </c>
      <c r="L4" s="6">
        <f>H4+K4</f>
        <v/>
      </c>
      <c r="M4" s="6">
        <f>IF(A4&lt;=6,Premissas!$B$17,IF(A4&lt;=12,Premissas!$B$18,Premissas!$B$19))</f>
        <v/>
      </c>
      <c r="N4" s="6">
        <f>G4*Premissas!$B$5/2*Premissas!$B$6</f>
        <v/>
      </c>
      <c r="O4" s="6">
        <f>E4*Premissas!$B$7+F4*Premissas!$B$8</f>
        <v/>
      </c>
      <c r="P4" s="6">
        <f>J4*Premissas!$B$9</f>
        <v/>
      </c>
      <c r="Q4" s="6">
        <f>L4*Premissas!$B$10</f>
        <v/>
      </c>
      <c r="R4" s="6">
        <f>SUM(M4:Q4)</f>
        <v/>
      </c>
      <c r="S4" s="6">
        <f>L4-R4</f>
        <v/>
      </c>
      <c r="T4" s="6">
        <f>T3+S4</f>
        <v/>
      </c>
      <c r="U4" s="6">
        <f>I4*(1-Premissas!$B$9-Premissas!$B$10)-O4-M4</f>
        <v/>
      </c>
      <c r="V4" s="6">
        <f>G4*Premissas!$B$5/2</f>
        <v/>
      </c>
      <c r="W4" s="6">
        <f>E4*6+F4*4</f>
        <v/>
      </c>
      <c r="X4" s="6">
        <f>X3+I4-K4</f>
        <v/>
      </c>
    </row>
    <row r="5">
      <c r="A5" s="7" t="n">
        <v>3</v>
      </c>
      <c r="B5" s="6">
        <f>Agenda!C4</f>
        <v/>
      </c>
      <c r="C5" s="6">
        <f>IF(A5&gt;Premissas!$B$11,INDEX(Agenda!$D$2:$D$25,A5-Premissas!$B$11),0)</f>
        <v/>
      </c>
      <c r="D5" s="6">
        <f>Agenda!E4</f>
        <v/>
      </c>
      <c r="E5" s="6">
        <f>E4+C5-D5</f>
        <v/>
      </c>
      <c r="F5" s="6">
        <f>IF(A5&gt;=Premissas!$B$16,ROUNDDOWN(E5*Premissas!$B$13,0),0)</f>
        <v/>
      </c>
      <c r="G5" s="6">
        <f>B5+B4</f>
        <v/>
      </c>
      <c r="H5" s="6">
        <f>G5*Premissas!$B$2/2</f>
        <v/>
      </c>
      <c r="I5" s="6">
        <f>E5*Premissas!$B$3+F5*Premissas!$B$4</f>
        <v/>
      </c>
      <c r="J5" s="6">
        <f>H5+I5</f>
        <v/>
      </c>
      <c r="K5" s="6">
        <f>IF(A5&gt;Premissas!$B$12,INDEX($I$3:$I$26,A5-Premissas!$B$12),0)</f>
        <v/>
      </c>
      <c r="L5" s="6">
        <f>H5+K5</f>
        <v/>
      </c>
      <c r="M5" s="6">
        <f>IF(A5&lt;=6,Premissas!$B$17,IF(A5&lt;=12,Premissas!$B$18,Premissas!$B$19))</f>
        <v/>
      </c>
      <c r="N5" s="6">
        <f>G5*Premissas!$B$5/2*Premissas!$B$6</f>
        <v/>
      </c>
      <c r="O5" s="6">
        <f>E5*Premissas!$B$7+F5*Premissas!$B$8</f>
        <v/>
      </c>
      <c r="P5" s="6">
        <f>J5*Premissas!$B$9</f>
        <v/>
      </c>
      <c r="Q5" s="6">
        <f>L5*Premissas!$B$10</f>
        <v/>
      </c>
      <c r="R5" s="6">
        <f>SUM(M5:Q5)</f>
        <v/>
      </c>
      <c r="S5" s="6">
        <f>L5-R5</f>
        <v/>
      </c>
      <c r="T5" s="6">
        <f>T4+S5</f>
        <v/>
      </c>
      <c r="U5" s="6">
        <f>I5*(1-Premissas!$B$9-Premissas!$B$10)-O5-M5</f>
        <v/>
      </c>
      <c r="V5" s="6">
        <f>G5*Premissas!$B$5/2</f>
        <v/>
      </c>
      <c r="W5" s="6">
        <f>E5*6+F5*4</f>
        <v/>
      </c>
      <c r="X5" s="6">
        <f>X4+I5-K5</f>
        <v/>
      </c>
    </row>
    <row r="6">
      <c r="A6" s="7" t="n">
        <v>4</v>
      </c>
      <c r="B6" s="6">
        <f>Agenda!C5</f>
        <v/>
      </c>
      <c r="C6" s="6">
        <f>IF(A6&gt;Premissas!$B$11,INDEX(Agenda!$D$2:$D$25,A6-Premissas!$B$11),0)</f>
        <v/>
      </c>
      <c r="D6" s="6">
        <f>Agenda!E5</f>
        <v/>
      </c>
      <c r="E6" s="6">
        <f>E5+C6-D6</f>
        <v/>
      </c>
      <c r="F6" s="6">
        <f>IF(A6&gt;=Premissas!$B$16,ROUNDDOWN(E6*Premissas!$B$13,0),0)</f>
        <v/>
      </c>
      <c r="G6" s="6">
        <f>B6+B5</f>
        <v/>
      </c>
      <c r="H6" s="6">
        <f>G6*Premissas!$B$2/2</f>
        <v/>
      </c>
      <c r="I6" s="6">
        <f>E6*Premissas!$B$3+F6*Premissas!$B$4</f>
        <v/>
      </c>
      <c r="J6" s="6">
        <f>H6+I6</f>
        <v/>
      </c>
      <c r="K6" s="6">
        <f>IF(A6&gt;Premissas!$B$12,INDEX($I$3:$I$26,A6-Premissas!$B$12),0)</f>
        <v/>
      </c>
      <c r="L6" s="6">
        <f>H6+K6</f>
        <v/>
      </c>
      <c r="M6" s="6">
        <f>IF(A6&lt;=6,Premissas!$B$17,IF(A6&lt;=12,Premissas!$B$18,Premissas!$B$19))</f>
        <v/>
      </c>
      <c r="N6" s="6">
        <f>G6*Premissas!$B$5/2*Premissas!$B$6</f>
        <v/>
      </c>
      <c r="O6" s="6">
        <f>E6*Premissas!$B$7+F6*Premissas!$B$8</f>
        <v/>
      </c>
      <c r="P6" s="6">
        <f>J6*Premissas!$B$9</f>
        <v/>
      </c>
      <c r="Q6" s="6">
        <f>L6*Premissas!$B$10</f>
        <v/>
      </c>
      <c r="R6" s="6">
        <f>SUM(M6:Q6)</f>
        <v/>
      </c>
      <c r="S6" s="6">
        <f>L6-R6</f>
        <v/>
      </c>
      <c r="T6" s="6">
        <f>T5+S6</f>
        <v/>
      </c>
      <c r="U6" s="6">
        <f>I6*(1-Premissas!$B$9-Premissas!$B$10)-O6-M6</f>
        <v/>
      </c>
      <c r="V6" s="6">
        <f>G6*Premissas!$B$5/2</f>
        <v/>
      </c>
      <c r="W6" s="6">
        <f>E6*6+F6*4</f>
        <v/>
      </c>
      <c r="X6" s="6">
        <f>X5+I6-K6</f>
        <v/>
      </c>
    </row>
    <row r="7">
      <c r="A7" s="7" t="n">
        <v>5</v>
      </c>
      <c r="B7" s="6">
        <f>Agenda!C6</f>
        <v/>
      </c>
      <c r="C7" s="6">
        <f>IF(A7&gt;Premissas!$B$11,INDEX(Agenda!$D$2:$D$25,A7-Premissas!$B$11),0)</f>
        <v/>
      </c>
      <c r="D7" s="6">
        <f>Agenda!E6</f>
        <v/>
      </c>
      <c r="E7" s="6">
        <f>E6+C7-D7</f>
        <v/>
      </c>
      <c r="F7" s="6">
        <f>IF(A7&gt;=Premissas!$B$16,ROUNDDOWN(E7*Premissas!$B$13,0),0)</f>
        <v/>
      </c>
      <c r="G7" s="6">
        <f>B7+B6</f>
        <v/>
      </c>
      <c r="H7" s="6">
        <f>G7*Premissas!$B$2/2</f>
        <v/>
      </c>
      <c r="I7" s="6">
        <f>E7*Premissas!$B$3+F7*Premissas!$B$4</f>
        <v/>
      </c>
      <c r="J7" s="6">
        <f>H7+I7</f>
        <v/>
      </c>
      <c r="K7" s="6">
        <f>IF(A7&gt;Premissas!$B$12,INDEX($I$3:$I$26,A7-Premissas!$B$12),0)</f>
        <v/>
      </c>
      <c r="L7" s="6">
        <f>H7+K7</f>
        <v/>
      </c>
      <c r="M7" s="6">
        <f>IF(A7&lt;=6,Premissas!$B$17,IF(A7&lt;=12,Premissas!$B$18,Premissas!$B$19))</f>
        <v/>
      </c>
      <c r="N7" s="6">
        <f>G7*Premissas!$B$5/2*Premissas!$B$6</f>
        <v/>
      </c>
      <c r="O7" s="6">
        <f>E7*Premissas!$B$7+F7*Premissas!$B$8</f>
        <v/>
      </c>
      <c r="P7" s="6">
        <f>J7*Premissas!$B$9</f>
        <v/>
      </c>
      <c r="Q7" s="6">
        <f>L7*Premissas!$B$10</f>
        <v/>
      </c>
      <c r="R7" s="6">
        <f>SUM(M7:Q7)</f>
        <v/>
      </c>
      <c r="S7" s="6">
        <f>L7-R7</f>
        <v/>
      </c>
      <c r="T7" s="6">
        <f>T6+S7</f>
        <v/>
      </c>
      <c r="U7" s="6">
        <f>I7*(1-Premissas!$B$9-Premissas!$B$10)-O7-M7</f>
        <v/>
      </c>
      <c r="V7" s="6">
        <f>G7*Premissas!$B$5/2</f>
        <v/>
      </c>
      <c r="W7" s="6">
        <f>E7*6+F7*4</f>
        <v/>
      </c>
      <c r="X7" s="6">
        <f>X6+I7-K7</f>
        <v/>
      </c>
    </row>
    <row r="8">
      <c r="A8" s="7" t="n">
        <v>6</v>
      </c>
      <c r="B8" s="6">
        <f>Agenda!C7</f>
        <v/>
      </c>
      <c r="C8" s="6">
        <f>IF(A8&gt;Premissas!$B$11,INDEX(Agenda!$D$2:$D$25,A8-Premissas!$B$11),0)</f>
        <v/>
      </c>
      <c r="D8" s="6">
        <f>Agenda!E7</f>
        <v/>
      </c>
      <c r="E8" s="6">
        <f>E7+C8-D8</f>
        <v/>
      </c>
      <c r="F8" s="6">
        <f>IF(A8&gt;=Premissas!$B$16,ROUNDDOWN(E8*Premissas!$B$13,0),0)</f>
        <v/>
      </c>
      <c r="G8" s="6">
        <f>B8+B7</f>
        <v/>
      </c>
      <c r="H8" s="6">
        <f>G8*Premissas!$B$2/2</f>
        <v/>
      </c>
      <c r="I8" s="6">
        <f>E8*Premissas!$B$3+F8*Premissas!$B$4</f>
        <v/>
      </c>
      <c r="J8" s="6">
        <f>H8+I8</f>
        <v/>
      </c>
      <c r="K8" s="6">
        <f>IF(A8&gt;Premissas!$B$12,INDEX($I$3:$I$26,A8-Premissas!$B$12),0)</f>
        <v/>
      </c>
      <c r="L8" s="6">
        <f>H8+K8</f>
        <v/>
      </c>
      <c r="M8" s="6">
        <f>IF(A8&lt;=6,Premissas!$B$17,IF(A8&lt;=12,Premissas!$B$18,Premissas!$B$19))</f>
        <v/>
      </c>
      <c r="N8" s="6">
        <f>G8*Premissas!$B$5/2*Premissas!$B$6</f>
        <v/>
      </c>
      <c r="O8" s="6">
        <f>E8*Premissas!$B$7+F8*Premissas!$B$8</f>
        <v/>
      </c>
      <c r="P8" s="6">
        <f>J8*Premissas!$B$9</f>
        <v/>
      </c>
      <c r="Q8" s="6">
        <f>L8*Premissas!$B$10</f>
        <v/>
      </c>
      <c r="R8" s="6">
        <f>SUM(M8:Q8)</f>
        <v/>
      </c>
      <c r="S8" s="6">
        <f>L8-R8</f>
        <v/>
      </c>
      <c r="T8" s="6">
        <f>T7+S8</f>
        <v/>
      </c>
      <c r="U8" s="6">
        <f>I8*(1-Premissas!$B$9-Premissas!$B$10)-O8-M8</f>
        <v/>
      </c>
      <c r="V8" s="6">
        <f>G8*Premissas!$B$5/2</f>
        <v/>
      </c>
      <c r="W8" s="6">
        <f>E8*6+F8*4</f>
        <v/>
      </c>
      <c r="X8" s="6">
        <f>X7+I8-K8</f>
        <v/>
      </c>
    </row>
    <row r="9">
      <c r="A9" s="7" t="n">
        <v>7</v>
      </c>
      <c r="B9" s="6">
        <f>Agenda!C8</f>
        <v/>
      </c>
      <c r="C9" s="6">
        <f>IF(A9&gt;Premissas!$B$11,INDEX(Agenda!$D$2:$D$25,A9-Premissas!$B$11),0)</f>
        <v/>
      </c>
      <c r="D9" s="6">
        <f>Agenda!E8</f>
        <v/>
      </c>
      <c r="E9" s="6">
        <f>E8+C9-D9</f>
        <v/>
      </c>
      <c r="F9" s="6">
        <f>IF(A9&gt;=Premissas!$B$16,ROUNDDOWN(E9*Premissas!$B$13,0),0)</f>
        <v/>
      </c>
      <c r="G9" s="6">
        <f>B9+B8</f>
        <v/>
      </c>
      <c r="H9" s="6">
        <f>G9*Premissas!$B$2/2</f>
        <v/>
      </c>
      <c r="I9" s="6">
        <f>E9*Premissas!$B$3+F9*Premissas!$B$4</f>
        <v/>
      </c>
      <c r="J9" s="6">
        <f>H9+I9</f>
        <v/>
      </c>
      <c r="K9" s="6">
        <f>IF(A9&gt;Premissas!$B$12,INDEX($I$3:$I$26,A9-Premissas!$B$12),0)</f>
        <v/>
      </c>
      <c r="L9" s="6">
        <f>H9+K9</f>
        <v/>
      </c>
      <c r="M9" s="6">
        <f>IF(A9&lt;=6,Premissas!$B$17,IF(A9&lt;=12,Premissas!$B$18,Premissas!$B$19))</f>
        <v/>
      </c>
      <c r="N9" s="6">
        <f>G9*Premissas!$B$5/2*Premissas!$B$6</f>
        <v/>
      </c>
      <c r="O9" s="6">
        <f>E9*Premissas!$B$7+F9*Premissas!$B$8</f>
        <v/>
      </c>
      <c r="P9" s="6">
        <f>J9*Premissas!$B$9</f>
        <v/>
      </c>
      <c r="Q9" s="6">
        <f>L9*Premissas!$B$10</f>
        <v/>
      </c>
      <c r="R9" s="6">
        <f>SUM(M9:Q9)</f>
        <v/>
      </c>
      <c r="S9" s="6">
        <f>L9-R9</f>
        <v/>
      </c>
      <c r="T9" s="6">
        <f>T8+S9</f>
        <v/>
      </c>
      <c r="U9" s="6">
        <f>I9*(1-Premissas!$B$9-Premissas!$B$10)-O9-M9</f>
        <v/>
      </c>
      <c r="V9" s="6">
        <f>G9*Premissas!$B$5/2</f>
        <v/>
      </c>
      <c r="W9" s="6">
        <f>E9*6+F9*4</f>
        <v/>
      </c>
      <c r="X9" s="6">
        <f>X8+I9-K9</f>
        <v/>
      </c>
    </row>
    <row r="10">
      <c r="A10" s="7" t="n">
        <v>8</v>
      </c>
      <c r="B10" s="6">
        <f>Agenda!C9</f>
        <v/>
      </c>
      <c r="C10" s="6">
        <f>IF(A10&gt;Premissas!$B$11,INDEX(Agenda!$D$2:$D$25,A10-Premissas!$B$11),0)</f>
        <v/>
      </c>
      <c r="D10" s="6">
        <f>Agenda!E9</f>
        <v/>
      </c>
      <c r="E10" s="6">
        <f>E9+C10-D10</f>
        <v/>
      </c>
      <c r="F10" s="6">
        <f>IF(A10&gt;=Premissas!$B$16,ROUNDDOWN(E10*Premissas!$B$13,0),0)</f>
        <v/>
      </c>
      <c r="G10" s="6">
        <f>B10+B9</f>
        <v/>
      </c>
      <c r="H10" s="6">
        <f>G10*Premissas!$B$2/2</f>
        <v/>
      </c>
      <c r="I10" s="6">
        <f>E10*Premissas!$B$3+F10*Premissas!$B$4</f>
        <v/>
      </c>
      <c r="J10" s="6">
        <f>H10+I10</f>
        <v/>
      </c>
      <c r="K10" s="6">
        <f>IF(A10&gt;Premissas!$B$12,INDEX($I$3:$I$26,A10-Premissas!$B$12),0)</f>
        <v/>
      </c>
      <c r="L10" s="6">
        <f>H10+K10</f>
        <v/>
      </c>
      <c r="M10" s="6">
        <f>IF(A10&lt;=6,Premissas!$B$17,IF(A10&lt;=12,Premissas!$B$18,Premissas!$B$19))</f>
        <v/>
      </c>
      <c r="N10" s="6">
        <f>G10*Premissas!$B$5/2*Premissas!$B$6</f>
        <v/>
      </c>
      <c r="O10" s="6">
        <f>E10*Premissas!$B$7+F10*Premissas!$B$8</f>
        <v/>
      </c>
      <c r="P10" s="6">
        <f>J10*Premissas!$B$9</f>
        <v/>
      </c>
      <c r="Q10" s="6">
        <f>L10*Premissas!$B$10</f>
        <v/>
      </c>
      <c r="R10" s="6">
        <f>SUM(M10:Q10)</f>
        <v/>
      </c>
      <c r="S10" s="6">
        <f>L10-R10</f>
        <v/>
      </c>
      <c r="T10" s="6">
        <f>T9+S10</f>
        <v/>
      </c>
      <c r="U10" s="6">
        <f>I10*(1-Premissas!$B$9-Premissas!$B$10)-O10-M10</f>
        <v/>
      </c>
      <c r="V10" s="6">
        <f>G10*Premissas!$B$5/2</f>
        <v/>
      </c>
      <c r="W10" s="6">
        <f>E10*6+F10*4</f>
        <v/>
      </c>
      <c r="X10" s="6">
        <f>X9+I10-K10</f>
        <v/>
      </c>
    </row>
    <row r="11">
      <c r="A11" s="7" t="n">
        <v>9</v>
      </c>
      <c r="B11" s="6">
        <f>Agenda!C10</f>
        <v/>
      </c>
      <c r="C11" s="6">
        <f>IF(A11&gt;Premissas!$B$11,INDEX(Agenda!$D$2:$D$25,A11-Premissas!$B$11),0)</f>
        <v/>
      </c>
      <c r="D11" s="6">
        <f>Agenda!E10</f>
        <v/>
      </c>
      <c r="E11" s="6">
        <f>E10+C11-D11</f>
        <v/>
      </c>
      <c r="F11" s="6">
        <f>IF(A11&gt;=Premissas!$B$16,ROUNDDOWN(E11*Premissas!$B$13,0),0)</f>
        <v/>
      </c>
      <c r="G11" s="6">
        <f>B11+B10</f>
        <v/>
      </c>
      <c r="H11" s="6">
        <f>G11*Premissas!$B$2/2</f>
        <v/>
      </c>
      <c r="I11" s="6">
        <f>E11*Premissas!$B$3+F11*Premissas!$B$4</f>
        <v/>
      </c>
      <c r="J11" s="6">
        <f>H11+I11</f>
        <v/>
      </c>
      <c r="K11" s="6">
        <f>IF(A11&gt;Premissas!$B$12,INDEX($I$3:$I$26,A11-Premissas!$B$12),0)</f>
        <v/>
      </c>
      <c r="L11" s="6">
        <f>H11+K11</f>
        <v/>
      </c>
      <c r="M11" s="6">
        <f>IF(A11&lt;=6,Premissas!$B$17,IF(A11&lt;=12,Premissas!$B$18,Premissas!$B$19))</f>
        <v/>
      </c>
      <c r="N11" s="6">
        <f>G11*Premissas!$B$5/2*Premissas!$B$6</f>
        <v/>
      </c>
      <c r="O11" s="6">
        <f>E11*Premissas!$B$7+F11*Premissas!$B$8</f>
        <v/>
      </c>
      <c r="P11" s="6">
        <f>J11*Premissas!$B$9</f>
        <v/>
      </c>
      <c r="Q11" s="6">
        <f>L11*Premissas!$B$10</f>
        <v/>
      </c>
      <c r="R11" s="6">
        <f>SUM(M11:Q11)</f>
        <v/>
      </c>
      <c r="S11" s="6">
        <f>L11-R11</f>
        <v/>
      </c>
      <c r="T11" s="6">
        <f>T10+S11</f>
        <v/>
      </c>
      <c r="U11" s="6">
        <f>I11*(1-Premissas!$B$9-Premissas!$B$10)-O11-M11</f>
        <v/>
      </c>
      <c r="V11" s="6">
        <f>G11*Premissas!$B$5/2</f>
        <v/>
      </c>
      <c r="W11" s="6">
        <f>E11*6+F11*4</f>
        <v/>
      </c>
      <c r="X11" s="6">
        <f>X10+I11-K11</f>
        <v/>
      </c>
    </row>
    <row r="12">
      <c r="A12" s="7" t="n">
        <v>10</v>
      </c>
      <c r="B12" s="6">
        <f>Agenda!C11</f>
        <v/>
      </c>
      <c r="C12" s="6">
        <f>IF(A12&gt;Premissas!$B$11,INDEX(Agenda!$D$2:$D$25,A12-Premissas!$B$11),0)</f>
        <v/>
      </c>
      <c r="D12" s="6">
        <f>Agenda!E11</f>
        <v/>
      </c>
      <c r="E12" s="6">
        <f>E11+C12-D12</f>
        <v/>
      </c>
      <c r="F12" s="6">
        <f>IF(A12&gt;=Premissas!$B$16,ROUNDDOWN(E12*Premissas!$B$13,0),0)</f>
        <v/>
      </c>
      <c r="G12" s="6">
        <f>B12+B11</f>
        <v/>
      </c>
      <c r="H12" s="6">
        <f>G12*Premissas!$B$2/2</f>
        <v/>
      </c>
      <c r="I12" s="6">
        <f>E12*Premissas!$B$3+F12*Premissas!$B$4</f>
        <v/>
      </c>
      <c r="J12" s="6">
        <f>H12+I12</f>
        <v/>
      </c>
      <c r="K12" s="6">
        <f>IF(A12&gt;Premissas!$B$12,INDEX($I$3:$I$26,A12-Premissas!$B$12),0)</f>
        <v/>
      </c>
      <c r="L12" s="6">
        <f>H12+K12</f>
        <v/>
      </c>
      <c r="M12" s="6">
        <f>IF(A12&lt;=6,Premissas!$B$17,IF(A12&lt;=12,Premissas!$B$18,Premissas!$B$19))</f>
        <v/>
      </c>
      <c r="N12" s="6">
        <f>G12*Premissas!$B$5/2*Premissas!$B$6</f>
        <v/>
      </c>
      <c r="O12" s="6">
        <f>E12*Premissas!$B$7+F12*Premissas!$B$8</f>
        <v/>
      </c>
      <c r="P12" s="6">
        <f>J12*Premissas!$B$9</f>
        <v/>
      </c>
      <c r="Q12" s="6">
        <f>L12*Premissas!$B$10</f>
        <v/>
      </c>
      <c r="R12" s="6">
        <f>SUM(M12:Q12)</f>
        <v/>
      </c>
      <c r="S12" s="6">
        <f>L12-R12</f>
        <v/>
      </c>
      <c r="T12" s="6">
        <f>T11+S12</f>
        <v/>
      </c>
      <c r="U12" s="6">
        <f>I12*(1-Premissas!$B$9-Premissas!$B$10)-O12-M12</f>
        <v/>
      </c>
      <c r="V12" s="6">
        <f>G12*Premissas!$B$5/2</f>
        <v/>
      </c>
      <c r="W12" s="6">
        <f>E12*6+F12*4</f>
        <v/>
      </c>
      <c r="X12" s="6">
        <f>X11+I12-K12</f>
        <v/>
      </c>
    </row>
    <row r="13">
      <c r="A13" s="7" t="n">
        <v>11</v>
      </c>
      <c r="B13" s="6">
        <f>Agenda!C12</f>
        <v/>
      </c>
      <c r="C13" s="6">
        <f>IF(A13&gt;Premissas!$B$11,INDEX(Agenda!$D$2:$D$25,A13-Premissas!$B$11),0)</f>
        <v/>
      </c>
      <c r="D13" s="6">
        <f>Agenda!E12</f>
        <v/>
      </c>
      <c r="E13" s="6">
        <f>E12+C13-D13</f>
        <v/>
      </c>
      <c r="F13" s="6">
        <f>IF(A13&gt;=Premissas!$B$16,ROUNDDOWN(E13*Premissas!$B$13,0),0)</f>
        <v/>
      </c>
      <c r="G13" s="6">
        <f>B13+B12</f>
        <v/>
      </c>
      <c r="H13" s="6">
        <f>G13*Premissas!$B$2/2</f>
        <v/>
      </c>
      <c r="I13" s="6">
        <f>E13*Premissas!$B$3+F13*Premissas!$B$4</f>
        <v/>
      </c>
      <c r="J13" s="6">
        <f>H13+I13</f>
        <v/>
      </c>
      <c r="K13" s="6">
        <f>IF(A13&gt;Premissas!$B$12,INDEX($I$3:$I$26,A13-Premissas!$B$12),0)</f>
        <v/>
      </c>
      <c r="L13" s="6">
        <f>H13+K13</f>
        <v/>
      </c>
      <c r="M13" s="6">
        <f>IF(A13&lt;=6,Premissas!$B$17,IF(A13&lt;=12,Premissas!$B$18,Premissas!$B$19))</f>
        <v/>
      </c>
      <c r="N13" s="6">
        <f>G13*Premissas!$B$5/2*Premissas!$B$6</f>
        <v/>
      </c>
      <c r="O13" s="6">
        <f>E13*Premissas!$B$7+F13*Premissas!$B$8</f>
        <v/>
      </c>
      <c r="P13" s="6">
        <f>J13*Premissas!$B$9</f>
        <v/>
      </c>
      <c r="Q13" s="6">
        <f>L13*Premissas!$B$10</f>
        <v/>
      </c>
      <c r="R13" s="6">
        <f>SUM(M13:Q13)</f>
        <v/>
      </c>
      <c r="S13" s="6">
        <f>L13-R13</f>
        <v/>
      </c>
      <c r="T13" s="6">
        <f>T12+S13</f>
        <v/>
      </c>
      <c r="U13" s="6">
        <f>I13*(1-Premissas!$B$9-Premissas!$B$10)-O13-M13</f>
        <v/>
      </c>
      <c r="V13" s="6">
        <f>G13*Premissas!$B$5/2</f>
        <v/>
      </c>
      <c r="W13" s="6">
        <f>E13*6+F13*4</f>
        <v/>
      </c>
      <c r="X13" s="6">
        <f>X12+I13-K13</f>
        <v/>
      </c>
    </row>
    <row r="14">
      <c r="A14" s="7" t="n">
        <v>12</v>
      </c>
      <c r="B14" s="6">
        <f>Agenda!C13</f>
        <v/>
      </c>
      <c r="C14" s="6">
        <f>IF(A14&gt;Premissas!$B$11,INDEX(Agenda!$D$2:$D$25,A14-Premissas!$B$11),0)</f>
        <v/>
      </c>
      <c r="D14" s="6">
        <f>Agenda!E13</f>
        <v/>
      </c>
      <c r="E14" s="6">
        <f>E13+C14-D14</f>
        <v/>
      </c>
      <c r="F14" s="6">
        <f>IF(A14&gt;=Premissas!$B$16,ROUNDDOWN(E14*Premissas!$B$13,0),0)</f>
        <v/>
      </c>
      <c r="G14" s="6">
        <f>B14+B13</f>
        <v/>
      </c>
      <c r="H14" s="6">
        <f>G14*Premissas!$B$2/2</f>
        <v/>
      </c>
      <c r="I14" s="6">
        <f>E14*Premissas!$B$3+F14*Premissas!$B$4</f>
        <v/>
      </c>
      <c r="J14" s="6">
        <f>H14+I14</f>
        <v/>
      </c>
      <c r="K14" s="6">
        <f>IF(A14&gt;Premissas!$B$12,INDEX($I$3:$I$26,A14-Premissas!$B$12),0)</f>
        <v/>
      </c>
      <c r="L14" s="6">
        <f>H14+K14</f>
        <v/>
      </c>
      <c r="M14" s="6">
        <f>IF(A14&lt;=6,Premissas!$B$17,IF(A14&lt;=12,Premissas!$B$18,Premissas!$B$19))</f>
        <v/>
      </c>
      <c r="N14" s="6">
        <f>G14*Premissas!$B$5/2*Premissas!$B$6</f>
        <v/>
      </c>
      <c r="O14" s="6">
        <f>E14*Premissas!$B$7+F14*Premissas!$B$8</f>
        <v/>
      </c>
      <c r="P14" s="6">
        <f>J14*Premissas!$B$9</f>
        <v/>
      </c>
      <c r="Q14" s="6">
        <f>L14*Premissas!$B$10</f>
        <v/>
      </c>
      <c r="R14" s="6">
        <f>SUM(M14:Q14)</f>
        <v/>
      </c>
      <c r="S14" s="6">
        <f>L14-R14</f>
        <v/>
      </c>
      <c r="T14" s="6">
        <f>T13+S14</f>
        <v/>
      </c>
      <c r="U14" s="6">
        <f>I14*(1-Premissas!$B$9-Premissas!$B$10)-O14-M14</f>
        <v/>
      </c>
      <c r="V14" s="6">
        <f>G14*Premissas!$B$5/2</f>
        <v/>
      </c>
      <c r="W14" s="6">
        <f>E14*6+F14*4</f>
        <v/>
      </c>
      <c r="X14" s="6">
        <f>X13+I14-K14</f>
        <v/>
      </c>
    </row>
    <row r="15">
      <c r="A15" s="7" t="n">
        <v>13</v>
      </c>
      <c r="B15" s="6">
        <f>Agenda!C14</f>
        <v/>
      </c>
      <c r="C15" s="6">
        <f>IF(A15&gt;Premissas!$B$11,INDEX(Agenda!$D$2:$D$25,A15-Premissas!$B$11),0)</f>
        <v/>
      </c>
      <c r="D15" s="6">
        <f>Agenda!E14</f>
        <v/>
      </c>
      <c r="E15" s="6">
        <f>E14+C15-D15</f>
        <v/>
      </c>
      <c r="F15" s="6">
        <f>IF(A15&gt;=Premissas!$B$16,ROUNDDOWN(E15*Premissas!$B$13,0),0)</f>
        <v/>
      </c>
      <c r="G15" s="6">
        <f>B15+B14</f>
        <v/>
      </c>
      <c r="H15" s="6">
        <f>G15*Premissas!$B$2/2</f>
        <v/>
      </c>
      <c r="I15" s="6">
        <f>E15*Premissas!$B$3+F15*Premissas!$B$4</f>
        <v/>
      </c>
      <c r="J15" s="6">
        <f>H15+I15</f>
        <v/>
      </c>
      <c r="K15" s="6">
        <f>IF(A15&gt;Premissas!$B$12,INDEX($I$3:$I$26,A15-Premissas!$B$12),0)</f>
        <v/>
      </c>
      <c r="L15" s="6">
        <f>H15+K15</f>
        <v/>
      </c>
      <c r="M15" s="6">
        <f>IF(A15&lt;=6,Premissas!$B$17,IF(A15&lt;=12,Premissas!$B$18,Premissas!$B$19))</f>
        <v/>
      </c>
      <c r="N15" s="6">
        <f>G15*Premissas!$B$5/2*Premissas!$B$6</f>
        <v/>
      </c>
      <c r="O15" s="6">
        <f>E15*Premissas!$B$7+F15*Premissas!$B$8</f>
        <v/>
      </c>
      <c r="P15" s="6">
        <f>J15*Premissas!$B$9</f>
        <v/>
      </c>
      <c r="Q15" s="6">
        <f>L15*Premissas!$B$10</f>
        <v/>
      </c>
      <c r="R15" s="6">
        <f>SUM(M15:Q15)</f>
        <v/>
      </c>
      <c r="S15" s="6">
        <f>L15-R15</f>
        <v/>
      </c>
      <c r="T15" s="6">
        <f>T14+S15</f>
        <v/>
      </c>
      <c r="U15" s="6">
        <f>I15*(1-Premissas!$B$9-Premissas!$B$10)-O15-M15</f>
        <v/>
      </c>
      <c r="V15" s="6">
        <f>G15*Premissas!$B$5/2</f>
        <v/>
      </c>
      <c r="W15" s="6">
        <f>E15*6+F15*4</f>
        <v/>
      </c>
      <c r="X15" s="6">
        <f>X14+I15-K15</f>
        <v/>
      </c>
    </row>
    <row r="16">
      <c r="A16" s="7" t="n">
        <v>14</v>
      </c>
      <c r="B16" s="6">
        <f>Agenda!C15</f>
        <v/>
      </c>
      <c r="C16" s="6">
        <f>IF(A16&gt;Premissas!$B$11,INDEX(Agenda!$D$2:$D$25,A16-Premissas!$B$11),0)</f>
        <v/>
      </c>
      <c r="D16" s="6">
        <f>Agenda!E15</f>
        <v/>
      </c>
      <c r="E16" s="6">
        <f>E15+C16-D16</f>
        <v/>
      </c>
      <c r="F16" s="6">
        <f>IF(A16&gt;=Premissas!$B$16,ROUNDDOWN(E16*Premissas!$B$13,0),0)</f>
        <v/>
      </c>
      <c r="G16" s="6">
        <f>B16+B15</f>
        <v/>
      </c>
      <c r="H16" s="6">
        <f>G16*Premissas!$B$2/2</f>
        <v/>
      </c>
      <c r="I16" s="6">
        <f>E16*Premissas!$B$3+F16*Premissas!$B$4</f>
        <v/>
      </c>
      <c r="J16" s="6">
        <f>H16+I16</f>
        <v/>
      </c>
      <c r="K16" s="6">
        <f>IF(A16&gt;Premissas!$B$12,INDEX($I$3:$I$26,A16-Premissas!$B$12),0)</f>
        <v/>
      </c>
      <c r="L16" s="6">
        <f>H16+K16</f>
        <v/>
      </c>
      <c r="M16" s="6">
        <f>IF(A16&lt;=6,Premissas!$B$17,IF(A16&lt;=12,Premissas!$B$18,Premissas!$B$19))</f>
        <v/>
      </c>
      <c r="N16" s="6">
        <f>G16*Premissas!$B$5/2*Premissas!$B$6</f>
        <v/>
      </c>
      <c r="O16" s="6">
        <f>E16*Premissas!$B$7+F16*Premissas!$B$8</f>
        <v/>
      </c>
      <c r="P16" s="6">
        <f>J16*Premissas!$B$9</f>
        <v/>
      </c>
      <c r="Q16" s="6">
        <f>L16*Premissas!$B$10</f>
        <v/>
      </c>
      <c r="R16" s="6">
        <f>SUM(M16:Q16)</f>
        <v/>
      </c>
      <c r="S16" s="6">
        <f>L16-R16</f>
        <v/>
      </c>
      <c r="T16" s="6">
        <f>T15+S16</f>
        <v/>
      </c>
      <c r="U16" s="6">
        <f>I16*(1-Premissas!$B$9-Premissas!$B$10)-O16-M16</f>
        <v/>
      </c>
      <c r="V16" s="6">
        <f>G16*Premissas!$B$5/2</f>
        <v/>
      </c>
      <c r="W16" s="6">
        <f>E16*6+F16*4</f>
        <v/>
      </c>
      <c r="X16" s="6">
        <f>X15+I16-K16</f>
        <v/>
      </c>
    </row>
    <row r="17">
      <c r="A17" s="7" t="n">
        <v>15</v>
      </c>
      <c r="B17" s="6">
        <f>Agenda!C16</f>
        <v/>
      </c>
      <c r="C17" s="6">
        <f>IF(A17&gt;Premissas!$B$11,INDEX(Agenda!$D$2:$D$25,A17-Premissas!$B$11),0)</f>
        <v/>
      </c>
      <c r="D17" s="6">
        <f>Agenda!E16</f>
        <v/>
      </c>
      <c r="E17" s="6">
        <f>E16+C17-D17</f>
        <v/>
      </c>
      <c r="F17" s="6">
        <f>IF(A17&gt;=Premissas!$B$16,ROUNDDOWN(E17*Premissas!$B$13,0),0)</f>
        <v/>
      </c>
      <c r="G17" s="6">
        <f>B17+B16</f>
        <v/>
      </c>
      <c r="H17" s="6">
        <f>G17*Premissas!$B$2/2</f>
        <v/>
      </c>
      <c r="I17" s="6">
        <f>E17*Premissas!$B$3+F17*Premissas!$B$4</f>
        <v/>
      </c>
      <c r="J17" s="6">
        <f>H17+I17</f>
        <v/>
      </c>
      <c r="K17" s="6">
        <f>IF(A17&gt;Premissas!$B$12,INDEX($I$3:$I$26,A17-Premissas!$B$12),0)</f>
        <v/>
      </c>
      <c r="L17" s="6">
        <f>H17+K17</f>
        <v/>
      </c>
      <c r="M17" s="6">
        <f>IF(A17&lt;=6,Premissas!$B$17,IF(A17&lt;=12,Premissas!$B$18,Premissas!$B$19))</f>
        <v/>
      </c>
      <c r="N17" s="6">
        <f>G17*Premissas!$B$5/2*Premissas!$B$6</f>
        <v/>
      </c>
      <c r="O17" s="6">
        <f>E17*Premissas!$B$7+F17*Premissas!$B$8</f>
        <v/>
      </c>
      <c r="P17" s="6">
        <f>J17*Premissas!$B$9</f>
        <v/>
      </c>
      <c r="Q17" s="6">
        <f>L17*Premissas!$B$10</f>
        <v/>
      </c>
      <c r="R17" s="6">
        <f>SUM(M17:Q17)</f>
        <v/>
      </c>
      <c r="S17" s="6">
        <f>L17-R17</f>
        <v/>
      </c>
      <c r="T17" s="6">
        <f>T16+S17</f>
        <v/>
      </c>
      <c r="U17" s="6">
        <f>I17*(1-Premissas!$B$9-Premissas!$B$10)-O17-M17</f>
        <v/>
      </c>
      <c r="V17" s="6">
        <f>G17*Premissas!$B$5/2</f>
        <v/>
      </c>
      <c r="W17" s="6">
        <f>E17*6+F17*4</f>
        <v/>
      </c>
      <c r="X17" s="6">
        <f>X16+I17-K17</f>
        <v/>
      </c>
    </row>
    <row r="18">
      <c r="A18" s="7" t="n">
        <v>16</v>
      </c>
      <c r="B18" s="6">
        <f>Agenda!C17</f>
        <v/>
      </c>
      <c r="C18" s="6">
        <f>IF(A18&gt;Premissas!$B$11,INDEX(Agenda!$D$2:$D$25,A18-Premissas!$B$11),0)</f>
        <v/>
      </c>
      <c r="D18" s="6">
        <f>Agenda!E17</f>
        <v/>
      </c>
      <c r="E18" s="6">
        <f>E17+C18-D18</f>
        <v/>
      </c>
      <c r="F18" s="6">
        <f>IF(A18&gt;=Premissas!$B$16,ROUNDDOWN(E18*Premissas!$B$13,0),0)</f>
        <v/>
      </c>
      <c r="G18" s="6">
        <f>B18+B17</f>
        <v/>
      </c>
      <c r="H18" s="6">
        <f>G18*Premissas!$B$2/2</f>
        <v/>
      </c>
      <c r="I18" s="6">
        <f>E18*Premissas!$B$3+F18*Premissas!$B$4</f>
        <v/>
      </c>
      <c r="J18" s="6">
        <f>H18+I18</f>
        <v/>
      </c>
      <c r="K18" s="6">
        <f>IF(A18&gt;Premissas!$B$12,INDEX($I$3:$I$26,A18-Premissas!$B$12),0)</f>
        <v/>
      </c>
      <c r="L18" s="6">
        <f>H18+K18</f>
        <v/>
      </c>
      <c r="M18" s="6">
        <f>IF(A18&lt;=6,Premissas!$B$17,IF(A18&lt;=12,Premissas!$B$18,Premissas!$B$19))</f>
        <v/>
      </c>
      <c r="N18" s="6">
        <f>G18*Premissas!$B$5/2*Premissas!$B$6</f>
        <v/>
      </c>
      <c r="O18" s="6">
        <f>E18*Premissas!$B$7+F18*Premissas!$B$8</f>
        <v/>
      </c>
      <c r="P18" s="6">
        <f>J18*Premissas!$B$9</f>
        <v/>
      </c>
      <c r="Q18" s="6">
        <f>L18*Premissas!$B$10</f>
        <v/>
      </c>
      <c r="R18" s="6">
        <f>SUM(M18:Q18)</f>
        <v/>
      </c>
      <c r="S18" s="6">
        <f>L18-R18</f>
        <v/>
      </c>
      <c r="T18" s="6">
        <f>T17+S18</f>
        <v/>
      </c>
      <c r="U18" s="6">
        <f>I18*(1-Premissas!$B$9-Premissas!$B$10)-O18-M18</f>
        <v/>
      </c>
      <c r="V18" s="6">
        <f>G18*Premissas!$B$5/2</f>
        <v/>
      </c>
      <c r="W18" s="6">
        <f>E18*6+F18*4</f>
        <v/>
      </c>
      <c r="X18" s="6">
        <f>X17+I18-K18</f>
        <v/>
      </c>
    </row>
    <row r="19">
      <c r="A19" s="7" t="n">
        <v>17</v>
      </c>
      <c r="B19" s="6">
        <f>Agenda!C18</f>
        <v/>
      </c>
      <c r="C19" s="6">
        <f>IF(A19&gt;Premissas!$B$11,INDEX(Agenda!$D$2:$D$25,A19-Premissas!$B$11),0)</f>
        <v/>
      </c>
      <c r="D19" s="6">
        <f>Agenda!E18</f>
        <v/>
      </c>
      <c r="E19" s="6">
        <f>E18+C19-D19</f>
        <v/>
      </c>
      <c r="F19" s="6">
        <f>IF(A19&gt;=Premissas!$B$16,ROUNDDOWN(E19*Premissas!$B$13,0),0)</f>
        <v/>
      </c>
      <c r="G19" s="6">
        <f>B19+B18</f>
        <v/>
      </c>
      <c r="H19" s="6">
        <f>G19*Premissas!$B$2/2</f>
        <v/>
      </c>
      <c r="I19" s="6">
        <f>E19*Premissas!$B$3+F19*Premissas!$B$4</f>
        <v/>
      </c>
      <c r="J19" s="6">
        <f>H19+I19</f>
        <v/>
      </c>
      <c r="K19" s="6">
        <f>IF(A19&gt;Premissas!$B$12,INDEX($I$3:$I$26,A19-Premissas!$B$12),0)</f>
        <v/>
      </c>
      <c r="L19" s="6">
        <f>H19+K19</f>
        <v/>
      </c>
      <c r="M19" s="6">
        <f>IF(A19&lt;=6,Premissas!$B$17,IF(A19&lt;=12,Premissas!$B$18,Premissas!$B$19))</f>
        <v/>
      </c>
      <c r="N19" s="6">
        <f>G19*Premissas!$B$5/2*Premissas!$B$6</f>
        <v/>
      </c>
      <c r="O19" s="6">
        <f>E19*Premissas!$B$7+F19*Premissas!$B$8</f>
        <v/>
      </c>
      <c r="P19" s="6">
        <f>J19*Premissas!$B$9</f>
        <v/>
      </c>
      <c r="Q19" s="6">
        <f>L19*Premissas!$B$10</f>
        <v/>
      </c>
      <c r="R19" s="6">
        <f>SUM(M19:Q19)</f>
        <v/>
      </c>
      <c r="S19" s="6">
        <f>L19-R19</f>
        <v/>
      </c>
      <c r="T19" s="6">
        <f>T18+S19</f>
        <v/>
      </c>
      <c r="U19" s="6">
        <f>I19*(1-Premissas!$B$9-Premissas!$B$10)-O19-M19</f>
        <v/>
      </c>
      <c r="V19" s="6">
        <f>G19*Premissas!$B$5/2</f>
        <v/>
      </c>
      <c r="W19" s="6">
        <f>E19*6+F19*4</f>
        <v/>
      </c>
      <c r="X19" s="6">
        <f>X18+I19-K19</f>
        <v/>
      </c>
    </row>
    <row r="20">
      <c r="A20" s="7" t="n">
        <v>18</v>
      </c>
      <c r="B20" s="6">
        <f>Agenda!C19</f>
        <v/>
      </c>
      <c r="C20" s="6">
        <f>IF(A20&gt;Premissas!$B$11,INDEX(Agenda!$D$2:$D$25,A20-Premissas!$B$11),0)</f>
        <v/>
      </c>
      <c r="D20" s="6">
        <f>Agenda!E19</f>
        <v/>
      </c>
      <c r="E20" s="6">
        <f>E19+C20-D20</f>
        <v/>
      </c>
      <c r="F20" s="6">
        <f>IF(A20&gt;=Premissas!$B$16,ROUNDDOWN(E20*Premissas!$B$13,0),0)</f>
        <v/>
      </c>
      <c r="G20" s="6">
        <f>B20+B19</f>
        <v/>
      </c>
      <c r="H20" s="6">
        <f>G20*Premissas!$B$2/2</f>
        <v/>
      </c>
      <c r="I20" s="6">
        <f>E20*Premissas!$B$3+F20*Premissas!$B$4</f>
        <v/>
      </c>
      <c r="J20" s="6">
        <f>H20+I20</f>
        <v/>
      </c>
      <c r="K20" s="6">
        <f>IF(A20&gt;Premissas!$B$12,INDEX($I$3:$I$26,A20-Premissas!$B$12),0)</f>
        <v/>
      </c>
      <c r="L20" s="6">
        <f>H20+K20</f>
        <v/>
      </c>
      <c r="M20" s="6">
        <f>IF(A20&lt;=6,Premissas!$B$17,IF(A20&lt;=12,Premissas!$B$18,Premissas!$B$19))</f>
        <v/>
      </c>
      <c r="N20" s="6">
        <f>G20*Premissas!$B$5/2*Premissas!$B$6</f>
        <v/>
      </c>
      <c r="O20" s="6">
        <f>E20*Premissas!$B$7+F20*Premissas!$B$8</f>
        <v/>
      </c>
      <c r="P20" s="6">
        <f>J20*Premissas!$B$9</f>
        <v/>
      </c>
      <c r="Q20" s="6">
        <f>L20*Premissas!$B$10</f>
        <v/>
      </c>
      <c r="R20" s="6">
        <f>SUM(M20:Q20)</f>
        <v/>
      </c>
      <c r="S20" s="6">
        <f>L20-R20</f>
        <v/>
      </c>
      <c r="T20" s="6">
        <f>T19+S20</f>
        <v/>
      </c>
      <c r="U20" s="6">
        <f>I20*(1-Premissas!$B$9-Premissas!$B$10)-O20-M20</f>
        <v/>
      </c>
      <c r="V20" s="6">
        <f>G20*Premissas!$B$5/2</f>
        <v/>
      </c>
      <c r="W20" s="6">
        <f>E20*6+F20*4</f>
        <v/>
      </c>
      <c r="X20" s="6">
        <f>X19+I20-K20</f>
        <v/>
      </c>
    </row>
    <row r="21">
      <c r="A21" s="7" t="n">
        <v>19</v>
      </c>
      <c r="B21" s="6">
        <f>Agenda!C20</f>
        <v/>
      </c>
      <c r="C21" s="6">
        <f>IF(A21&gt;Premissas!$B$11,INDEX(Agenda!$D$2:$D$25,A21-Premissas!$B$11),0)</f>
        <v/>
      </c>
      <c r="D21" s="6">
        <f>Agenda!E20</f>
        <v/>
      </c>
      <c r="E21" s="6">
        <f>E20+C21-D21</f>
        <v/>
      </c>
      <c r="F21" s="6">
        <f>IF(A21&gt;=Premissas!$B$16,ROUNDDOWN(E21*Premissas!$B$13,0),0)</f>
        <v/>
      </c>
      <c r="G21" s="6">
        <f>B21+B20</f>
        <v/>
      </c>
      <c r="H21" s="6">
        <f>G21*Premissas!$B$2/2</f>
        <v/>
      </c>
      <c r="I21" s="6">
        <f>E21*Premissas!$B$3+F21*Premissas!$B$4</f>
        <v/>
      </c>
      <c r="J21" s="6">
        <f>H21+I21</f>
        <v/>
      </c>
      <c r="K21" s="6">
        <f>IF(A21&gt;Premissas!$B$12,INDEX($I$3:$I$26,A21-Premissas!$B$12),0)</f>
        <v/>
      </c>
      <c r="L21" s="6">
        <f>H21+K21</f>
        <v/>
      </c>
      <c r="M21" s="6">
        <f>IF(A21&lt;=6,Premissas!$B$17,IF(A21&lt;=12,Premissas!$B$18,Premissas!$B$19))</f>
        <v/>
      </c>
      <c r="N21" s="6">
        <f>G21*Premissas!$B$5/2*Premissas!$B$6</f>
        <v/>
      </c>
      <c r="O21" s="6">
        <f>E21*Premissas!$B$7+F21*Premissas!$B$8</f>
        <v/>
      </c>
      <c r="P21" s="6">
        <f>J21*Premissas!$B$9</f>
        <v/>
      </c>
      <c r="Q21" s="6">
        <f>L21*Premissas!$B$10</f>
        <v/>
      </c>
      <c r="R21" s="6">
        <f>SUM(M21:Q21)</f>
        <v/>
      </c>
      <c r="S21" s="6">
        <f>L21-R21</f>
        <v/>
      </c>
      <c r="T21" s="6">
        <f>T20+S21</f>
        <v/>
      </c>
      <c r="U21" s="6">
        <f>I21*(1-Premissas!$B$9-Premissas!$B$10)-O21-M21</f>
        <v/>
      </c>
      <c r="V21" s="6">
        <f>G21*Premissas!$B$5/2</f>
        <v/>
      </c>
      <c r="W21" s="6">
        <f>E21*6+F21*4</f>
        <v/>
      </c>
      <c r="X21" s="6">
        <f>X20+I21-K21</f>
        <v/>
      </c>
    </row>
    <row r="22">
      <c r="A22" s="7" t="n">
        <v>20</v>
      </c>
      <c r="B22" s="6">
        <f>Agenda!C21</f>
        <v/>
      </c>
      <c r="C22" s="6">
        <f>IF(A22&gt;Premissas!$B$11,INDEX(Agenda!$D$2:$D$25,A22-Premissas!$B$11),0)</f>
        <v/>
      </c>
      <c r="D22" s="6">
        <f>Agenda!E21</f>
        <v/>
      </c>
      <c r="E22" s="6">
        <f>E21+C22-D22</f>
        <v/>
      </c>
      <c r="F22" s="6">
        <f>IF(A22&gt;=Premissas!$B$16,ROUNDDOWN(E22*Premissas!$B$13,0),0)</f>
        <v/>
      </c>
      <c r="G22" s="6">
        <f>B22+B21</f>
        <v/>
      </c>
      <c r="H22" s="6">
        <f>G22*Premissas!$B$2/2</f>
        <v/>
      </c>
      <c r="I22" s="6">
        <f>E22*Premissas!$B$3+F22*Premissas!$B$4</f>
        <v/>
      </c>
      <c r="J22" s="6">
        <f>H22+I22</f>
        <v/>
      </c>
      <c r="K22" s="6">
        <f>IF(A22&gt;Premissas!$B$12,INDEX($I$3:$I$26,A22-Premissas!$B$12),0)</f>
        <v/>
      </c>
      <c r="L22" s="6">
        <f>H22+K22</f>
        <v/>
      </c>
      <c r="M22" s="6">
        <f>IF(A22&lt;=6,Premissas!$B$17,IF(A22&lt;=12,Premissas!$B$18,Premissas!$B$19))</f>
        <v/>
      </c>
      <c r="N22" s="6">
        <f>G22*Premissas!$B$5/2*Premissas!$B$6</f>
        <v/>
      </c>
      <c r="O22" s="6">
        <f>E22*Premissas!$B$7+F22*Premissas!$B$8</f>
        <v/>
      </c>
      <c r="P22" s="6">
        <f>J22*Premissas!$B$9</f>
        <v/>
      </c>
      <c r="Q22" s="6">
        <f>L22*Premissas!$B$10</f>
        <v/>
      </c>
      <c r="R22" s="6">
        <f>SUM(M22:Q22)</f>
        <v/>
      </c>
      <c r="S22" s="6">
        <f>L22-R22</f>
        <v/>
      </c>
      <c r="T22" s="6">
        <f>T21+S22</f>
        <v/>
      </c>
      <c r="U22" s="6">
        <f>I22*(1-Premissas!$B$9-Premissas!$B$10)-O22-M22</f>
        <v/>
      </c>
      <c r="V22" s="6">
        <f>G22*Premissas!$B$5/2</f>
        <v/>
      </c>
      <c r="W22" s="6">
        <f>E22*6+F22*4</f>
        <v/>
      </c>
      <c r="X22" s="6">
        <f>X21+I22-K22</f>
        <v/>
      </c>
    </row>
    <row r="23">
      <c r="A23" s="7" t="n">
        <v>21</v>
      </c>
      <c r="B23" s="6">
        <f>Agenda!C22</f>
        <v/>
      </c>
      <c r="C23" s="6">
        <f>IF(A23&gt;Premissas!$B$11,INDEX(Agenda!$D$2:$D$25,A23-Premissas!$B$11),0)</f>
        <v/>
      </c>
      <c r="D23" s="6">
        <f>Agenda!E22</f>
        <v/>
      </c>
      <c r="E23" s="6">
        <f>E22+C23-D23</f>
        <v/>
      </c>
      <c r="F23" s="6">
        <f>IF(A23&gt;=Premissas!$B$16,ROUNDDOWN(E23*Premissas!$B$13,0),0)</f>
        <v/>
      </c>
      <c r="G23" s="6">
        <f>B23+B22</f>
        <v/>
      </c>
      <c r="H23" s="6">
        <f>G23*Premissas!$B$2/2</f>
        <v/>
      </c>
      <c r="I23" s="6">
        <f>E23*Premissas!$B$3+F23*Premissas!$B$4</f>
        <v/>
      </c>
      <c r="J23" s="6">
        <f>H23+I23</f>
        <v/>
      </c>
      <c r="K23" s="6">
        <f>IF(A23&gt;Premissas!$B$12,INDEX($I$3:$I$26,A23-Premissas!$B$12),0)</f>
        <v/>
      </c>
      <c r="L23" s="6">
        <f>H23+K23</f>
        <v/>
      </c>
      <c r="M23" s="6">
        <f>IF(A23&lt;=6,Premissas!$B$17,IF(A23&lt;=12,Premissas!$B$18,Premissas!$B$19))</f>
        <v/>
      </c>
      <c r="N23" s="6">
        <f>G23*Premissas!$B$5/2*Premissas!$B$6</f>
        <v/>
      </c>
      <c r="O23" s="6">
        <f>E23*Premissas!$B$7+F23*Premissas!$B$8</f>
        <v/>
      </c>
      <c r="P23" s="6">
        <f>J23*Premissas!$B$9</f>
        <v/>
      </c>
      <c r="Q23" s="6">
        <f>L23*Premissas!$B$10</f>
        <v/>
      </c>
      <c r="R23" s="6">
        <f>SUM(M23:Q23)</f>
        <v/>
      </c>
      <c r="S23" s="6">
        <f>L23-R23</f>
        <v/>
      </c>
      <c r="T23" s="6">
        <f>T22+S23</f>
        <v/>
      </c>
      <c r="U23" s="6">
        <f>I23*(1-Premissas!$B$9-Premissas!$B$10)-O23-M23</f>
        <v/>
      </c>
      <c r="V23" s="6">
        <f>G23*Premissas!$B$5/2</f>
        <v/>
      </c>
      <c r="W23" s="6">
        <f>E23*6+F23*4</f>
        <v/>
      </c>
      <c r="X23" s="6">
        <f>X22+I23-K23</f>
        <v/>
      </c>
    </row>
    <row r="24">
      <c r="A24" s="7" t="n">
        <v>22</v>
      </c>
      <c r="B24" s="6">
        <f>Agenda!C23</f>
        <v/>
      </c>
      <c r="C24" s="6">
        <f>IF(A24&gt;Premissas!$B$11,INDEX(Agenda!$D$2:$D$25,A24-Premissas!$B$11),0)</f>
        <v/>
      </c>
      <c r="D24" s="6">
        <f>Agenda!E23</f>
        <v/>
      </c>
      <c r="E24" s="6">
        <f>E23+C24-D24</f>
        <v/>
      </c>
      <c r="F24" s="6">
        <f>IF(A24&gt;=Premissas!$B$16,ROUNDDOWN(E24*Premissas!$B$13,0),0)</f>
        <v/>
      </c>
      <c r="G24" s="6">
        <f>B24+B23</f>
        <v/>
      </c>
      <c r="H24" s="6">
        <f>G24*Premissas!$B$2/2</f>
        <v/>
      </c>
      <c r="I24" s="6">
        <f>E24*Premissas!$B$3+F24*Premissas!$B$4</f>
        <v/>
      </c>
      <c r="J24" s="6">
        <f>H24+I24</f>
        <v/>
      </c>
      <c r="K24" s="6">
        <f>IF(A24&gt;Premissas!$B$12,INDEX($I$3:$I$26,A24-Premissas!$B$12),0)</f>
        <v/>
      </c>
      <c r="L24" s="6">
        <f>H24+K24</f>
        <v/>
      </c>
      <c r="M24" s="6">
        <f>IF(A24&lt;=6,Premissas!$B$17,IF(A24&lt;=12,Premissas!$B$18,Premissas!$B$19))</f>
        <v/>
      </c>
      <c r="N24" s="6">
        <f>G24*Premissas!$B$5/2*Premissas!$B$6</f>
        <v/>
      </c>
      <c r="O24" s="6">
        <f>E24*Premissas!$B$7+F24*Premissas!$B$8</f>
        <v/>
      </c>
      <c r="P24" s="6">
        <f>J24*Premissas!$B$9</f>
        <v/>
      </c>
      <c r="Q24" s="6">
        <f>L24*Premissas!$B$10</f>
        <v/>
      </c>
      <c r="R24" s="6">
        <f>SUM(M24:Q24)</f>
        <v/>
      </c>
      <c r="S24" s="6">
        <f>L24-R24</f>
        <v/>
      </c>
      <c r="T24" s="6">
        <f>T23+S24</f>
        <v/>
      </c>
      <c r="U24" s="6">
        <f>I24*(1-Premissas!$B$9-Premissas!$B$10)-O24-M24</f>
        <v/>
      </c>
      <c r="V24" s="6">
        <f>G24*Premissas!$B$5/2</f>
        <v/>
      </c>
      <c r="W24" s="6">
        <f>E24*6+F24*4</f>
        <v/>
      </c>
      <c r="X24" s="6">
        <f>X23+I24-K24</f>
        <v/>
      </c>
    </row>
    <row r="25">
      <c r="A25" s="7" t="n">
        <v>23</v>
      </c>
      <c r="B25" s="6">
        <f>Agenda!C24</f>
        <v/>
      </c>
      <c r="C25" s="6">
        <f>IF(A25&gt;Premissas!$B$11,INDEX(Agenda!$D$2:$D$25,A25-Premissas!$B$11),0)</f>
        <v/>
      </c>
      <c r="D25" s="6">
        <f>Agenda!E24</f>
        <v/>
      </c>
      <c r="E25" s="6">
        <f>E24+C25-D25</f>
        <v/>
      </c>
      <c r="F25" s="6">
        <f>IF(A25&gt;=Premissas!$B$16,ROUNDDOWN(E25*Premissas!$B$13,0),0)</f>
        <v/>
      </c>
      <c r="G25" s="6">
        <f>B25+B24</f>
        <v/>
      </c>
      <c r="H25" s="6">
        <f>G25*Premissas!$B$2/2</f>
        <v/>
      </c>
      <c r="I25" s="6">
        <f>E25*Premissas!$B$3+F25*Premissas!$B$4</f>
        <v/>
      </c>
      <c r="J25" s="6">
        <f>H25+I25</f>
        <v/>
      </c>
      <c r="K25" s="6">
        <f>IF(A25&gt;Premissas!$B$12,INDEX($I$3:$I$26,A25-Premissas!$B$12),0)</f>
        <v/>
      </c>
      <c r="L25" s="6">
        <f>H25+K25</f>
        <v/>
      </c>
      <c r="M25" s="6">
        <f>IF(A25&lt;=6,Premissas!$B$17,IF(A25&lt;=12,Premissas!$B$18,Premissas!$B$19))</f>
        <v/>
      </c>
      <c r="N25" s="6">
        <f>G25*Premissas!$B$5/2*Premissas!$B$6</f>
        <v/>
      </c>
      <c r="O25" s="6">
        <f>E25*Premissas!$B$7+F25*Premissas!$B$8</f>
        <v/>
      </c>
      <c r="P25" s="6">
        <f>J25*Premissas!$B$9</f>
        <v/>
      </c>
      <c r="Q25" s="6">
        <f>L25*Premissas!$B$10</f>
        <v/>
      </c>
      <c r="R25" s="6">
        <f>SUM(M25:Q25)</f>
        <v/>
      </c>
      <c r="S25" s="6">
        <f>L25-R25</f>
        <v/>
      </c>
      <c r="T25" s="6">
        <f>T24+S25</f>
        <v/>
      </c>
      <c r="U25" s="6">
        <f>I25*(1-Premissas!$B$9-Premissas!$B$10)-O25-M25</f>
        <v/>
      </c>
      <c r="V25" s="6">
        <f>G25*Premissas!$B$5/2</f>
        <v/>
      </c>
      <c r="W25" s="6">
        <f>E25*6+F25*4</f>
        <v/>
      </c>
      <c r="X25" s="6">
        <f>X24+I25-K25</f>
        <v/>
      </c>
    </row>
    <row r="26">
      <c r="A26" s="7" t="n">
        <v>24</v>
      </c>
      <c r="B26" s="6">
        <f>Agenda!C25</f>
        <v/>
      </c>
      <c r="C26" s="6">
        <f>IF(A26&gt;Premissas!$B$11,INDEX(Agenda!$D$2:$D$25,A26-Premissas!$B$11),0)</f>
        <v/>
      </c>
      <c r="D26" s="6">
        <f>Agenda!E25</f>
        <v/>
      </c>
      <c r="E26" s="6">
        <f>E25+C26-D26</f>
        <v/>
      </c>
      <c r="F26" s="6">
        <f>IF(A26&gt;=Premissas!$B$16,ROUNDDOWN(E26*Premissas!$B$13,0),0)</f>
        <v/>
      </c>
      <c r="G26" s="6">
        <f>B26+B25</f>
        <v/>
      </c>
      <c r="H26" s="6">
        <f>G26*Premissas!$B$2/2</f>
        <v/>
      </c>
      <c r="I26" s="6">
        <f>E26*Premissas!$B$3+F26*Premissas!$B$4</f>
        <v/>
      </c>
      <c r="J26" s="6">
        <f>H26+I26</f>
        <v/>
      </c>
      <c r="K26" s="6">
        <f>IF(A26&gt;Premissas!$B$12,INDEX($I$3:$I$26,A26-Premissas!$B$12),0)</f>
        <v/>
      </c>
      <c r="L26" s="6">
        <f>H26+K26</f>
        <v/>
      </c>
      <c r="M26" s="6">
        <f>IF(A26&lt;=6,Premissas!$B$17,IF(A26&lt;=12,Premissas!$B$18,Premissas!$B$19))</f>
        <v/>
      </c>
      <c r="N26" s="6">
        <f>G26*Premissas!$B$5/2*Premissas!$B$6</f>
        <v/>
      </c>
      <c r="O26" s="6">
        <f>E26*Premissas!$B$7+F26*Premissas!$B$8</f>
        <v/>
      </c>
      <c r="P26" s="6">
        <f>J26*Premissas!$B$9</f>
        <v/>
      </c>
      <c r="Q26" s="6">
        <f>L26*Premissas!$B$10</f>
        <v/>
      </c>
      <c r="R26" s="6">
        <f>SUM(M26:Q26)</f>
        <v/>
      </c>
      <c r="S26" s="6">
        <f>L26-R26</f>
        <v/>
      </c>
      <c r="T26" s="6">
        <f>T25+S26</f>
        <v/>
      </c>
      <c r="U26" s="6">
        <f>I26*(1-Premissas!$B$9-Premissas!$B$10)-O26-M26</f>
        <v/>
      </c>
      <c r="V26" s="6">
        <f>G26*Premissas!$B$5/2</f>
        <v/>
      </c>
      <c r="W26" s="6">
        <f>E26*6+F26*4</f>
        <v/>
      </c>
      <c r="X26" s="6">
        <f>X25+I26-K26</f>
        <v/>
      </c>
    </row>
  </sheetData>
  <autoFilter ref="A1:X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xSplit="7" ySplit="2" topLeftCell="H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 ht="32" customHeight="1">
      <c r="A1" s="3" t="inlineStr">
        <is>
          <t>Mês</t>
        </is>
      </c>
      <c r="B1" s="3" t="inlineStr">
        <is>
          <t>Projetos novos</t>
        </is>
      </c>
      <c r="C1" s="3" t="inlineStr">
        <is>
          <t>Assinaturas novas</t>
        </is>
      </c>
      <c r="D1" s="3" t="inlineStr">
        <is>
          <t>Saídas</t>
        </is>
      </c>
      <c r="E1" s="3" t="inlineStr">
        <is>
          <t>Clientes ativos</t>
        </is>
      </c>
      <c r="F1" s="3" t="inlineStr">
        <is>
          <t>Clientes vivos</t>
        </is>
      </c>
      <c r="G1" s="3" t="inlineStr">
        <is>
          <t>Projetos em entrega</t>
        </is>
      </c>
      <c r="H1" s="3" t="inlineStr">
        <is>
          <t>Fat. implantação</t>
        </is>
      </c>
      <c r="I1" s="3" t="inlineStr">
        <is>
          <t>Fat. recorrente/MRR</t>
        </is>
      </c>
      <c r="J1" s="3" t="inlineStr">
        <is>
          <t>Faturamento total</t>
        </is>
      </c>
      <c r="K1" s="3" t="inlineStr">
        <is>
          <t>Receb. recorrente</t>
        </is>
      </c>
      <c r="L1" s="3" t="inlineStr">
        <is>
          <t>Recebimentos totais</t>
        </is>
      </c>
      <c r="M1" s="3" t="inlineStr">
        <is>
          <t>Fixo</t>
        </is>
      </c>
      <c r="N1" s="3" t="inlineStr">
        <is>
          <t>Custo implantação</t>
        </is>
      </c>
      <c r="O1" s="3" t="inlineStr">
        <is>
          <t>Custo recorrente</t>
        </is>
      </c>
      <c r="P1" s="3" t="inlineStr">
        <is>
          <t>Provisão tributos</t>
        </is>
      </c>
      <c r="Q1" s="3" t="inlineStr">
        <is>
          <t>Reserva comercial</t>
        </is>
      </c>
      <c r="R1" s="3" t="inlineStr">
        <is>
          <t>Saídas totais</t>
        </is>
      </c>
      <c r="S1" s="3" t="inlineStr">
        <is>
          <t>Caixa do mês</t>
        </is>
      </c>
      <c r="T1" s="3" t="inlineStr">
        <is>
          <t>Acumulado sem aporte</t>
        </is>
      </c>
      <c r="U1" s="3" t="inlineStr">
        <is>
          <t>Resultado recorrente</t>
        </is>
      </c>
      <c r="V1" s="3" t="inlineStr">
        <is>
          <t>Horas implantação</t>
        </is>
      </c>
      <c r="W1" s="3" t="inlineStr">
        <is>
          <t>Horas curadoria</t>
        </is>
      </c>
      <c r="X1" s="3" t="inlineStr">
        <is>
          <t>Contas a receber recorrente</t>
        </is>
      </c>
    </row>
    <row r="2">
      <c r="A2" s="7" t="n">
        <v>0</v>
      </c>
      <c r="B2" s="7" t="n">
        <v>0</v>
      </c>
      <c r="C2" s="7" t="n">
        <v>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6">
        <f>Capex!D11</f>
        <v/>
      </c>
      <c r="S2" s="6">
        <f>-R2</f>
        <v/>
      </c>
      <c r="T2" s="6">
        <f>S2</f>
        <v/>
      </c>
      <c r="U2" s="7" t="n">
        <v>0</v>
      </c>
      <c r="V2" s="7" t="n">
        <v>0</v>
      </c>
      <c r="W2" s="7" t="n">
        <v>0</v>
      </c>
      <c r="X2" s="7" t="n">
        <v>0</v>
      </c>
    </row>
    <row r="3">
      <c r="A3" s="7" t="n">
        <v>1</v>
      </c>
      <c r="B3" s="6">
        <f>Agenda!C26</f>
        <v/>
      </c>
      <c r="C3" s="6">
        <f>IF(A3&gt;Premissas!$B$11,INDEX(Agenda!$D$26:$D$49,A3-Premissas!$B$11),0)</f>
        <v/>
      </c>
      <c r="D3" s="6">
        <f>Agenda!E26</f>
        <v/>
      </c>
      <c r="E3" s="6">
        <f>E2+C3-D3</f>
        <v/>
      </c>
      <c r="F3" s="6">
        <f>IF(A3&gt;=Premissas!$B$16,ROUNDDOWN(E3*Premissas!$B$14,0),0)</f>
        <v/>
      </c>
      <c r="G3" s="6">
        <f>B3+B2</f>
        <v/>
      </c>
      <c r="H3" s="6">
        <f>G3*Premissas!$B$2/2</f>
        <v/>
      </c>
      <c r="I3" s="6">
        <f>E3*Premissas!$B$3+F3*Premissas!$B$4</f>
        <v/>
      </c>
      <c r="J3" s="6">
        <f>H3+I3</f>
        <v/>
      </c>
      <c r="K3" s="6">
        <f>IF(A3&gt;Premissas!$B$12,INDEX($I$3:$I$26,A3-Premissas!$B$12),0)</f>
        <v/>
      </c>
      <c r="L3" s="6">
        <f>H3+K3</f>
        <v/>
      </c>
      <c r="M3" s="6">
        <f>IF(A3&lt;=6,Premissas!$B$17,IF(A3&lt;=12,Premissas!$B$18,Premissas!$B$19))</f>
        <v/>
      </c>
      <c r="N3" s="6">
        <f>G3*Premissas!$B$5/2*Premissas!$B$6</f>
        <v/>
      </c>
      <c r="O3" s="6">
        <f>E3*Premissas!$B$7+F3*Premissas!$B$8</f>
        <v/>
      </c>
      <c r="P3" s="6">
        <f>J3*Premissas!$B$9</f>
        <v/>
      </c>
      <c r="Q3" s="6">
        <f>L3*Premissas!$B$10</f>
        <v/>
      </c>
      <c r="R3" s="6">
        <f>SUM(M3:Q3)</f>
        <v/>
      </c>
      <c r="S3" s="6">
        <f>L3-R3</f>
        <v/>
      </c>
      <c r="T3" s="6">
        <f>T2+S3</f>
        <v/>
      </c>
      <c r="U3" s="6">
        <f>I3*(1-Premissas!$B$9-Premissas!$B$10)-O3-M3</f>
        <v/>
      </c>
      <c r="V3" s="6">
        <f>G3*Premissas!$B$5/2</f>
        <v/>
      </c>
      <c r="W3" s="6">
        <f>E3*6+F3*4</f>
        <v/>
      </c>
      <c r="X3" s="6">
        <f>X2+I3-K3</f>
        <v/>
      </c>
    </row>
    <row r="4">
      <c r="A4" s="7" t="n">
        <v>2</v>
      </c>
      <c r="B4" s="6">
        <f>Agenda!C27</f>
        <v/>
      </c>
      <c r="C4" s="6">
        <f>IF(A4&gt;Premissas!$B$11,INDEX(Agenda!$D$26:$D$49,A4-Premissas!$B$11),0)</f>
        <v/>
      </c>
      <c r="D4" s="6">
        <f>Agenda!E27</f>
        <v/>
      </c>
      <c r="E4" s="6">
        <f>E3+C4-D4</f>
        <v/>
      </c>
      <c r="F4" s="6">
        <f>IF(A4&gt;=Premissas!$B$16,ROUNDDOWN(E4*Premissas!$B$14,0),0)</f>
        <v/>
      </c>
      <c r="G4" s="6">
        <f>B4+B3</f>
        <v/>
      </c>
      <c r="H4" s="6">
        <f>G4*Premissas!$B$2/2</f>
        <v/>
      </c>
      <c r="I4" s="6">
        <f>E4*Premissas!$B$3+F4*Premissas!$B$4</f>
        <v/>
      </c>
      <c r="J4" s="6">
        <f>H4+I4</f>
        <v/>
      </c>
      <c r="K4" s="6">
        <f>IF(A4&gt;Premissas!$B$12,INDEX($I$3:$I$26,A4-Premissas!$B$12),0)</f>
        <v/>
      </c>
      <c r="L4" s="6">
        <f>H4+K4</f>
        <v/>
      </c>
      <c r="M4" s="6">
        <f>IF(A4&lt;=6,Premissas!$B$17,IF(A4&lt;=12,Premissas!$B$18,Premissas!$B$19))</f>
        <v/>
      </c>
      <c r="N4" s="6">
        <f>G4*Premissas!$B$5/2*Premissas!$B$6</f>
        <v/>
      </c>
      <c r="O4" s="6">
        <f>E4*Premissas!$B$7+F4*Premissas!$B$8</f>
        <v/>
      </c>
      <c r="P4" s="6">
        <f>J4*Premissas!$B$9</f>
        <v/>
      </c>
      <c r="Q4" s="6">
        <f>L4*Premissas!$B$10</f>
        <v/>
      </c>
      <c r="R4" s="6">
        <f>SUM(M4:Q4)</f>
        <v/>
      </c>
      <c r="S4" s="6">
        <f>L4-R4</f>
        <v/>
      </c>
      <c r="T4" s="6">
        <f>T3+S4</f>
        <v/>
      </c>
      <c r="U4" s="6">
        <f>I4*(1-Premissas!$B$9-Premissas!$B$10)-O4-M4</f>
        <v/>
      </c>
      <c r="V4" s="6">
        <f>G4*Premissas!$B$5/2</f>
        <v/>
      </c>
      <c r="W4" s="6">
        <f>E4*6+F4*4</f>
        <v/>
      </c>
      <c r="X4" s="6">
        <f>X3+I4-K4</f>
        <v/>
      </c>
    </row>
    <row r="5">
      <c r="A5" s="7" t="n">
        <v>3</v>
      </c>
      <c r="B5" s="6">
        <f>Agenda!C28</f>
        <v/>
      </c>
      <c r="C5" s="6">
        <f>IF(A5&gt;Premissas!$B$11,INDEX(Agenda!$D$26:$D$49,A5-Premissas!$B$11),0)</f>
        <v/>
      </c>
      <c r="D5" s="6">
        <f>Agenda!E28</f>
        <v/>
      </c>
      <c r="E5" s="6">
        <f>E4+C5-D5</f>
        <v/>
      </c>
      <c r="F5" s="6">
        <f>IF(A5&gt;=Premissas!$B$16,ROUNDDOWN(E5*Premissas!$B$14,0),0)</f>
        <v/>
      </c>
      <c r="G5" s="6">
        <f>B5+B4</f>
        <v/>
      </c>
      <c r="H5" s="6">
        <f>G5*Premissas!$B$2/2</f>
        <v/>
      </c>
      <c r="I5" s="6">
        <f>E5*Premissas!$B$3+F5*Premissas!$B$4</f>
        <v/>
      </c>
      <c r="J5" s="6">
        <f>H5+I5</f>
        <v/>
      </c>
      <c r="K5" s="6">
        <f>IF(A5&gt;Premissas!$B$12,INDEX($I$3:$I$26,A5-Premissas!$B$12),0)</f>
        <v/>
      </c>
      <c r="L5" s="6">
        <f>H5+K5</f>
        <v/>
      </c>
      <c r="M5" s="6">
        <f>IF(A5&lt;=6,Premissas!$B$17,IF(A5&lt;=12,Premissas!$B$18,Premissas!$B$19))</f>
        <v/>
      </c>
      <c r="N5" s="6">
        <f>G5*Premissas!$B$5/2*Premissas!$B$6</f>
        <v/>
      </c>
      <c r="O5" s="6">
        <f>E5*Premissas!$B$7+F5*Premissas!$B$8</f>
        <v/>
      </c>
      <c r="P5" s="6">
        <f>J5*Premissas!$B$9</f>
        <v/>
      </c>
      <c r="Q5" s="6">
        <f>L5*Premissas!$B$10</f>
        <v/>
      </c>
      <c r="R5" s="6">
        <f>SUM(M5:Q5)</f>
        <v/>
      </c>
      <c r="S5" s="6">
        <f>L5-R5</f>
        <v/>
      </c>
      <c r="T5" s="6">
        <f>T4+S5</f>
        <v/>
      </c>
      <c r="U5" s="6">
        <f>I5*(1-Premissas!$B$9-Premissas!$B$10)-O5-M5</f>
        <v/>
      </c>
      <c r="V5" s="6">
        <f>G5*Premissas!$B$5/2</f>
        <v/>
      </c>
      <c r="W5" s="6">
        <f>E5*6+F5*4</f>
        <v/>
      </c>
      <c r="X5" s="6">
        <f>X4+I5-K5</f>
        <v/>
      </c>
    </row>
    <row r="6">
      <c r="A6" s="7" t="n">
        <v>4</v>
      </c>
      <c r="B6" s="6">
        <f>Agenda!C29</f>
        <v/>
      </c>
      <c r="C6" s="6">
        <f>IF(A6&gt;Premissas!$B$11,INDEX(Agenda!$D$26:$D$49,A6-Premissas!$B$11),0)</f>
        <v/>
      </c>
      <c r="D6" s="6">
        <f>Agenda!E29</f>
        <v/>
      </c>
      <c r="E6" s="6">
        <f>E5+C6-D6</f>
        <v/>
      </c>
      <c r="F6" s="6">
        <f>IF(A6&gt;=Premissas!$B$16,ROUNDDOWN(E6*Premissas!$B$14,0),0)</f>
        <v/>
      </c>
      <c r="G6" s="6">
        <f>B6+B5</f>
        <v/>
      </c>
      <c r="H6" s="6">
        <f>G6*Premissas!$B$2/2</f>
        <v/>
      </c>
      <c r="I6" s="6">
        <f>E6*Premissas!$B$3+F6*Premissas!$B$4</f>
        <v/>
      </c>
      <c r="J6" s="6">
        <f>H6+I6</f>
        <v/>
      </c>
      <c r="K6" s="6">
        <f>IF(A6&gt;Premissas!$B$12,INDEX($I$3:$I$26,A6-Premissas!$B$12),0)</f>
        <v/>
      </c>
      <c r="L6" s="6">
        <f>H6+K6</f>
        <v/>
      </c>
      <c r="M6" s="6">
        <f>IF(A6&lt;=6,Premissas!$B$17,IF(A6&lt;=12,Premissas!$B$18,Premissas!$B$19))</f>
        <v/>
      </c>
      <c r="N6" s="6">
        <f>G6*Premissas!$B$5/2*Premissas!$B$6</f>
        <v/>
      </c>
      <c r="O6" s="6">
        <f>E6*Premissas!$B$7+F6*Premissas!$B$8</f>
        <v/>
      </c>
      <c r="P6" s="6">
        <f>J6*Premissas!$B$9</f>
        <v/>
      </c>
      <c r="Q6" s="6">
        <f>L6*Premissas!$B$10</f>
        <v/>
      </c>
      <c r="R6" s="6">
        <f>SUM(M6:Q6)</f>
        <v/>
      </c>
      <c r="S6" s="6">
        <f>L6-R6</f>
        <v/>
      </c>
      <c r="T6" s="6">
        <f>T5+S6</f>
        <v/>
      </c>
      <c r="U6" s="6">
        <f>I6*(1-Premissas!$B$9-Premissas!$B$10)-O6-M6</f>
        <v/>
      </c>
      <c r="V6" s="6">
        <f>G6*Premissas!$B$5/2</f>
        <v/>
      </c>
      <c r="W6" s="6">
        <f>E6*6+F6*4</f>
        <v/>
      </c>
      <c r="X6" s="6">
        <f>X5+I6-K6</f>
        <v/>
      </c>
    </row>
    <row r="7">
      <c r="A7" s="7" t="n">
        <v>5</v>
      </c>
      <c r="B7" s="6">
        <f>Agenda!C30</f>
        <v/>
      </c>
      <c r="C7" s="6">
        <f>IF(A7&gt;Premissas!$B$11,INDEX(Agenda!$D$26:$D$49,A7-Premissas!$B$11),0)</f>
        <v/>
      </c>
      <c r="D7" s="6">
        <f>Agenda!E30</f>
        <v/>
      </c>
      <c r="E7" s="6">
        <f>E6+C7-D7</f>
        <v/>
      </c>
      <c r="F7" s="6">
        <f>IF(A7&gt;=Premissas!$B$16,ROUNDDOWN(E7*Premissas!$B$14,0),0)</f>
        <v/>
      </c>
      <c r="G7" s="6">
        <f>B7+B6</f>
        <v/>
      </c>
      <c r="H7" s="6">
        <f>G7*Premissas!$B$2/2</f>
        <v/>
      </c>
      <c r="I7" s="6">
        <f>E7*Premissas!$B$3+F7*Premissas!$B$4</f>
        <v/>
      </c>
      <c r="J7" s="6">
        <f>H7+I7</f>
        <v/>
      </c>
      <c r="K7" s="6">
        <f>IF(A7&gt;Premissas!$B$12,INDEX($I$3:$I$26,A7-Premissas!$B$12),0)</f>
        <v/>
      </c>
      <c r="L7" s="6">
        <f>H7+K7</f>
        <v/>
      </c>
      <c r="M7" s="6">
        <f>IF(A7&lt;=6,Premissas!$B$17,IF(A7&lt;=12,Premissas!$B$18,Premissas!$B$19))</f>
        <v/>
      </c>
      <c r="N7" s="6">
        <f>G7*Premissas!$B$5/2*Premissas!$B$6</f>
        <v/>
      </c>
      <c r="O7" s="6">
        <f>E7*Premissas!$B$7+F7*Premissas!$B$8</f>
        <v/>
      </c>
      <c r="P7" s="6">
        <f>J7*Premissas!$B$9</f>
        <v/>
      </c>
      <c r="Q7" s="6">
        <f>L7*Premissas!$B$10</f>
        <v/>
      </c>
      <c r="R7" s="6">
        <f>SUM(M7:Q7)</f>
        <v/>
      </c>
      <c r="S7" s="6">
        <f>L7-R7</f>
        <v/>
      </c>
      <c r="T7" s="6">
        <f>T6+S7</f>
        <v/>
      </c>
      <c r="U7" s="6">
        <f>I7*(1-Premissas!$B$9-Premissas!$B$10)-O7-M7</f>
        <v/>
      </c>
      <c r="V7" s="6">
        <f>G7*Premissas!$B$5/2</f>
        <v/>
      </c>
      <c r="W7" s="6">
        <f>E7*6+F7*4</f>
        <v/>
      </c>
      <c r="X7" s="6">
        <f>X6+I7-K7</f>
        <v/>
      </c>
    </row>
    <row r="8">
      <c r="A8" s="7" t="n">
        <v>6</v>
      </c>
      <c r="B8" s="6">
        <f>Agenda!C31</f>
        <v/>
      </c>
      <c r="C8" s="6">
        <f>IF(A8&gt;Premissas!$B$11,INDEX(Agenda!$D$26:$D$49,A8-Premissas!$B$11),0)</f>
        <v/>
      </c>
      <c r="D8" s="6">
        <f>Agenda!E31</f>
        <v/>
      </c>
      <c r="E8" s="6">
        <f>E7+C8-D8</f>
        <v/>
      </c>
      <c r="F8" s="6">
        <f>IF(A8&gt;=Premissas!$B$16,ROUNDDOWN(E8*Premissas!$B$14,0),0)</f>
        <v/>
      </c>
      <c r="G8" s="6">
        <f>B8+B7</f>
        <v/>
      </c>
      <c r="H8" s="6">
        <f>G8*Premissas!$B$2/2</f>
        <v/>
      </c>
      <c r="I8" s="6">
        <f>E8*Premissas!$B$3+F8*Premissas!$B$4</f>
        <v/>
      </c>
      <c r="J8" s="6">
        <f>H8+I8</f>
        <v/>
      </c>
      <c r="K8" s="6">
        <f>IF(A8&gt;Premissas!$B$12,INDEX($I$3:$I$26,A8-Premissas!$B$12),0)</f>
        <v/>
      </c>
      <c r="L8" s="6">
        <f>H8+K8</f>
        <v/>
      </c>
      <c r="M8" s="6">
        <f>IF(A8&lt;=6,Premissas!$B$17,IF(A8&lt;=12,Premissas!$B$18,Premissas!$B$19))</f>
        <v/>
      </c>
      <c r="N8" s="6">
        <f>G8*Premissas!$B$5/2*Premissas!$B$6</f>
        <v/>
      </c>
      <c r="O8" s="6">
        <f>E8*Premissas!$B$7+F8*Premissas!$B$8</f>
        <v/>
      </c>
      <c r="P8" s="6">
        <f>J8*Premissas!$B$9</f>
        <v/>
      </c>
      <c r="Q8" s="6">
        <f>L8*Premissas!$B$10</f>
        <v/>
      </c>
      <c r="R8" s="6">
        <f>SUM(M8:Q8)</f>
        <v/>
      </c>
      <c r="S8" s="6">
        <f>L8-R8</f>
        <v/>
      </c>
      <c r="T8" s="6">
        <f>T7+S8</f>
        <v/>
      </c>
      <c r="U8" s="6">
        <f>I8*(1-Premissas!$B$9-Premissas!$B$10)-O8-M8</f>
        <v/>
      </c>
      <c r="V8" s="6">
        <f>G8*Premissas!$B$5/2</f>
        <v/>
      </c>
      <c r="W8" s="6">
        <f>E8*6+F8*4</f>
        <v/>
      </c>
      <c r="X8" s="6">
        <f>X7+I8-K8</f>
        <v/>
      </c>
    </row>
    <row r="9">
      <c r="A9" s="7" t="n">
        <v>7</v>
      </c>
      <c r="B9" s="6">
        <f>Agenda!C32</f>
        <v/>
      </c>
      <c r="C9" s="6">
        <f>IF(A9&gt;Premissas!$B$11,INDEX(Agenda!$D$26:$D$49,A9-Premissas!$B$11),0)</f>
        <v/>
      </c>
      <c r="D9" s="6">
        <f>Agenda!E32</f>
        <v/>
      </c>
      <c r="E9" s="6">
        <f>E8+C9-D9</f>
        <v/>
      </c>
      <c r="F9" s="6">
        <f>IF(A9&gt;=Premissas!$B$16,ROUNDDOWN(E9*Premissas!$B$14,0),0)</f>
        <v/>
      </c>
      <c r="G9" s="6">
        <f>B9+B8</f>
        <v/>
      </c>
      <c r="H9" s="6">
        <f>G9*Premissas!$B$2/2</f>
        <v/>
      </c>
      <c r="I9" s="6">
        <f>E9*Premissas!$B$3+F9*Premissas!$B$4</f>
        <v/>
      </c>
      <c r="J9" s="6">
        <f>H9+I9</f>
        <v/>
      </c>
      <c r="K9" s="6">
        <f>IF(A9&gt;Premissas!$B$12,INDEX($I$3:$I$26,A9-Premissas!$B$12),0)</f>
        <v/>
      </c>
      <c r="L9" s="6">
        <f>H9+K9</f>
        <v/>
      </c>
      <c r="M9" s="6">
        <f>IF(A9&lt;=6,Premissas!$B$17,IF(A9&lt;=12,Premissas!$B$18,Premissas!$B$19))</f>
        <v/>
      </c>
      <c r="N9" s="6">
        <f>G9*Premissas!$B$5/2*Premissas!$B$6</f>
        <v/>
      </c>
      <c r="O9" s="6">
        <f>E9*Premissas!$B$7+F9*Premissas!$B$8</f>
        <v/>
      </c>
      <c r="P9" s="6">
        <f>J9*Premissas!$B$9</f>
        <v/>
      </c>
      <c r="Q9" s="6">
        <f>L9*Premissas!$B$10</f>
        <v/>
      </c>
      <c r="R9" s="6">
        <f>SUM(M9:Q9)</f>
        <v/>
      </c>
      <c r="S9" s="6">
        <f>L9-R9</f>
        <v/>
      </c>
      <c r="T9" s="6">
        <f>T8+S9</f>
        <v/>
      </c>
      <c r="U9" s="6">
        <f>I9*(1-Premissas!$B$9-Premissas!$B$10)-O9-M9</f>
        <v/>
      </c>
      <c r="V9" s="6">
        <f>G9*Premissas!$B$5/2</f>
        <v/>
      </c>
      <c r="W9" s="6">
        <f>E9*6+F9*4</f>
        <v/>
      </c>
      <c r="X9" s="6">
        <f>X8+I9-K9</f>
        <v/>
      </c>
    </row>
    <row r="10">
      <c r="A10" s="7" t="n">
        <v>8</v>
      </c>
      <c r="B10" s="6">
        <f>Agenda!C33</f>
        <v/>
      </c>
      <c r="C10" s="6">
        <f>IF(A10&gt;Premissas!$B$11,INDEX(Agenda!$D$26:$D$49,A10-Premissas!$B$11),0)</f>
        <v/>
      </c>
      <c r="D10" s="6">
        <f>Agenda!E33</f>
        <v/>
      </c>
      <c r="E10" s="6">
        <f>E9+C10-D10</f>
        <v/>
      </c>
      <c r="F10" s="6">
        <f>IF(A10&gt;=Premissas!$B$16,ROUNDDOWN(E10*Premissas!$B$14,0),0)</f>
        <v/>
      </c>
      <c r="G10" s="6">
        <f>B10+B9</f>
        <v/>
      </c>
      <c r="H10" s="6">
        <f>G10*Premissas!$B$2/2</f>
        <v/>
      </c>
      <c r="I10" s="6">
        <f>E10*Premissas!$B$3+F10*Premissas!$B$4</f>
        <v/>
      </c>
      <c r="J10" s="6">
        <f>H10+I10</f>
        <v/>
      </c>
      <c r="K10" s="6">
        <f>IF(A10&gt;Premissas!$B$12,INDEX($I$3:$I$26,A10-Premissas!$B$12),0)</f>
        <v/>
      </c>
      <c r="L10" s="6">
        <f>H10+K10</f>
        <v/>
      </c>
      <c r="M10" s="6">
        <f>IF(A10&lt;=6,Premissas!$B$17,IF(A10&lt;=12,Premissas!$B$18,Premissas!$B$19))</f>
        <v/>
      </c>
      <c r="N10" s="6">
        <f>G10*Premissas!$B$5/2*Premissas!$B$6</f>
        <v/>
      </c>
      <c r="O10" s="6">
        <f>E10*Premissas!$B$7+F10*Premissas!$B$8</f>
        <v/>
      </c>
      <c r="P10" s="6">
        <f>J10*Premissas!$B$9</f>
        <v/>
      </c>
      <c r="Q10" s="6">
        <f>L10*Premissas!$B$10</f>
        <v/>
      </c>
      <c r="R10" s="6">
        <f>SUM(M10:Q10)</f>
        <v/>
      </c>
      <c r="S10" s="6">
        <f>L10-R10</f>
        <v/>
      </c>
      <c r="T10" s="6">
        <f>T9+S10</f>
        <v/>
      </c>
      <c r="U10" s="6">
        <f>I10*(1-Premissas!$B$9-Premissas!$B$10)-O10-M10</f>
        <v/>
      </c>
      <c r="V10" s="6">
        <f>G10*Premissas!$B$5/2</f>
        <v/>
      </c>
      <c r="W10" s="6">
        <f>E10*6+F10*4</f>
        <v/>
      </c>
      <c r="X10" s="6">
        <f>X9+I10-K10</f>
        <v/>
      </c>
    </row>
    <row r="11">
      <c r="A11" s="7" t="n">
        <v>9</v>
      </c>
      <c r="B11" s="6">
        <f>Agenda!C34</f>
        <v/>
      </c>
      <c r="C11" s="6">
        <f>IF(A11&gt;Premissas!$B$11,INDEX(Agenda!$D$26:$D$49,A11-Premissas!$B$11),0)</f>
        <v/>
      </c>
      <c r="D11" s="6">
        <f>Agenda!E34</f>
        <v/>
      </c>
      <c r="E11" s="6">
        <f>E10+C11-D11</f>
        <v/>
      </c>
      <c r="F11" s="6">
        <f>IF(A11&gt;=Premissas!$B$16,ROUNDDOWN(E11*Premissas!$B$14,0),0)</f>
        <v/>
      </c>
      <c r="G11" s="6">
        <f>B11+B10</f>
        <v/>
      </c>
      <c r="H11" s="6">
        <f>G11*Premissas!$B$2/2</f>
        <v/>
      </c>
      <c r="I11" s="6">
        <f>E11*Premissas!$B$3+F11*Premissas!$B$4</f>
        <v/>
      </c>
      <c r="J11" s="6">
        <f>H11+I11</f>
        <v/>
      </c>
      <c r="K11" s="6">
        <f>IF(A11&gt;Premissas!$B$12,INDEX($I$3:$I$26,A11-Premissas!$B$12),0)</f>
        <v/>
      </c>
      <c r="L11" s="6">
        <f>H11+K11</f>
        <v/>
      </c>
      <c r="M11" s="6">
        <f>IF(A11&lt;=6,Premissas!$B$17,IF(A11&lt;=12,Premissas!$B$18,Premissas!$B$19))</f>
        <v/>
      </c>
      <c r="N11" s="6">
        <f>G11*Premissas!$B$5/2*Premissas!$B$6</f>
        <v/>
      </c>
      <c r="O11" s="6">
        <f>E11*Premissas!$B$7+F11*Premissas!$B$8</f>
        <v/>
      </c>
      <c r="P11" s="6">
        <f>J11*Premissas!$B$9</f>
        <v/>
      </c>
      <c r="Q11" s="6">
        <f>L11*Premissas!$B$10</f>
        <v/>
      </c>
      <c r="R11" s="6">
        <f>SUM(M11:Q11)</f>
        <v/>
      </c>
      <c r="S11" s="6">
        <f>L11-R11</f>
        <v/>
      </c>
      <c r="T11" s="6">
        <f>T10+S11</f>
        <v/>
      </c>
      <c r="U11" s="6">
        <f>I11*(1-Premissas!$B$9-Premissas!$B$10)-O11-M11</f>
        <v/>
      </c>
      <c r="V11" s="6">
        <f>G11*Premissas!$B$5/2</f>
        <v/>
      </c>
      <c r="W11" s="6">
        <f>E11*6+F11*4</f>
        <v/>
      </c>
      <c r="X11" s="6">
        <f>X10+I11-K11</f>
        <v/>
      </c>
    </row>
    <row r="12">
      <c r="A12" s="7" t="n">
        <v>10</v>
      </c>
      <c r="B12" s="6">
        <f>Agenda!C35</f>
        <v/>
      </c>
      <c r="C12" s="6">
        <f>IF(A12&gt;Premissas!$B$11,INDEX(Agenda!$D$26:$D$49,A12-Premissas!$B$11),0)</f>
        <v/>
      </c>
      <c r="D12" s="6">
        <f>Agenda!E35</f>
        <v/>
      </c>
      <c r="E12" s="6">
        <f>E11+C12-D12</f>
        <v/>
      </c>
      <c r="F12" s="6">
        <f>IF(A12&gt;=Premissas!$B$16,ROUNDDOWN(E12*Premissas!$B$14,0),0)</f>
        <v/>
      </c>
      <c r="G12" s="6">
        <f>B12+B11</f>
        <v/>
      </c>
      <c r="H12" s="6">
        <f>G12*Premissas!$B$2/2</f>
        <v/>
      </c>
      <c r="I12" s="6">
        <f>E12*Premissas!$B$3+F12*Premissas!$B$4</f>
        <v/>
      </c>
      <c r="J12" s="6">
        <f>H12+I12</f>
        <v/>
      </c>
      <c r="K12" s="6">
        <f>IF(A12&gt;Premissas!$B$12,INDEX($I$3:$I$26,A12-Premissas!$B$12),0)</f>
        <v/>
      </c>
      <c r="L12" s="6">
        <f>H12+K12</f>
        <v/>
      </c>
      <c r="M12" s="6">
        <f>IF(A12&lt;=6,Premissas!$B$17,IF(A12&lt;=12,Premissas!$B$18,Premissas!$B$19))</f>
        <v/>
      </c>
      <c r="N12" s="6">
        <f>G12*Premissas!$B$5/2*Premissas!$B$6</f>
        <v/>
      </c>
      <c r="O12" s="6">
        <f>E12*Premissas!$B$7+F12*Premissas!$B$8</f>
        <v/>
      </c>
      <c r="P12" s="6">
        <f>J12*Premissas!$B$9</f>
        <v/>
      </c>
      <c r="Q12" s="6">
        <f>L12*Premissas!$B$10</f>
        <v/>
      </c>
      <c r="R12" s="6">
        <f>SUM(M12:Q12)</f>
        <v/>
      </c>
      <c r="S12" s="6">
        <f>L12-R12</f>
        <v/>
      </c>
      <c r="T12" s="6">
        <f>T11+S12</f>
        <v/>
      </c>
      <c r="U12" s="6">
        <f>I12*(1-Premissas!$B$9-Premissas!$B$10)-O12-M12</f>
        <v/>
      </c>
      <c r="V12" s="6">
        <f>G12*Premissas!$B$5/2</f>
        <v/>
      </c>
      <c r="W12" s="6">
        <f>E12*6+F12*4</f>
        <v/>
      </c>
      <c r="X12" s="6">
        <f>X11+I12-K12</f>
        <v/>
      </c>
    </row>
    <row r="13">
      <c r="A13" s="7" t="n">
        <v>11</v>
      </c>
      <c r="B13" s="6">
        <f>Agenda!C36</f>
        <v/>
      </c>
      <c r="C13" s="6">
        <f>IF(A13&gt;Premissas!$B$11,INDEX(Agenda!$D$26:$D$49,A13-Premissas!$B$11),0)</f>
        <v/>
      </c>
      <c r="D13" s="6">
        <f>Agenda!E36</f>
        <v/>
      </c>
      <c r="E13" s="6">
        <f>E12+C13-D13</f>
        <v/>
      </c>
      <c r="F13" s="6">
        <f>IF(A13&gt;=Premissas!$B$16,ROUNDDOWN(E13*Premissas!$B$14,0),0)</f>
        <v/>
      </c>
      <c r="G13" s="6">
        <f>B13+B12</f>
        <v/>
      </c>
      <c r="H13" s="6">
        <f>G13*Premissas!$B$2/2</f>
        <v/>
      </c>
      <c r="I13" s="6">
        <f>E13*Premissas!$B$3+F13*Premissas!$B$4</f>
        <v/>
      </c>
      <c r="J13" s="6">
        <f>H13+I13</f>
        <v/>
      </c>
      <c r="K13" s="6">
        <f>IF(A13&gt;Premissas!$B$12,INDEX($I$3:$I$26,A13-Premissas!$B$12),0)</f>
        <v/>
      </c>
      <c r="L13" s="6">
        <f>H13+K13</f>
        <v/>
      </c>
      <c r="M13" s="6">
        <f>IF(A13&lt;=6,Premissas!$B$17,IF(A13&lt;=12,Premissas!$B$18,Premissas!$B$19))</f>
        <v/>
      </c>
      <c r="N13" s="6">
        <f>G13*Premissas!$B$5/2*Premissas!$B$6</f>
        <v/>
      </c>
      <c r="O13" s="6">
        <f>E13*Premissas!$B$7+F13*Premissas!$B$8</f>
        <v/>
      </c>
      <c r="P13" s="6">
        <f>J13*Premissas!$B$9</f>
        <v/>
      </c>
      <c r="Q13" s="6">
        <f>L13*Premissas!$B$10</f>
        <v/>
      </c>
      <c r="R13" s="6">
        <f>SUM(M13:Q13)</f>
        <v/>
      </c>
      <c r="S13" s="6">
        <f>L13-R13</f>
        <v/>
      </c>
      <c r="T13" s="6">
        <f>T12+S13</f>
        <v/>
      </c>
      <c r="U13" s="6">
        <f>I13*(1-Premissas!$B$9-Premissas!$B$10)-O13-M13</f>
        <v/>
      </c>
      <c r="V13" s="6">
        <f>G13*Premissas!$B$5/2</f>
        <v/>
      </c>
      <c r="W13" s="6">
        <f>E13*6+F13*4</f>
        <v/>
      </c>
      <c r="X13" s="6">
        <f>X12+I13-K13</f>
        <v/>
      </c>
    </row>
    <row r="14">
      <c r="A14" s="7" t="n">
        <v>12</v>
      </c>
      <c r="B14" s="6">
        <f>Agenda!C37</f>
        <v/>
      </c>
      <c r="C14" s="6">
        <f>IF(A14&gt;Premissas!$B$11,INDEX(Agenda!$D$26:$D$49,A14-Premissas!$B$11),0)</f>
        <v/>
      </c>
      <c r="D14" s="6">
        <f>Agenda!E37</f>
        <v/>
      </c>
      <c r="E14" s="6">
        <f>E13+C14-D14</f>
        <v/>
      </c>
      <c r="F14" s="6">
        <f>IF(A14&gt;=Premissas!$B$16,ROUNDDOWN(E14*Premissas!$B$14,0),0)</f>
        <v/>
      </c>
      <c r="G14" s="6">
        <f>B14+B13</f>
        <v/>
      </c>
      <c r="H14" s="6">
        <f>G14*Premissas!$B$2/2</f>
        <v/>
      </c>
      <c r="I14" s="6">
        <f>E14*Premissas!$B$3+F14*Premissas!$B$4</f>
        <v/>
      </c>
      <c r="J14" s="6">
        <f>H14+I14</f>
        <v/>
      </c>
      <c r="K14" s="6">
        <f>IF(A14&gt;Premissas!$B$12,INDEX($I$3:$I$26,A14-Premissas!$B$12),0)</f>
        <v/>
      </c>
      <c r="L14" s="6">
        <f>H14+K14</f>
        <v/>
      </c>
      <c r="M14" s="6">
        <f>IF(A14&lt;=6,Premissas!$B$17,IF(A14&lt;=12,Premissas!$B$18,Premissas!$B$19))</f>
        <v/>
      </c>
      <c r="N14" s="6">
        <f>G14*Premissas!$B$5/2*Premissas!$B$6</f>
        <v/>
      </c>
      <c r="O14" s="6">
        <f>E14*Premissas!$B$7+F14*Premissas!$B$8</f>
        <v/>
      </c>
      <c r="P14" s="6">
        <f>J14*Premissas!$B$9</f>
        <v/>
      </c>
      <c r="Q14" s="6">
        <f>L14*Premissas!$B$10</f>
        <v/>
      </c>
      <c r="R14" s="6">
        <f>SUM(M14:Q14)</f>
        <v/>
      </c>
      <c r="S14" s="6">
        <f>L14-R14</f>
        <v/>
      </c>
      <c r="T14" s="6">
        <f>T13+S14</f>
        <v/>
      </c>
      <c r="U14" s="6">
        <f>I14*(1-Premissas!$B$9-Premissas!$B$10)-O14-M14</f>
        <v/>
      </c>
      <c r="V14" s="6">
        <f>G14*Premissas!$B$5/2</f>
        <v/>
      </c>
      <c r="W14" s="6">
        <f>E14*6+F14*4</f>
        <v/>
      </c>
      <c r="X14" s="6">
        <f>X13+I14-K14</f>
        <v/>
      </c>
    </row>
    <row r="15">
      <c r="A15" s="7" t="n">
        <v>13</v>
      </c>
      <c r="B15" s="6">
        <f>Agenda!C38</f>
        <v/>
      </c>
      <c r="C15" s="6">
        <f>IF(A15&gt;Premissas!$B$11,INDEX(Agenda!$D$26:$D$49,A15-Premissas!$B$11),0)</f>
        <v/>
      </c>
      <c r="D15" s="6">
        <f>Agenda!E38</f>
        <v/>
      </c>
      <c r="E15" s="6">
        <f>E14+C15-D15</f>
        <v/>
      </c>
      <c r="F15" s="6">
        <f>IF(A15&gt;=Premissas!$B$16,ROUNDDOWN(E15*Premissas!$B$14,0),0)</f>
        <v/>
      </c>
      <c r="G15" s="6">
        <f>B15+B14</f>
        <v/>
      </c>
      <c r="H15" s="6">
        <f>G15*Premissas!$B$2/2</f>
        <v/>
      </c>
      <c r="I15" s="6">
        <f>E15*Premissas!$B$3+F15*Premissas!$B$4</f>
        <v/>
      </c>
      <c r="J15" s="6">
        <f>H15+I15</f>
        <v/>
      </c>
      <c r="K15" s="6">
        <f>IF(A15&gt;Premissas!$B$12,INDEX($I$3:$I$26,A15-Premissas!$B$12),0)</f>
        <v/>
      </c>
      <c r="L15" s="6">
        <f>H15+K15</f>
        <v/>
      </c>
      <c r="M15" s="6">
        <f>IF(A15&lt;=6,Premissas!$B$17,IF(A15&lt;=12,Premissas!$B$18,Premissas!$B$19))</f>
        <v/>
      </c>
      <c r="N15" s="6">
        <f>G15*Premissas!$B$5/2*Premissas!$B$6</f>
        <v/>
      </c>
      <c r="O15" s="6">
        <f>E15*Premissas!$B$7+F15*Premissas!$B$8</f>
        <v/>
      </c>
      <c r="P15" s="6">
        <f>J15*Premissas!$B$9</f>
        <v/>
      </c>
      <c r="Q15" s="6">
        <f>L15*Premissas!$B$10</f>
        <v/>
      </c>
      <c r="R15" s="6">
        <f>SUM(M15:Q15)</f>
        <v/>
      </c>
      <c r="S15" s="6">
        <f>L15-R15</f>
        <v/>
      </c>
      <c r="T15" s="6">
        <f>T14+S15</f>
        <v/>
      </c>
      <c r="U15" s="6">
        <f>I15*(1-Premissas!$B$9-Premissas!$B$10)-O15-M15</f>
        <v/>
      </c>
      <c r="V15" s="6">
        <f>G15*Premissas!$B$5/2</f>
        <v/>
      </c>
      <c r="W15" s="6">
        <f>E15*6+F15*4</f>
        <v/>
      </c>
      <c r="X15" s="6">
        <f>X14+I15-K15</f>
        <v/>
      </c>
    </row>
    <row r="16">
      <c r="A16" s="7" t="n">
        <v>14</v>
      </c>
      <c r="B16" s="6">
        <f>Agenda!C39</f>
        <v/>
      </c>
      <c r="C16" s="6">
        <f>IF(A16&gt;Premissas!$B$11,INDEX(Agenda!$D$26:$D$49,A16-Premissas!$B$11),0)</f>
        <v/>
      </c>
      <c r="D16" s="6">
        <f>Agenda!E39</f>
        <v/>
      </c>
      <c r="E16" s="6">
        <f>E15+C16-D16</f>
        <v/>
      </c>
      <c r="F16" s="6">
        <f>IF(A16&gt;=Premissas!$B$16,ROUNDDOWN(E16*Premissas!$B$14,0),0)</f>
        <v/>
      </c>
      <c r="G16" s="6">
        <f>B16+B15</f>
        <v/>
      </c>
      <c r="H16" s="6">
        <f>G16*Premissas!$B$2/2</f>
        <v/>
      </c>
      <c r="I16" s="6">
        <f>E16*Premissas!$B$3+F16*Premissas!$B$4</f>
        <v/>
      </c>
      <c r="J16" s="6">
        <f>H16+I16</f>
        <v/>
      </c>
      <c r="K16" s="6">
        <f>IF(A16&gt;Premissas!$B$12,INDEX($I$3:$I$26,A16-Premissas!$B$12),0)</f>
        <v/>
      </c>
      <c r="L16" s="6">
        <f>H16+K16</f>
        <v/>
      </c>
      <c r="M16" s="6">
        <f>IF(A16&lt;=6,Premissas!$B$17,IF(A16&lt;=12,Premissas!$B$18,Premissas!$B$19))</f>
        <v/>
      </c>
      <c r="N16" s="6">
        <f>G16*Premissas!$B$5/2*Premissas!$B$6</f>
        <v/>
      </c>
      <c r="O16" s="6">
        <f>E16*Premissas!$B$7+F16*Premissas!$B$8</f>
        <v/>
      </c>
      <c r="P16" s="6">
        <f>J16*Premissas!$B$9</f>
        <v/>
      </c>
      <c r="Q16" s="6">
        <f>L16*Premissas!$B$10</f>
        <v/>
      </c>
      <c r="R16" s="6">
        <f>SUM(M16:Q16)</f>
        <v/>
      </c>
      <c r="S16" s="6">
        <f>L16-R16</f>
        <v/>
      </c>
      <c r="T16" s="6">
        <f>T15+S16</f>
        <v/>
      </c>
      <c r="U16" s="6">
        <f>I16*(1-Premissas!$B$9-Premissas!$B$10)-O16-M16</f>
        <v/>
      </c>
      <c r="V16" s="6">
        <f>G16*Premissas!$B$5/2</f>
        <v/>
      </c>
      <c r="W16" s="6">
        <f>E16*6+F16*4</f>
        <v/>
      </c>
      <c r="X16" s="6">
        <f>X15+I16-K16</f>
        <v/>
      </c>
    </row>
    <row r="17">
      <c r="A17" s="7" t="n">
        <v>15</v>
      </c>
      <c r="B17" s="6">
        <f>Agenda!C40</f>
        <v/>
      </c>
      <c r="C17" s="6">
        <f>IF(A17&gt;Premissas!$B$11,INDEX(Agenda!$D$26:$D$49,A17-Premissas!$B$11),0)</f>
        <v/>
      </c>
      <c r="D17" s="6">
        <f>Agenda!E40</f>
        <v/>
      </c>
      <c r="E17" s="6">
        <f>E16+C17-D17</f>
        <v/>
      </c>
      <c r="F17" s="6">
        <f>IF(A17&gt;=Premissas!$B$16,ROUNDDOWN(E17*Premissas!$B$14,0),0)</f>
        <v/>
      </c>
      <c r="G17" s="6">
        <f>B17+B16</f>
        <v/>
      </c>
      <c r="H17" s="6">
        <f>G17*Premissas!$B$2/2</f>
        <v/>
      </c>
      <c r="I17" s="6">
        <f>E17*Premissas!$B$3+F17*Premissas!$B$4</f>
        <v/>
      </c>
      <c r="J17" s="6">
        <f>H17+I17</f>
        <v/>
      </c>
      <c r="K17" s="6">
        <f>IF(A17&gt;Premissas!$B$12,INDEX($I$3:$I$26,A17-Premissas!$B$12),0)</f>
        <v/>
      </c>
      <c r="L17" s="6">
        <f>H17+K17</f>
        <v/>
      </c>
      <c r="M17" s="6">
        <f>IF(A17&lt;=6,Premissas!$B$17,IF(A17&lt;=12,Premissas!$B$18,Premissas!$B$19))</f>
        <v/>
      </c>
      <c r="N17" s="6">
        <f>G17*Premissas!$B$5/2*Premissas!$B$6</f>
        <v/>
      </c>
      <c r="O17" s="6">
        <f>E17*Premissas!$B$7+F17*Premissas!$B$8</f>
        <v/>
      </c>
      <c r="P17" s="6">
        <f>J17*Premissas!$B$9</f>
        <v/>
      </c>
      <c r="Q17" s="6">
        <f>L17*Premissas!$B$10</f>
        <v/>
      </c>
      <c r="R17" s="6">
        <f>SUM(M17:Q17)</f>
        <v/>
      </c>
      <c r="S17" s="6">
        <f>L17-R17</f>
        <v/>
      </c>
      <c r="T17" s="6">
        <f>T16+S17</f>
        <v/>
      </c>
      <c r="U17" s="6">
        <f>I17*(1-Premissas!$B$9-Premissas!$B$10)-O17-M17</f>
        <v/>
      </c>
      <c r="V17" s="6">
        <f>G17*Premissas!$B$5/2</f>
        <v/>
      </c>
      <c r="W17" s="6">
        <f>E17*6+F17*4</f>
        <v/>
      </c>
      <c r="X17" s="6">
        <f>X16+I17-K17</f>
        <v/>
      </c>
    </row>
    <row r="18">
      <c r="A18" s="7" t="n">
        <v>16</v>
      </c>
      <c r="B18" s="6">
        <f>Agenda!C41</f>
        <v/>
      </c>
      <c r="C18" s="6">
        <f>IF(A18&gt;Premissas!$B$11,INDEX(Agenda!$D$26:$D$49,A18-Premissas!$B$11),0)</f>
        <v/>
      </c>
      <c r="D18" s="6">
        <f>Agenda!E41</f>
        <v/>
      </c>
      <c r="E18" s="6">
        <f>E17+C18-D18</f>
        <v/>
      </c>
      <c r="F18" s="6">
        <f>IF(A18&gt;=Premissas!$B$16,ROUNDDOWN(E18*Premissas!$B$14,0),0)</f>
        <v/>
      </c>
      <c r="G18" s="6">
        <f>B18+B17</f>
        <v/>
      </c>
      <c r="H18" s="6">
        <f>G18*Premissas!$B$2/2</f>
        <v/>
      </c>
      <c r="I18" s="6">
        <f>E18*Premissas!$B$3+F18*Premissas!$B$4</f>
        <v/>
      </c>
      <c r="J18" s="6">
        <f>H18+I18</f>
        <v/>
      </c>
      <c r="K18" s="6">
        <f>IF(A18&gt;Premissas!$B$12,INDEX($I$3:$I$26,A18-Premissas!$B$12),0)</f>
        <v/>
      </c>
      <c r="L18" s="6">
        <f>H18+K18</f>
        <v/>
      </c>
      <c r="M18" s="6">
        <f>IF(A18&lt;=6,Premissas!$B$17,IF(A18&lt;=12,Premissas!$B$18,Premissas!$B$19))</f>
        <v/>
      </c>
      <c r="N18" s="6">
        <f>G18*Premissas!$B$5/2*Premissas!$B$6</f>
        <v/>
      </c>
      <c r="O18" s="6">
        <f>E18*Premissas!$B$7+F18*Premissas!$B$8</f>
        <v/>
      </c>
      <c r="P18" s="6">
        <f>J18*Premissas!$B$9</f>
        <v/>
      </c>
      <c r="Q18" s="6">
        <f>L18*Premissas!$B$10</f>
        <v/>
      </c>
      <c r="R18" s="6">
        <f>SUM(M18:Q18)</f>
        <v/>
      </c>
      <c r="S18" s="6">
        <f>L18-R18</f>
        <v/>
      </c>
      <c r="T18" s="6">
        <f>T17+S18</f>
        <v/>
      </c>
      <c r="U18" s="6">
        <f>I18*(1-Premissas!$B$9-Premissas!$B$10)-O18-M18</f>
        <v/>
      </c>
      <c r="V18" s="6">
        <f>G18*Premissas!$B$5/2</f>
        <v/>
      </c>
      <c r="W18" s="6">
        <f>E18*6+F18*4</f>
        <v/>
      </c>
      <c r="X18" s="6">
        <f>X17+I18-K18</f>
        <v/>
      </c>
    </row>
    <row r="19">
      <c r="A19" s="7" t="n">
        <v>17</v>
      </c>
      <c r="B19" s="6">
        <f>Agenda!C42</f>
        <v/>
      </c>
      <c r="C19" s="6">
        <f>IF(A19&gt;Premissas!$B$11,INDEX(Agenda!$D$26:$D$49,A19-Premissas!$B$11),0)</f>
        <v/>
      </c>
      <c r="D19" s="6">
        <f>Agenda!E42</f>
        <v/>
      </c>
      <c r="E19" s="6">
        <f>E18+C19-D19</f>
        <v/>
      </c>
      <c r="F19" s="6">
        <f>IF(A19&gt;=Premissas!$B$16,ROUNDDOWN(E19*Premissas!$B$14,0),0)</f>
        <v/>
      </c>
      <c r="G19" s="6">
        <f>B19+B18</f>
        <v/>
      </c>
      <c r="H19" s="6">
        <f>G19*Premissas!$B$2/2</f>
        <v/>
      </c>
      <c r="I19" s="6">
        <f>E19*Premissas!$B$3+F19*Premissas!$B$4</f>
        <v/>
      </c>
      <c r="J19" s="6">
        <f>H19+I19</f>
        <v/>
      </c>
      <c r="K19" s="6">
        <f>IF(A19&gt;Premissas!$B$12,INDEX($I$3:$I$26,A19-Premissas!$B$12),0)</f>
        <v/>
      </c>
      <c r="L19" s="6">
        <f>H19+K19</f>
        <v/>
      </c>
      <c r="M19" s="6">
        <f>IF(A19&lt;=6,Premissas!$B$17,IF(A19&lt;=12,Premissas!$B$18,Premissas!$B$19))</f>
        <v/>
      </c>
      <c r="N19" s="6">
        <f>G19*Premissas!$B$5/2*Premissas!$B$6</f>
        <v/>
      </c>
      <c r="O19" s="6">
        <f>E19*Premissas!$B$7+F19*Premissas!$B$8</f>
        <v/>
      </c>
      <c r="P19" s="6">
        <f>J19*Premissas!$B$9</f>
        <v/>
      </c>
      <c r="Q19" s="6">
        <f>L19*Premissas!$B$10</f>
        <v/>
      </c>
      <c r="R19" s="6">
        <f>SUM(M19:Q19)</f>
        <v/>
      </c>
      <c r="S19" s="6">
        <f>L19-R19</f>
        <v/>
      </c>
      <c r="T19" s="6">
        <f>T18+S19</f>
        <v/>
      </c>
      <c r="U19" s="6">
        <f>I19*(1-Premissas!$B$9-Premissas!$B$10)-O19-M19</f>
        <v/>
      </c>
      <c r="V19" s="6">
        <f>G19*Premissas!$B$5/2</f>
        <v/>
      </c>
      <c r="W19" s="6">
        <f>E19*6+F19*4</f>
        <v/>
      </c>
      <c r="X19" s="6">
        <f>X18+I19-K19</f>
        <v/>
      </c>
    </row>
    <row r="20">
      <c r="A20" s="7" t="n">
        <v>18</v>
      </c>
      <c r="B20" s="6">
        <f>Agenda!C43</f>
        <v/>
      </c>
      <c r="C20" s="6">
        <f>IF(A20&gt;Premissas!$B$11,INDEX(Agenda!$D$26:$D$49,A20-Premissas!$B$11),0)</f>
        <v/>
      </c>
      <c r="D20" s="6">
        <f>Agenda!E43</f>
        <v/>
      </c>
      <c r="E20" s="6">
        <f>E19+C20-D20</f>
        <v/>
      </c>
      <c r="F20" s="6">
        <f>IF(A20&gt;=Premissas!$B$16,ROUNDDOWN(E20*Premissas!$B$14,0),0)</f>
        <v/>
      </c>
      <c r="G20" s="6">
        <f>B20+B19</f>
        <v/>
      </c>
      <c r="H20" s="6">
        <f>G20*Premissas!$B$2/2</f>
        <v/>
      </c>
      <c r="I20" s="6">
        <f>E20*Premissas!$B$3+F20*Premissas!$B$4</f>
        <v/>
      </c>
      <c r="J20" s="6">
        <f>H20+I20</f>
        <v/>
      </c>
      <c r="K20" s="6">
        <f>IF(A20&gt;Premissas!$B$12,INDEX($I$3:$I$26,A20-Premissas!$B$12),0)</f>
        <v/>
      </c>
      <c r="L20" s="6">
        <f>H20+K20</f>
        <v/>
      </c>
      <c r="M20" s="6">
        <f>IF(A20&lt;=6,Premissas!$B$17,IF(A20&lt;=12,Premissas!$B$18,Premissas!$B$19))</f>
        <v/>
      </c>
      <c r="N20" s="6">
        <f>G20*Premissas!$B$5/2*Premissas!$B$6</f>
        <v/>
      </c>
      <c r="O20" s="6">
        <f>E20*Premissas!$B$7+F20*Premissas!$B$8</f>
        <v/>
      </c>
      <c r="P20" s="6">
        <f>J20*Premissas!$B$9</f>
        <v/>
      </c>
      <c r="Q20" s="6">
        <f>L20*Premissas!$B$10</f>
        <v/>
      </c>
      <c r="R20" s="6">
        <f>SUM(M20:Q20)</f>
        <v/>
      </c>
      <c r="S20" s="6">
        <f>L20-R20</f>
        <v/>
      </c>
      <c r="T20" s="6">
        <f>T19+S20</f>
        <v/>
      </c>
      <c r="U20" s="6">
        <f>I20*(1-Premissas!$B$9-Premissas!$B$10)-O20-M20</f>
        <v/>
      </c>
      <c r="V20" s="6">
        <f>G20*Premissas!$B$5/2</f>
        <v/>
      </c>
      <c r="W20" s="6">
        <f>E20*6+F20*4</f>
        <v/>
      </c>
      <c r="X20" s="6">
        <f>X19+I20-K20</f>
        <v/>
      </c>
    </row>
    <row r="21">
      <c r="A21" s="7" t="n">
        <v>19</v>
      </c>
      <c r="B21" s="6">
        <f>Agenda!C44</f>
        <v/>
      </c>
      <c r="C21" s="6">
        <f>IF(A21&gt;Premissas!$B$11,INDEX(Agenda!$D$26:$D$49,A21-Premissas!$B$11),0)</f>
        <v/>
      </c>
      <c r="D21" s="6">
        <f>Agenda!E44</f>
        <v/>
      </c>
      <c r="E21" s="6">
        <f>E20+C21-D21</f>
        <v/>
      </c>
      <c r="F21" s="6">
        <f>IF(A21&gt;=Premissas!$B$16,ROUNDDOWN(E21*Premissas!$B$14,0),0)</f>
        <v/>
      </c>
      <c r="G21" s="6">
        <f>B21+B20</f>
        <v/>
      </c>
      <c r="H21" s="6">
        <f>G21*Premissas!$B$2/2</f>
        <v/>
      </c>
      <c r="I21" s="6">
        <f>E21*Premissas!$B$3+F21*Premissas!$B$4</f>
        <v/>
      </c>
      <c r="J21" s="6">
        <f>H21+I21</f>
        <v/>
      </c>
      <c r="K21" s="6">
        <f>IF(A21&gt;Premissas!$B$12,INDEX($I$3:$I$26,A21-Premissas!$B$12),0)</f>
        <v/>
      </c>
      <c r="L21" s="6">
        <f>H21+K21</f>
        <v/>
      </c>
      <c r="M21" s="6">
        <f>IF(A21&lt;=6,Premissas!$B$17,IF(A21&lt;=12,Premissas!$B$18,Premissas!$B$19))</f>
        <v/>
      </c>
      <c r="N21" s="6">
        <f>G21*Premissas!$B$5/2*Premissas!$B$6</f>
        <v/>
      </c>
      <c r="O21" s="6">
        <f>E21*Premissas!$B$7+F21*Premissas!$B$8</f>
        <v/>
      </c>
      <c r="P21" s="6">
        <f>J21*Premissas!$B$9</f>
        <v/>
      </c>
      <c r="Q21" s="6">
        <f>L21*Premissas!$B$10</f>
        <v/>
      </c>
      <c r="R21" s="6">
        <f>SUM(M21:Q21)</f>
        <v/>
      </c>
      <c r="S21" s="6">
        <f>L21-R21</f>
        <v/>
      </c>
      <c r="T21" s="6">
        <f>T20+S21</f>
        <v/>
      </c>
      <c r="U21" s="6">
        <f>I21*(1-Premissas!$B$9-Premissas!$B$10)-O21-M21</f>
        <v/>
      </c>
      <c r="V21" s="6">
        <f>G21*Premissas!$B$5/2</f>
        <v/>
      </c>
      <c r="W21" s="6">
        <f>E21*6+F21*4</f>
        <v/>
      </c>
      <c r="X21" s="6">
        <f>X20+I21-K21</f>
        <v/>
      </c>
    </row>
    <row r="22">
      <c r="A22" s="7" t="n">
        <v>20</v>
      </c>
      <c r="B22" s="6">
        <f>Agenda!C45</f>
        <v/>
      </c>
      <c r="C22" s="6">
        <f>IF(A22&gt;Premissas!$B$11,INDEX(Agenda!$D$26:$D$49,A22-Premissas!$B$11),0)</f>
        <v/>
      </c>
      <c r="D22" s="6">
        <f>Agenda!E45</f>
        <v/>
      </c>
      <c r="E22" s="6">
        <f>E21+C22-D22</f>
        <v/>
      </c>
      <c r="F22" s="6">
        <f>IF(A22&gt;=Premissas!$B$16,ROUNDDOWN(E22*Premissas!$B$14,0),0)</f>
        <v/>
      </c>
      <c r="G22" s="6">
        <f>B22+B21</f>
        <v/>
      </c>
      <c r="H22" s="6">
        <f>G22*Premissas!$B$2/2</f>
        <v/>
      </c>
      <c r="I22" s="6">
        <f>E22*Premissas!$B$3+F22*Premissas!$B$4</f>
        <v/>
      </c>
      <c r="J22" s="6">
        <f>H22+I22</f>
        <v/>
      </c>
      <c r="K22" s="6">
        <f>IF(A22&gt;Premissas!$B$12,INDEX($I$3:$I$26,A22-Premissas!$B$12),0)</f>
        <v/>
      </c>
      <c r="L22" s="6">
        <f>H22+K22</f>
        <v/>
      </c>
      <c r="M22" s="6">
        <f>IF(A22&lt;=6,Premissas!$B$17,IF(A22&lt;=12,Premissas!$B$18,Premissas!$B$19))</f>
        <v/>
      </c>
      <c r="N22" s="6">
        <f>G22*Premissas!$B$5/2*Premissas!$B$6</f>
        <v/>
      </c>
      <c r="O22" s="6">
        <f>E22*Premissas!$B$7+F22*Premissas!$B$8</f>
        <v/>
      </c>
      <c r="P22" s="6">
        <f>J22*Premissas!$B$9</f>
        <v/>
      </c>
      <c r="Q22" s="6">
        <f>L22*Premissas!$B$10</f>
        <v/>
      </c>
      <c r="R22" s="6">
        <f>SUM(M22:Q22)</f>
        <v/>
      </c>
      <c r="S22" s="6">
        <f>L22-R22</f>
        <v/>
      </c>
      <c r="T22" s="6">
        <f>T21+S22</f>
        <v/>
      </c>
      <c r="U22" s="6">
        <f>I22*(1-Premissas!$B$9-Premissas!$B$10)-O22-M22</f>
        <v/>
      </c>
      <c r="V22" s="6">
        <f>G22*Premissas!$B$5/2</f>
        <v/>
      </c>
      <c r="W22" s="6">
        <f>E22*6+F22*4</f>
        <v/>
      </c>
      <c r="X22" s="6">
        <f>X21+I22-K22</f>
        <v/>
      </c>
    </row>
    <row r="23">
      <c r="A23" s="7" t="n">
        <v>21</v>
      </c>
      <c r="B23" s="6">
        <f>Agenda!C46</f>
        <v/>
      </c>
      <c r="C23" s="6">
        <f>IF(A23&gt;Premissas!$B$11,INDEX(Agenda!$D$26:$D$49,A23-Premissas!$B$11),0)</f>
        <v/>
      </c>
      <c r="D23" s="6">
        <f>Agenda!E46</f>
        <v/>
      </c>
      <c r="E23" s="6">
        <f>E22+C23-D23</f>
        <v/>
      </c>
      <c r="F23" s="6">
        <f>IF(A23&gt;=Premissas!$B$16,ROUNDDOWN(E23*Premissas!$B$14,0),0)</f>
        <v/>
      </c>
      <c r="G23" s="6">
        <f>B23+B22</f>
        <v/>
      </c>
      <c r="H23" s="6">
        <f>G23*Premissas!$B$2/2</f>
        <v/>
      </c>
      <c r="I23" s="6">
        <f>E23*Premissas!$B$3+F23*Premissas!$B$4</f>
        <v/>
      </c>
      <c r="J23" s="6">
        <f>H23+I23</f>
        <v/>
      </c>
      <c r="K23" s="6">
        <f>IF(A23&gt;Premissas!$B$12,INDEX($I$3:$I$26,A23-Premissas!$B$12),0)</f>
        <v/>
      </c>
      <c r="L23" s="6">
        <f>H23+K23</f>
        <v/>
      </c>
      <c r="M23" s="6">
        <f>IF(A23&lt;=6,Premissas!$B$17,IF(A23&lt;=12,Premissas!$B$18,Premissas!$B$19))</f>
        <v/>
      </c>
      <c r="N23" s="6">
        <f>G23*Premissas!$B$5/2*Premissas!$B$6</f>
        <v/>
      </c>
      <c r="O23" s="6">
        <f>E23*Premissas!$B$7+F23*Premissas!$B$8</f>
        <v/>
      </c>
      <c r="P23" s="6">
        <f>J23*Premissas!$B$9</f>
        <v/>
      </c>
      <c r="Q23" s="6">
        <f>L23*Premissas!$B$10</f>
        <v/>
      </c>
      <c r="R23" s="6">
        <f>SUM(M23:Q23)</f>
        <v/>
      </c>
      <c r="S23" s="6">
        <f>L23-R23</f>
        <v/>
      </c>
      <c r="T23" s="6">
        <f>T22+S23</f>
        <v/>
      </c>
      <c r="U23" s="6">
        <f>I23*(1-Premissas!$B$9-Premissas!$B$10)-O23-M23</f>
        <v/>
      </c>
      <c r="V23" s="6">
        <f>G23*Premissas!$B$5/2</f>
        <v/>
      </c>
      <c r="W23" s="6">
        <f>E23*6+F23*4</f>
        <v/>
      </c>
      <c r="X23" s="6">
        <f>X22+I23-K23</f>
        <v/>
      </c>
    </row>
    <row r="24">
      <c r="A24" s="7" t="n">
        <v>22</v>
      </c>
      <c r="B24" s="6">
        <f>Agenda!C47</f>
        <v/>
      </c>
      <c r="C24" s="6">
        <f>IF(A24&gt;Premissas!$B$11,INDEX(Agenda!$D$26:$D$49,A24-Premissas!$B$11),0)</f>
        <v/>
      </c>
      <c r="D24" s="6">
        <f>Agenda!E47</f>
        <v/>
      </c>
      <c r="E24" s="6">
        <f>E23+C24-D24</f>
        <v/>
      </c>
      <c r="F24" s="6">
        <f>IF(A24&gt;=Premissas!$B$16,ROUNDDOWN(E24*Premissas!$B$14,0),0)</f>
        <v/>
      </c>
      <c r="G24" s="6">
        <f>B24+B23</f>
        <v/>
      </c>
      <c r="H24" s="6">
        <f>G24*Premissas!$B$2/2</f>
        <v/>
      </c>
      <c r="I24" s="6">
        <f>E24*Premissas!$B$3+F24*Premissas!$B$4</f>
        <v/>
      </c>
      <c r="J24" s="6">
        <f>H24+I24</f>
        <v/>
      </c>
      <c r="K24" s="6">
        <f>IF(A24&gt;Premissas!$B$12,INDEX($I$3:$I$26,A24-Premissas!$B$12),0)</f>
        <v/>
      </c>
      <c r="L24" s="6">
        <f>H24+K24</f>
        <v/>
      </c>
      <c r="M24" s="6">
        <f>IF(A24&lt;=6,Premissas!$B$17,IF(A24&lt;=12,Premissas!$B$18,Premissas!$B$19))</f>
        <v/>
      </c>
      <c r="N24" s="6">
        <f>G24*Premissas!$B$5/2*Premissas!$B$6</f>
        <v/>
      </c>
      <c r="O24" s="6">
        <f>E24*Premissas!$B$7+F24*Premissas!$B$8</f>
        <v/>
      </c>
      <c r="P24" s="6">
        <f>J24*Premissas!$B$9</f>
        <v/>
      </c>
      <c r="Q24" s="6">
        <f>L24*Premissas!$B$10</f>
        <v/>
      </c>
      <c r="R24" s="6">
        <f>SUM(M24:Q24)</f>
        <v/>
      </c>
      <c r="S24" s="6">
        <f>L24-R24</f>
        <v/>
      </c>
      <c r="T24" s="6">
        <f>T23+S24</f>
        <v/>
      </c>
      <c r="U24" s="6">
        <f>I24*(1-Premissas!$B$9-Premissas!$B$10)-O24-M24</f>
        <v/>
      </c>
      <c r="V24" s="6">
        <f>G24*Premissas!$B$5/2</f>
        <v/>
      </c>
      <c r="W24" s="6">
        <f>E24*6+F24*4</f>
        <v/>
      </c>
      <c r="X24" s="6">
        <f>X23+I24-K24</f>
        <v/>
      </c>
    </row>
    <row r="25">
      <c r="A25" s="7" t="n">
        <v>23</v>
      </c>
      <c r="B25" s="6">
        <f>Agenda!C48</f>
        <v/>
      </c>
      <c r="C25" s="6">
        <f>IF(A25&gt;Premissas!$B$11,INDEX(Agenda!$D$26:$D$49,A25-Premissas!$B$11),0)</f>
        <v/>
      </c>
      <c r="D25" s="6">
        <f>Agenda!E48</f>
        <v/>
      </c>
      <c r="E25" s="6">
        <f>E24+C25-D25</f>
        <v/>
      </c>
      <c r="F25" s="6">
        <f>IF(A25&gt;=Premissas!$B$16,ROUNDDOWN(E25*Premissas!$B$14,0),0)</f>
        <v/>
      </c>
      <c r="G25" s="6">
        <f>B25+B24</f>
        <v/>
      </c>
      <c r="H25" s="6">
        <f>G25*Premissas!$B$2/2</f>
        <v/>
      </c>
      <c r="I25" s="6">
        <f>E25*Premissas!$B$3+F25*Premissas!$B$4</f>
        <v/>
      </c>
      <c r="J25" s="6">
        <f>H25+I25</f>
        <v/>
      </c>
      <c r="K25" s="6">
        <f>IF(A25&gt;Premissas!$B$12,INDEX($I$3:$I$26,A25-Premissas!$B$12),0)</f>
        <v/>
      </c>
      <c r="L25" s="6">
        <f>H25+K25</f>
        <v/>
      </c>
      <c r="M25" s="6">
        <f>IF(A25&lt;=6,Premissas!$B$17,IF(A25&lt;=12,Premissas!$B$18,Premissas!$B$19))</f>
        <v/>
      </c>
      <c r="N25" s="6">
        <f>G25*Premissas!$B$5/2*Premissas!$B$6</f>
        <v/>
      </c>
      <c r="O25" s="6">
        <f>E25*Premissas!$B$7+F25*Premissas!$B$8</f>
        <v/>
      </c>
      <c r="P25" s="6">
        <f>J25*Premissas!$B$9</f>
        <v/>
      </c>
      <c r="Q25" s="6">
        <f>L25*Premissas!$B$10</f>
        <v/>
      </c>
      <c r="R25" s="6">
        <f>SUM(M25:Q25)</f>
        <v/>
      </c>
      <c r="S25" s="6">
        <f>L25-R25</f>
        <v/>
      </c>
      <c r="T25" s="6">
        <f>T24+S25</f>
        <v/>
      </c>
      <c r="U25" s="6">
        <f>I25*(1-Premissas!$B$9-Premissas!$B$10)-O25-M25</f>
        <v/>
      </c>
      <c r="V25" s="6">
        <f>G25*Premissas!$B$5/2</f>
        <v/>
      </c>
      <c r="W25" s="6">
        <f>E25*6+F25*4</f>
        <v/>
      </c>
      <c r="X25" s="6">
        <f>X24+I25-K25</f>
        <v/>
      </c>
    </row>
    <row r="26">
      <c r="A26" s="7" t="n">
        <v>24</v>
      </c>
      <c r="B26" s="6">
        <f>Agenda!C49</f>
        <v/>
      </c>
      <c r="C26" s="6">
        <f>IF(A26&gt;Premissas!$B$11,INDEX(Agenda!$D$26:$D$49,A26-Premissas!$B$11),0)</f>
        <v/>
      </c>
      <c r="D26" s="6">
        <f>Agenda!E49</f>
        <v/>
      </c>
      <c r="E26" s="6">
        <f>E25+C26-D26</f>
        <v/>
      </c>
      <c r="F26" s="6">
        <f>IF(A26&gt;=Premissas!$B$16,ROUNDDOWN(E26*Premissas!$B$14,0),0)</f>
        <v/>
      </c>
      <c r="G26" s="6">
        <f>B26+B25</f>
        <v/>
      </c>
      <c r="H26" s="6">
        <f>G26*Premissas!$B$2/2</f>
        <v/>
      </c>
      <c r="I26" s="6">
        <f>E26*Premissas!$B$3+F26*Premissas!$B$4</f>
        <v/>
      </c>
      <c r="J26" s="6">
        <f>H26+I26</f>
        <v/>
      </c>
      <c r="K26" s="6">
        <f>IF(A26&gt;Premissas!$B$12,INDEX($I$3:$I$26,A26-Premissas!$B$12),0)</f>
        <v/>
      </c>
      <c r="L26" s="6">
        <f>H26+K26</f>
        <v/>
      </c>
      <c r="M26" s="6">
        <f>IF(A26&lt;=6,Premissas!$B$17,IF(A26&lt;=12,Premissas!$B$18,Premissas!$B$19))</f>
        <v/>
      </c>
      <c r="N26" s="6">
        <f>G26*Premissas!$B$5/2*Premissas!$B$6</f>
        <v/>
      </c>
      <c r="O26" s="6">
        <f>E26*Premissas!$B$7+F26*Premissas!$B$8</f>
        <v/>
      </c>
      <c r="P26" s="6">
        <f>J26*Premissas!$B$9</f>
        <v/>
      </c>
      <c r="Q26" s="6">
        <f>L26*Premissas!$B$10</f>
        <v/>
      </c>
      <c r="R26" s="6">
        <f>SUM(M26:Q26)</f>
        <v/>
      </c>
      <c r="S26" s="6">
        <f>L26-R26</f>
        <v/>
      </c>
      <c r="T26" s="6">
        <f>T25+S26</f>
        <v/>
      </c>
      <c r="U26" s="6">
        <f>I26*(1-Premissas!$B$9-Premissas!$B$10)-O26-M26</f>
        <v/>
      </c>
      <c r="V26" s="6">
        <f>G26*Premissas!$B$5/2</f>
        <v/>
      </c>
      <c r="W26" s="6">
        <f>E26*6+F26*4</f>
        <v/>
      </c>
      <c r="X26" s="6">
        <f>X25+I26-K26</f>
        <v/>
      </c>
    </row>
  </sheetData>
  <autoFilter ref="A1:X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xSplit="7" ySplit="2" topLeftCell="H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 ht="32" customHeight="1">
      <c r="A1" s="3" t="inlineStr">
        <is>
          <t>Mês</t>
        </is>
      </c>
      <c r="B1" s="3" t="inlineStr">
        <is>
          <t>Projetos novos</t>
        </is>
      </c>
      <c r="C1" s="3" t="inlineStr">
        <is>
          <t>Assinaturas novas</t>
        </is>
      </c>
      <c r="D1" s="3" t="inlineStr">
        <is>
          <t>Saídas</t>
        </is>
      </c>
      <c r="E1" s="3" t="inlineStr">
        <is>
          <t>Clientes ativos</t>
        </is>
      </c>
      <c r="F1" s="3" t="inlineStr">
        <is>
          <t>Clientes vivos</t>
        </is>
      </c>
      <c r="G1" s="3" t="inlineStr">
        <is>
          <t>Projetos em entrega</t>
        </is>
      </c>
      <c r="H1" s="3" t="inlineStr">
        <is>
          <t>Fat. implantação</t>
        </is>
      </c>
      <c r="I1" s="3" t="inlineStr">
        <is>
          <t>Fat. recorrente/MRR</t>
        </is>
      </c>
      <c r="J1" s="3" t="inlineStr">
        <is>
          <t>Faturamento total</t>
        </is>
      </c>
      <c r="K1" s="3" t="inlineStr">
        <is>
          <t>Receb. recorrente</t>
        </is>
      </c>
      <c r="L1" s="3" t="inlineStr">
        <is>
          <t>Recebimentos totais</t>
        </is>
      </c>
      <c r="M1" s="3" t="inlineStr">
        <is>
          <t>Fixo</t>
        </is>
      </c>
      <c r="N1" s="3" t="inlineStr">
        <is>
          <t>Custo implantação</t>
        </is>
      </c>
      <c r="O1" s="3" t="inlineStr">
        <is>
          <t>Custo recorrente</t>
        </is>
      </c>
      <c r="P1" s="3" t="inlineStr">
        <is>
          <t>Provisão tributos</t>
        </is>
      </c>
      <c r="Q1" s="3" t="inlineStr">
        <is>
          <t>Reserva comercial</t>
        </is>
      </c>
      <c r="R1" s="3" t="inlineStr">
        <is>
          <t>Saídas totais</t>
        </is>
      </c>
      <c r="S1" s="3" t="inlineStr">
        <is>
          <t>Caixa do mês</t>
        </is>
      </c>
      <c r="T1" s="3" t="inlineStr">
        <is>
          <t>Acumulado sem aporte</t>
        </is>
      </c>
      <c r="U1" s="3" t="inlineStr">
        <is>
          <t>Resultado recorrente</t>
        </is>
      </c>
      <c r="V1" s="3" t="inlineStr">
        <is>
          <t>Horas implantação</t>
        </is>
      </c>
      <c r="W1" s="3" t="inlineStr">
        <is>
          <t>Horas curadoria</t>
        </is>
      </c>
      <c r="X1" s="3" t="inlineStr">
        <is>
          <t>Contas a receber recorrente</t>
        </is>
      </c>
    </row>
    <row r="2">
      <c r="A2" s="7" t="n">
        <v>0</v>
      </c>
      <c r="B2" s="7" t="n">
        <v>0</v>
      </c>
      <c r="C2" s="7" t="n">
        <v>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6">
        <f>Capex!D11</f>
        <v/>
      </c>
      <c r="S2" s="6">
        <f>-R2</f>
        <v/>
      </c>
      <c r="T2" s="6">
        <f>S2</f>
        <v/>
      </c>
      <c r="U2" s="7" t="n">
        <v>0</v>
      </c>
      <c r="V2" s="7" t="n">
        <v>0</v>
      </c>
      <c r="W2" s="7" t="n">
        <v>0</v>
      </c>
      <c r="X2" s="7" t="n">
        <v>0</v>
      </c>
    </row>
    <row r="3">
      <c r="A3" s="7" t="n">
        <v>1</v>
      </c>
      <c r="B3" s="6">
        <f>Agenda!C50</f>
        <v/>
      </c>
      <c r="C3" s="6">
        <f>IF(A3&gt;Premissas!$B$11,INDEX(Agenda!$D$50:$D$73,A3-Premissas!$B$11),0)</f>
        <v/>
      </c>
      <c r="D3" s="6">
        <f>Agenda!E50</f>
        <v/>
      </c>
      <c r="E3" s="6">
        <f>E2+C3-D3</f>
        <v/>
      </c>
      <c r="F3" s="6">
        <f>IF(A3&gt;=Premissas!$B$16,ROUNDDOWN(E3*Premissas!$B$15,0),0)</f>
        <v/>
      </c>
      <c r="G3" s="6">
        <f>B3+B2</f>
        <v/>
      </c>
      <c r="H3" s="6">
        <f>G3*Premissas!$B$2/2</f>
        <v/>
      </c>
      <c r="I3" s="6">
        <f>E3*Premissas!$B$3+F3*Premissas!$B$4</f>
        <v/>
      </c>
      <c r="J3" s="6">
        <f>H3+I3</f>
        <v/>
      </c>
      <c r="K3" s="6">
        <f>IF(A3&gt;Premissas!$B$12,INDEX($I$3:$I$26,A3-Premissas!$B$12),0)</f>
        <v/>
      </c>
      <c r="L3" s="6">
        <f>H3+K3</f>
        <v/>
      </c>
      <c r="M3" s="6">
        <f>IF(A3&lt;=6,Premissas!$B$17,IF(A3&lt;=12,Premissas!$B$18,Premissas!$B$19))</f>
        <v/>
      </c>
      <c r="N3" s="6">
        <f>G3*Premissas!$B$5/2*Premissas!$B$6</f>
        <v/>
      </c>
      <c r="O3" s="6">
        <f>E3*Premissas!$B$7+F3*Premissas!$B$8</f>
        <v/>
      </c>
      <c r="P3" s="6">
        <f>J3*Premissas!$B$9</f>
        <v/>
      </c>
      <c r="Q3" s="6">
        <f>L3*Premissas!$B$10</f>
        <v/>
      </c>
      <c r="R3" s="6">
        <f>SUM(M3:Q3)</f>
        <v/>
      </c>
      <c r="S3" s="6">
        <f>L3-R3</f>
        <v/>
      </c>
      <c r="T3" s="6">
        <f>T2+S3</f>
        <v/>
      </c>
      <c r="U3" s="6">
        <f>I3*(1-Premissas!$B$9-Premissas!$B$10)-O3-M3</f>
        <v/>
      </c>
      <c r="V3" s="6">
        <f>G3*Premissas!$B$5/2</f>
        <v/>
      </c>
      <c r="W3" s="6">
        <f>E3*6+F3*4</f>
        <v/>
      </c>
      <c r="X3" s="6">
        <f>X2+I3-K3</f>
        <v/>
      </c>
    </row>
    <row r="4">
      <c r="A4" s="7" t="n">
        <v>2</v>
      </c>
      <c r="B4" s="6">
        <f>Agenda!C51</f>
        <v/>
      </c>
      <c r="C4" s="6">
        <f>IF(A4&gt;Premissas!$B$11,INDEX(Agenda!$D$50:$D$73,A4-Premissas!$B$11),0)</f>
        <v/>
      </c>
      <c r="D4" s="6">
        <f>Agenda!E51</f>
        <v/>
      </c>
      <c r="E4" s="6">
        <f>E3+C4-D4</f>
        <v/>
      </c>
      <c r="F4" s="6">
        <f>IF(A4&gt;=Premissas!$B$16,ROUNDDOWN(E4*Premissas!$B$15,0),0)</f>
        <v/>
      </c>
      <c r="G4" s="6">
        <f>B4+B3</f>
        <v/>
      </c>
      <c r="H4" s="6">
        <f>G4*Premissas!$B$2/2</f>
        <v/>
      </c>
      <c r="I4" s="6">
        <f>E4*Premissas!$B$3+F4*Premissas!$B$4</f>
        <v/>
      </c>
      <c r="J4" s="6">
        <f>H4+I4</f>
        <v/>
      </c>
      <c r="K4" s="6">
        <f>IF(A4&gt;Premissas!$B$12,INDEX($I$3:$I$26,A4-Premissas!$B$12),0)</f>
        <v/>
      </c>
      <c r="L4" s="6">
        <f>H4+K4</f>
        <v/>
      </c>
      <c r="M4" s="6">
        <f>IF(A4&lt;=6,Premissas!$B$17,IF(A4&lt;=12,Premissas!$B$18,Premissas!$B$19))</f>
        <v/>
      </c>
      <c r="N4" s="6">
        <f>G4*Premissas!$B$5/2*Premissas!$B$6</f>
        <v/>
      </c>
      <c r="O4" s="6">
        <f>E4*Premissas!$B$7+F4*Premissas!$B$8</f>
        <v/>
      </c>
      <c r="P4" s="6">
        <f>J4*Premissas!$B$9</f>
        <v/>
      </c>
      <c r="Q4" s="6">
        <f>L4*Premissas!$B$10</f>
        <v/>
      </c>
      <c r="R4" s="6">
        <f>SUM(M4:Q4)</f>
        <v/>
      </c>
      <c r="S4" s="6">
        <f>L4-R4</f>
        <v/>
      </c>
      <c r="T4" s="6">
        <f>T3+S4</f>
        <v/>
      </c>
      <c r="U4" s="6">
        <f>I4*(1-Premissas!$B$9-Premissas!$B$10)-O4-M4</f>
        <v/>
      </c>
      <c r="V4" s="6">
        <f>G4*Premissas!$B$5/2</f>
        <v/>
      </c>
      <c r="W4" s="6">
        <f>E4*6+F4*4</f>
        <v/>
      </c>
      <c r="X4" s="6">
        <f>X3+I4-K4</f>
        <v/>
      </c>
    </row>
    <row r="5">
      <c r="A5" s="7" t="n">
        <v>3</v>
      </c>
      <c r="B5" s="6">
        <f>Agenda!C52</f>
        <v/>
      </c>
      <c r="C5" s="6">
        <f>IF(A5&gt;Premissas!$B$11,INDEX(Agenda!$D$50:$D$73,A5-Premissas!$B$11),0)</f>
        <v/>
      </c>
      <c r="D5" s="6">
        <f>Agenda!E52</f>
        <v/>
      </c>
      <c r="E5" s="6">
        <f>E4+C5-D5</f>
        <v/>
      </c>
      <c r="F5" s="6">
        <f>IF(A5&gt;=Premissas!$B$16,ROUNDDOWN(E5*Premissas!$B$15,0),0)</f>
        <v/>
      </c>
      <c r="G5" s="6">
        <f>B5+B4</f>
        <v/>
      </c>
      <c r="H5" s="6">
        <f>G5*Premissas!$B$2/2</f>
        <v/>
      </c>
      <c r="I5" s="6">
        <f>E5*Premissas!$B$3+F5*Premissas!$B$4</f>
        <v/>
      </c>
      <c r="J5" s="6">
        <f>H5+I5</f>
        <v/>
      </c>
      <c r="K5" s="6">
        <f>IF(A5&gt;Premissas!$B$12,INDEX($I$3:$I$26,A5-Premissas!$B$12),0)</f>
        <v/>
      </c>
      <c r="L5" s="6">
        <f>H5+K5</f>
        <v/>
      </c>
      <c r="M5" s="6">
        <f>IF(A5&lt;=6,Premissas!$B$17,IF(A5&lt;=12,Premissas!$B$18,Premissas!$B$19))</f>
        <v/>
      </c>
      <c r="N5" s="6">
        <f>G5*Premissas!$B$5/2*Premissas!$B$6</f>
        <v/>
      </c>
      <c r="O5" s="6">
        <f>E5*Premissas!$B$7+F5*Premissas!$B$8</f>
        <v/>
      </c>
      <c r="P5" s="6">
        <f>J5*Premissas!$B$9</f>
        <v/>
      </c>
      <c r="Q5" s="6">
        <f>L5*Premissas!$B$10</f>
        <v/>
      </c>
      <c r="R5" s="6">
        <f>SUM(M5:Q5)</f>
        <v/>
      </c>
      <c r="S5" s="6">
        <f>L5-R5</f>
        <v/>
      </c>
      <c r="T5" s="6">
        <f>T4+S5</f>
        <v/>
      </c>
      <c r="U5" s="6">
        <f>I5*(1-Premissas!$B$9-Premissas!$B$10)-O5-M5</f>
        <v/>
      </c>
      <c r="V5" s="6">
        <f>G5*Premissas!$B$5/2</f>
        <v/>
      </c>
      <c r="W5" s="6">
        <f>E5*6+F5*4</f>
        <v/>
      </c>
      <c r="X5" s="6">
        <f>X4+I5-K5</f>
        <v/>
      </c>
    </row>
    <row r="6">
      <c r="A6" s="7" t="n">
        <v>4</v>
      </c>
      <c r="B6" s="6">
        <f>Agenda!C53</f>
        <v/>
      </c>
      <c r="C6" s="6">
        <f>IF(A6&gt;Premissas!$B$11,INDEX(Agenda!$D$50:$D$73,A6-Premissas!$B$11),0)</f>
        <v/>
      </c>
      <c r="D6" s="6">
        <f>Agenda!E53</f>
        <v/>
      </c>
      <c r="E6" s="6">
        <f>E5+C6-D6</f>
        <v/>
      </c>
      <c r="F6" s="6">
        <f>IF(A6&gt;=Premissas!$B$16,ROUNDDOWN(E6*Premissas!$B$15,0),0)</f>
        <v/>
      </c>
      <c r="G6" s="6">
        <f>B6+B5</f>
        <v/>
      </c>
      <c r="H6" s="6">
        <f>G6*Premissas!$B$2/2</f>
        <v/>
      </c>
      <c r="I6" s="6">
        <f>E6*Premissas!$B$3+F6*Premissas!$B$4</f>
        <v/>
      </c>
      <c r="J6" s="6">
        <f>H6+I6</f>
        <v/>
      </c>
      <c r="K6" s="6">
        <f>IF(A6&gt;Premissas!$B$12,INDEX($I$3:$I$26,A6-Premissas!$B$12),0)</f>
        <v/>
      </c>
      <c r="L6" s="6">
        <f>H6+K6</f>
        <v/>
      </c>
      <c r="M6" s="6">
        <f>IF(A6&lt;=6,Premissas!$B$17,IF(A6&lt;=12,Premissas!$B$18,Premissas!$B$19))</f>
        <v/>
      </c>
      <c r="N6" s="6">
        <f>G6*Premissas!$B$5/2*Premissas!$B$6</f>
        <v/>
      </c>
      <c r="O6" s="6">
        <f>E6*Premissas!$B$7+F6*Premissas!$B$8</f>
        <v/>
      </c>
      <c r="P6" s="6">
        <f>J6*Premissas!$B$9</f>
        <v/>
      </c>
      <c r="Q6" s="6">
        <f>L6*Premissas!$B$10</f>
        <v/>
      </c>
      <c r="R6" s="6">
        <f>SUM(M6:Q6)</f>
        <v/>
      </c>
      <c r="S6" s="6">
        <f>L6-R6</f>
        <v/>
      </c>
      <c r="T6" s="6">
        <f>T5+S6</f>
        <v/>
      </c>
      <c r="U6" s="6">
        <f>I6*(1-Premissas!$B$9-Premissas!$B$10)-O6-M6</f>
        <v/>
      </c>
      <c r="V6" s="6">
        <f>G6*Premissas!$B$5/2</f>
        <v/>
      </c>
      <c r="W6" s="6">
        <f>E6*6+F6*4</f>
        <v/>
      </c>
      <c r="X6" s="6">
        <f>X5+I6-K6</f>
        <v/>
      </c>
    </row>
    <row r="7">
      <c r="A7" s="7" t="n">
        <v>5</v>
      </c>
      <c r="B7" s="6">
        <f>Agenda!C54</f>
        <v/>
      </c>
      <c r="C7" s="6">
        <f>IF(A7&gt;Premissas!$B$11,INDEX(Agenda!$D$50:$D$73,A7-Premissas!$B$11),0)</f>
        <v/>
      </c>
      <c r="D7" s="6">
        <f>Agenda!E54</f>
        <v/>
      </c>
      <c r="E7" s="6">
        <f>E6+C7-D7</f>
        <v/>
      </c>
      <c r="F7" s="6">
        <f>IF(A7&gt;=Premissas!$B$16,ROUNDDOWN(E7*Premissas!$B$15,0),0)</f>
        <v/>
      </c>
      <c r="G7" s="6">
        <f>B7+B6</f>
        <v/>
      </c>
      <c r="H7" s="6">
        <f>G7*Premissas!$B$2/2</f>
        <v/>
      </c>
      <c r="I7" s="6">
        <f>E7*Premissas!$B$3+F7*Premissas!$B$4</f>
        <v/>
      </c>
      <c r="J7" s="6">
        <f>H7+I7</f>
        <v/>
      </c>
      <c r="K7" s="6">
        <f>IF(A7&gt;Premissas!$B$12,INDEX($I$3:$I$26,A7-Premissas!$B$12),0)</f>
        <v/>
      </c>
      <c r="L7" s="6">
        <f>H7+K7</f>
        <v/>
      </c>
      <c r="M7" s="6">
        <f>IF(A7&lt;=6,Premissas!$B$17,IF(A7&lt;=12,Premissas!$B$18,Premissas!$B$19))</f>
        <v/>
      </c>
      <c r="N7" s="6">
        <f>G7*Premissas!$B$5/2*Premissas!$B$6</f>
        <v/>
      </c>
      <c r="O7" s="6">
        <f>E7*Premissas!$B$7+F7*Premissas!$B$8</f>
        <v/>
      </c>
      <c r="P7" s="6">
        <f>J7*Premissas!$B$9</f>
        <v/>
      </c>
      <c r="Q7" s="6">
        <f>L7*Premissas!$B$10</f>
        <v/>
      </c>
      <c r="R7" s="6">
        <f>SUM(M7:Q7)</f>
        <v/>
      </c>
      <c r="S7" s="6">
        <f>L7-R7</f>
        <v/>
      </c>
      <c r="T7" s="6">
        <f>T6+S7</f>
        <v/>
      </c>
      <c r="U7" s="6">
        <f>I7*(1-Premissas!$B$9-Premissas!$B$10)-O7-M7</f>
        <v/>
      </c>
      <c r="V7" s="6">
        <f>G7*Premissas!$B$5/2</f>
        <v/>
      </c>
      <c r="W7" s="6">
        <f>E7*6+F7*4</f>
        <v/>
      </c>
      <c r="X7" s="6">
        <f>X6+I7-K7</f>
        <v/>
      </c>
    </row>
    <row r="8">
      <c r="A8" s="7" t="n">
        <v>6</v>
      </c>
      <c r="B8" s="6">
        <f>Agenda!C55</f>
        <v/>
      </c>
      <c r="C8" s="6">
        <f>IF(A8&gt;Premissas!$B$11,INDEX(Agenda!$D$50:$D$73,A8-Premissas!$B$11),0)</f>
        <v/>
      </c>
      <c r="D8" s="6">
        <f>Agenda!E55</f>
        <v/>
      </c>
      <c r="E8" s="6">
        <f>E7+C8-D8</f>
        <v/>
      </c>
      <c r="F8" s="6">
        <f>IF(A8&gt;=Premissas!$B$16,ROUNDDOWN(E8*Premissas!$B$15,0),0)</f>
        <v/>
      </c>
      <c r="G8" s="6">
        <f>B8+B7</f>
        <v/>
      </c>
      <c r="H8" s="6">
        <f>G8*Premissas!$B$2/2</f>
        <v/>
      </c>
      <c r="I8" s="6">
        <f>E8*Premissas!$B$3+F8*Premissas!$B$4</f>
        <v/>
      </c>
      <c r="J8" s="6">
        <f>H8+I8</f>
        <v/>
      </c>
      <c r="K8" s="6">
        <f>IF(A8&gt;Premissas!$B$12,INDEX($I$3:$I$26,A8-Premissas!$B$12),0)</f>
        <v/>
      </c>
      <c r="L8" s="6">
        <f>H8+K8</f>
        <v/>
      </c>
      <c r="M8" s="6">
        <f>IF(A8&lt;=6,Premissas!$B$17,IF(A8&lt;=12,Premissas!$B$18,Premissas!$B$19))</f>
        <v/>
      </c>
      <c r="N8" s="6">
        <f>G8*Premissas!$B$5/2*Premissas!$B$6</f>
        <v/>
      </c>
      <c r="O8" s="6">
        <f>E8*Premissas!$B$7+F8*Premissas!$B$8</f>
        <v/>
      </c>
      <c r="P8" s="6">
        <f>J8*Premissas!$B$9</f>
        <v/>
      </c>
      <c r="Q8" s="6">
        <f>L8*Premissas!$B$10</f>
        <v/>
      </c>
      <c r="R8" s="6">
        <f>SUM(M8:Q8)</f>
        <v/>
      </c>
      <c r="S8" s="6">
        <f>L8-R8</f>
        <v/>
      </c>
      <c r="T8" s="6">
        <f>T7+S8</f>
        <v/>
      </c>
      <c r="U8" s="6">
        <f>I8*(1-Premissas!$B$9-Premissas!$B$10)-O8-M8</f>
        <v/>
      </c>
      <c r="V8" s="6">
        <f>G8*Premissas!$B$5/2</f>
        <v/>
      </c>
      <c r="W8" s="6">
        <f>E8*6+F8*4</f>
        <v/>
      </c>
      <c r="X8" s="6">
        <f>X7+I8-K8</f>
        <v/>
      </c>
    </row>
    <row r="9">
      <c r="A9" s="7" t="n">
        <v>7</v>
      </c>
      <c r="B9" s="6">
        <f>Agenda!C56</f>
        <v/>
      </c>
      <c r="C9" s="6">
        <f>IF(A9&gt;Premissas!$B$11,INDEX(Agenda!$D$50:$D$73,A9-Premissas!$B$11),0)</f>
        <v/>
      </c>
      <c r="D9" s="6">
        <f>Agenda!E56</f>
        <v/>
      </c>
      <c r="E9" s="6">
        <f>E8+C9-D9</f>
        <v/>
      </c>
      <c r="F9" s="6">
        <f>IF(A9&gt;=Premissas!$B$16,ROUNDDOWN(E9*Premissas!$B$15,0),0)</f>
        <v/>
      </c>
      <c r="G9" s="6">
        <f>B9+B8</f>
        <v/>
      </c>
      <c r="H9" s="6">
        <f>G9*Premissas!$B$2/2</f>
        <v/>
      </c>
      <c r="I9" s="6">
        <f>E9*Premissas!$B$3+F9*Premissas!$B$4</f>
        <v/>
      </c>
      <c r="J9" s="6">
        <f>H9+I9</f>
        <v/>
      </c>
      <c r="K9" s="6">
        <f>IF(A9&gt;Premissas!$B$12,INDEX($I$3:$I$26,A9-Premissas!$B$12),0)</f>
        <v/>
      </c>
      <c r="L9" s="6">
        <f>H9+K9</f>
        <v/>
      </c>
      <c r="M9" s="6">
        <f>IF(A9&lt;=6,Premissas!$B$17,IF(A9&lt;=12,Premissas!$B$18,Premissas!$B$19))</f>
        <v/>
      </c>
      <c r="N9" s="6">
        <f>G9*Premissas!$B$5/2*Premissas!$B$6</f>
        <v/>
      </c>
      <c r="O9" s="6">
        <f>E9*Premissas!$B$7+F9*Premissas!$B$8</f>
        <v/>
      </c>
      <c r="P9" s="6">
        <f>J9*Premissas!$B$9</f>
        <v/>
      </c>
      <c r="Q9" s="6">
        <f>L9*Premissas!$B$10</f>
        <v/>
      </c>
      <c r="R9" s="6">
        <f>SUM(M9:Q9)</f>
        <v/>
      </c>
      <c r="S9" s="6">
        <f>L9-R9</f>
        <v/>
      </c>
      <c r="T9" s="6">
        <f>T8+S9</f>
        <v/>
      </c>
      <c r="U9" s="6">
        <f>I9*(1-Premissas!$B$9-Premissas!$B$10)-O9-M9</f>
        <v/>
      </c>
      <c r="V9" s="6">
        <f>G9*Premissas!$B$5/2</f>
        <v/>
      </c>
      <c r="W9" s="6">
        <f>E9*6+F9*4</f>
        <v/>
      </c>
      <c r="X9" s="6">
        <f>X8+I9-K9</f>
        <v/>
      </c>
    </row>
    <row r="10">
      <c r="A10" s="7" t="n">
        <v>8</v>
      </c>
      <c r="B10" s="6">
        <f>Agenda!C57</f>
        <v/>
      </c>
      <c r="C10" s="6">
        <f>IF(A10&gt;Premissas!$B$11,INDEX(Agenda!$D$50:$D$73,A10-Premissas!$B$11),0)</f>
        <v/>
      </c>
      <c r="D10" s="6">
        <f>Agenda!E57</f>
        <v/>
      </c>
      <c r="E10" s="6">
        <f>E9+C10-D10</f>
        <v/>
      </c>
      <c r="F10" s="6">
        <f>IF(A10&gt;=Premissas!$B$16,ROUNDDOWN(E10*Premissas!$B$15,0),0)</f>
        <v/>
      </c>
      <c r="G10" s="6">
        <f>B10+B9</f>
        <v/>
      </c>
      <c r="H10" s="6">
        <f>G10*Premissas!$B$2/2</f>
        <v/>
      </c>
      <c r="I10" s="6">
        <f>E10*Premissas!$B$3+F10*Premissas!$B$4</f>
        <v/>
      </c>
      <c r="J10" s="6">
        <f>H10+I10</f>
        <v/>
      </c>
      <c r="K10" s="6">
        <f>IF(A10&gt;Premissas!$B$12,INDEX($I$3:$I$26,A10-Premissas!$B$12),0)</f>
        <v/>
      </c>
      <c r="L10" s="6">
        <f>H10+K10</f>
        <v/>
      </c>
      <c r="M10" s="6">
        <f>IF(A10&lt;=6,Premissas!$B$17,IF(A10&lt;=12,Premissas!$B$18,Premissas!$B$19))</f>
        <v/>
      </c>
      <c r="N10" s="6">
        <f>G10*Premissas!$B$5/2*Premissas!$B$6</f>
        <v/>
      </c>
      <c r="O10" s="6">
        <f>E10*Premissas!$B$7+F10*Premissas!$B$8</f>
        <v/>
      </c>
      <c r="P10" s="6">
        <f>J10*Premissas!$B$9</f>
        <v/>
      </c>
      <c r="Q10" s="6">
        <f>L10*Premissas!$B$10</f>
        <v/>
      </c>
      <c r="R10" s="6">
        <f>SUM(M10:Q10)</f>
        <v/>
      </c>
      <c r="S10" s="6">
        <f>L10-R10</f>
        <v/>
      </c>
      <c r="T10" s="6">
        <f>T9+S10</f>
        <v/>
      </c>
      <c r="U10" s="6">
        <f>I10*(1-Premissas!$B$9-Premissas!$B$10)-O10-M10</f>
        <v/>
      </c>
      <c r="V10" s="6">
        <f>G10*Premissas!$B$5/2</f>
        <v/>
      </c>
      <c r="W10" s="6">
        <f>E10*6+F10*4</f>
        <v/>
      </c>
      <c r="X10" s="6">
        <f>X9+I10-K10</f>
        <v/>
      </c>
    </row>
    <row r="11">
      <c r="A11" s="7" t="n">
        <v>9</v>
      </c>
      <c r="B11" s="6">
        <f>Agenda!C58</f>
        <v/>
      </c>
      <c r="C11" s="6">
        <f>IF(A11&gt;Premissas!$B$11,INDEX(Agenda!$D$50:$D$73,A11-Premissas!$B$11),0)</f>
        <v/>
      </c>
      <c r="D11" s="6">
        <f>Agenda!E58</f>
        <v/>
      </c>
      <c r="E11" s="6">
        <f>E10+C11-D11</f>
        <v/>
      </c>
      <c r="F11" s="6">
        <f>IF(A11&gt;=Premissas!$B$16,ROUNDDOWN(E11*Premissas!$B$15,0),0)</f>
        <v/>
      </c>
      <c r="G11" s="6">
        <f>B11+B10</f>
        <v/>
      </c>
      <c r="H11" s="6">
        <f>G11*Premissas!$B$2/2</f>
        <v/>
      </c>
      <c r="I11" s="6">
        <f>E11*Premissas!$B$3+F11*Premissas!$B$4</f>
        <v/>
      </c>
      <c r="J11" s="6">
        <f>H11+I11</f>
        <v/>
      </c>
      <c r="K11" s="6">
        <f>IF(A11&gt;Premissas!$B$12,INDEX($I$3:$I$26,A11-Premissas!$B$12),0)</f>
        <v/>
      </c>
      <c r="L11" s="6">
        <f>H11+K11</f>
        <v/>
      </c>
      <c r="M11" s="6">
        <f>IF(A11&lt;=6,Premissas!$B$17,IF(A11&lt;=12,Premissas!$B$18,Premissas!$B$19))</f>
        <v/>
      </c>
      <c r="N11" s="6">
        <f>G11*Premissas!$B$5/2*Premissas!$B$6</f>
        <v/>
      </c>
      <c r="O11" s="6">
        <f>E11*Premissas!$B$7+F11*Premissas!$B$8</f>
        <v/>
      </c>
      <c r="P11" s="6">
        <f>J11*Premissas!$B$9</f>
        <v/>
      </c>
      <c r="Q11" s="6">
        <f>L11*Premissas!$B$10</f>
        <v/>
      </c>
      <c r="R11" s="6">
        <f>SUM(M11:Q11)</f>
        <v/>
      </c>
      <c r="S11" s="6">
        <f>L11-R11</f>
        <v/>
      </c>
      <c r="T11" s="6">
        <f>T10+S11</f>
        <v/>
      </c>
      <c r="U11" s="6">
        <f>I11*(1-Premissas!$B$9-Premissas!$B$10)-O11-M11</f>
        <v/>
      </c>
      <c r="V11" s="6">
        <f>G11*Premissas!$B$5/2</f>
        <v/>
      </c>
      <c r="W11" s="6">
        <f>E11*6+F11*4</f>
        <v/>
      </c>
      <c r="X11" s="6">
        <f>X10+I11-K11</f>
        <v/>
      </c>
    </row>
    <row r="12">
      <c r="A12" s="7" t="n">
        <v>10</v>
      </c>
      <c r="B12" s="6">
        <f>Agenda!C59</f>
        <v/>
      </c>
      <c r="C12" s="6">
        <f>IF(A12&gt;Premissas!$B$11,INDEX(Agenda!$D$50:$D$73,A12-Premissas!$B$11),0)</f>
        <v/>
      </c>
      <c r="D12" s="6">
        <f>Agenda!E59</f>
        <v/>
      </c>
      <c r="E12" s="6">
        <f>E11+C12-D12</f>
        <v/>
      </c>
      <c r="F12" s="6">
        <f>IF(A12&gt;=Premissas!$B$16,ROUNDDOWN(E12*Premissas!$B$15,0),0)</f>
        <v/>
      </c>
      <c r="G12" s="6">
        <f>B12+B11</f>
        <v/>
      </c>
      <c r="H12" s="6">
        <f>G12*Premissas!$B$2/2</f>
        <v/>
      </c>
      <c r="I12" s="6">
        <f>E12*Premissas!$B$3+F12*Premissas!$B$4</f>
        <v/>
      </c>
      <c r="J12" s="6">
        <f>H12+I12</f>
        <v/>
      </c>
      <c r="K12" s="6">
        <f>IF(A12&gt;Premissas!$B$12,INDEX($I$3:$I$26,A12-Premissas!$B$12),0)</f>
        <v/>
      </c>
      <c r="L12" s="6">
        <f>H12+K12</f>
        <v/>
      </c>
      <c r="M12" s="6">
        <f>IF(A12&lt;=6,Premissas!$B$17,IF(A12&lt;=12,Premissas!$B$18,Premissas!$B$19))</f>
        <v/>
      </c>
      <c r="N12" s="6">
        <f>G12*Premissas!$B$5/2*Premissas!$B$6</f>
        <v/>
      </c>
      <c r="O12" s="6">
        <f>E12*Premissas!$B$7+F12*Premissas!$B$8</f>
        <v/>
      </c>
      <c r="P12" s="6">
        <f>J12*Premissas!$B$9</f>
        <v/>
      </c>
      <c r="Q12" s="6">
        <f>L12*Premissas!$B$10</f>
        <v/>
      </c>
      <c r="R12" s="6">
        <f>SUM(M12:Q12)</f>
        <v/>
      </c>
      <c r="S12" s="6">
        <f>L12-R12</f>
        <v/>
      </c>
      <c r="T12" s="6">
        <f>T11+S12</f>
        <v/>
      </c>
      <c r="U12" s="6">
        <f>I12*(1-Premissas!$B$9-Premissas!$B$10)-O12-M12</f>
        <v/>
      </c>
      <c r="V12" s="6">
        <f>G12*Premissas!$B$5/2</f>
        <v/>
      </c>
      <c r="W12" s="6">
        <f>E12*6+F12*4</f>
        <v/>
      </c>
      <c r="X12" s="6">
        <f>X11+I12-K12</f>
        <v/>
      </c>
    </row>
    <row r="13">
      <c r="A13" s="7" t="n">
        <v>11</v>
      </c>
      <c r="B13" s="6">
        <f>Agenda!C60</f>
        <v/>
      </c>
      <c r="C13" s="6">
        <f>IF(A13&gt;Premissas!$B$11,INDEX(Agenda!$D$50:$D$73,A13-Premissas!$B$11),0)</f>
        <v/>
      </c>
      <c r="D13" s="6">
        <f>Agenda!E60</f>
        <v/>
      </c>
      <c r="E13" s="6">
        <f>E12+C13-D13</f>
        <v/>
      </c>
      <c r="F13" s="6">
        <f>IF(A13&gt;=Premissas!$B$16,ROUNDDOWN(E13*Premissas!$B$15,0),0)</f>
        <v/>
      </c>
      <c r="G13" s="6">
        <f>B13+B12</f>
        <v/>
      </c>
      <c r="H13" s="6">
        <f>G13*Premissas!$B$2/2</f>
        <v/>
      </c>
      <c r="I13" s="6">
        <f>E13*Premissas!$B$3+F13*Premissas!$B$4</f>
        <v/>
      </c>
      <c r="J13" s="6">
        <f>H13+I13</f>
        <v/>
      </c>
      <c r="K13" s="6">
        <f>IF(A13&gt;Premissas!$B$12,INDEX($I$3:$I$26,A13-Premissas!$B$12),0)</f>
        <v/>
      </c>
      <c r="L13" s="6">
        <f>H13+K13</f>
        <v/>
      </c>
      <c r="M13" s="6">
        <f>IF(A13&lt;=6,Premissas!$B$17,IF(A13&lt;=12,Premissas!$B$18,Premissas!$B$19))</f>
        <v/>
      </c>
      <c r="N13" s="6">
        <f>G13*Premissas!$B$5/2*Premissas!$B$6</f>
        <v/>
      </c>
      <c r="O13" s="6">
        <f>E13*Premissas!$B$7+F13*Premissas!$B$8</f>
        <v/>
      </c>
      <c r="P13" s="6">
        <f>J13*Premissas!$B$9</f>
        <v/>
      </c>
      <c r="Q13" s="6">
        <f>L13*Premissas!$B$10</f>
        <v/>
      </c>
      <c r="R13" s="6">
        <f>SUM(M13:Q13)</f>
        <v/>
      </c>
      <c r="S13" s="6">
        <f>L13-R13</f>
        <v/>
      </c>
      <c r="T13" s="6">
        <f>T12+S13</f>
        <v/>
      </c>
      <c r="U13" s="6">
        <f>I13*(1-Premissas!$B$9-Premissas!$B$10)-O13-M13</f>
        <v/>
      </c>
      <c r="V13" s="6">
        <f>G13*Premissas!$B$5/2</f>
        <v/>
      </c>
      <c r="W13" s="6">
        <f>E13*6+F13*4</f>
        <v/>
      </c>
      <c r="X13" s="6">
        <f>X12+I13-K13</f>
        <v/>
      </c>
    </row>
    <row r="14">
      <c r="A14" s="7" t="n">
        <v>12</v>
      </c>
      <c r="B14" s="6">
        <f>Agenda!C61</f>
        <v/>
      </c>
      <c r="C14" s="6">
        <f>IF(A14&gt;Premissas!$B$11,INDEX(Agenda!$D$50:$D$73,A14-Premissas!$B$11),0)</f>
        <v/>
      </c>
      <c r="D14" s="6">
        <f>Agenda!E61</f>
        <v/>
      </c>
      <c r="E14" s="6">
        <f>E13+C14-D14</f>
        <v/>
      </c>
      <c r="F14" s="6">
        <f>IF(A14&gt;=Premissas!$B$16,ROUNDDOWN(E14*Premissas!$B$15,0),0)</f>
        <v/>
      </c>
      <c r="G14" s="6">
        <f>B14+B13</f>
        <v/>
      </c>
      <c r="H14" s="6">
        <f>G14*Premissas!$B$2/2</f>
        <v/>
      </c>
      <c r="I14" s="6">
        <f>E14*Premissas!$B$3+F14*Premissas!$B$4</f>
        <v/>
      </c>
      <c r="J14" s="6">
        <f>H14+I14</f>
        <v/>
      </c>
      <c r="K14" s="6">
        <f>IF(A14&gt;Premissas!$B$12,INDEX($I$3:$I$26,A14-Premissas!$B$12),0)</f>
        <v/>
      </c>
      <c r="L14" s="6">
        <f>H14+K14</f>
        <v/>
      </c>
      <c r="M14" s="6">
        <f>IF(A14&lt;=6,Premissas!$B$17,IF(A14&lt;=12,Premissas!$B$18,Premissas!$B$19))</f>
        <v/>
      </c>
      <c r="N14" s="6">
        <f>G14*Premissas!$B$5/2*Premissas!$B$6</f>
        <v/>
      </c>
      <c r="O14" s="6">
        <f>E14*Premissas!$B$7+F14*Premissas!$B$8</f>
        <v/>
      </c>
      <c r="P14" s="6">
        <f>J14*Premissas!$B$9</f>
        <v/>
      </c>
      <c r="Q14" s="6">
        <f>L14*Premissas!$B$10</f>
        <v/>
      </c>
      <c r="R14" s="6">
        <f>SUM(M14:Q14)</f>
        <v/>
      </c>
      <c r="S14" s="6">
        <f>L14-R14</f>
        <v/>
      </c>
      <c r="T14" s="6">
        <f>T13+S14</f>
        <v/>
      </c>
      <c r="U14" s="6">
        <f>I14*(1-Premissas!$B$9-Premissas!$B$10)-O14-M14</f>
        <v/>
      </c>
      <c r="V14" s="6">
        <f>G14*Premissas!$B$5/2</f>
        <v/>
      </c>
      <c r="W14" s="6">
        <f>E14*6+F14*4</f>
        <v/>
      </c>
      <c r="X14" s="6">
        <f>X13+I14-K14</f>
        <v/>
      </c>
    </row>
    <row r="15">
      <c r="A15" s="7" t="n">
        <v>13</v>
      </c>
      <c r="B15" s="6">
        <f>Agenda!C62</f>
        <v/>
      </c>
      <c r="C15" s="6">
        <f>IF(A15&gt;Premissas!$B$11,INDEX(Agenda!$D$50:$D$73,A15-Premissas!$B$11),0)</f>
        <v/>
      </c>
      <c r="D15" s="6">
        <f>Agenda!E62</f>
        <v/>
      </c>
      <c r="E15" s="6">
        <f>E14+C15-D15</f>
        <v/>
      </c>
      <c r="F15" s="6">
        <f>IF(A15&gt;=Premissas!$B$16,ROUNDDOWN(E15*Premissas!$B$15,0),0)</f>
        <v/>
      </c>
      <c r="G15" s="6">
        <f>B15+B14</f>
        <v/>
      </c>
      <c r="H15" s="6">
        <f>G15*Premissas!$B$2/2</f>
        <v/>
      </c>
      <c r="I15" s="6">
        <f>E15*Premissas!$B$3+F15*Premissas!$B$4</f>
        <v/>
      </c>
      <c r="J15" s="6">
        <f>H15+I15</f>
        <v/>
      </c>
      <c r="K15" s="6">
        <f>IF(A15&gt;Premissas!$B$12,INDEX($I$3:$I$26,A15-Premissas!$B$12),0)</f>
        <v/>
      </c>
      <c r="L15" s="6">
        <f>H15+K15</f>
        <v/>
      </c>
      <c r="M15" s="6">
        <f>IF(A15&lt;=6,Premissas!$B$17,IF(A15&lt;=12,Premissas!$B$18,Premissas!$B$19))</f>
        <v/>
      </c>
      <c r="N15" s="6">
        <f>G15*Premissas!$B$5/2*Premissas!$B$6</f>
        <v/>
      </c>
      <c r="O15" s="6">
        <f>E15*Premissas!$B$7+F15*Premissas!$B$8</f>
        <v/>
      </c>
      <c r="P15" s="6">
        <f>J15*Premissas!$B$9</f>
        <v/>
      </c>
      <c r="Q15" s="6">
        <f>L15*Premissas!$B$10</f>
        <v/>
      </c>
      <c r="R15" s="6">
        <f>SUM(M15:Q15)</f>
        <v/>
      </c>
      <c r="S15" s="6">
        <f>L15-R15</f>
        <v/>
      </c>
      <c r="T15" s="6">
        <f>T14+S15</f>
        <v/>
      </c>
      <c r="U15" s="6">
        <f>I15*(1-Premissas!$B$9-Premissas!$B$10)-O15-M15</f>
        <v/>
      </c>
      <c r="V15" s="6">
        <f>G15*Premissas!$B$5/2</f>
        <v/>
      </c>
      <c r="W15" s="6">
        <f>E15*6+F15*4</f>
        <v/>
      </c>
      <c r="X15" s="6">
        <f>X14+I15-K15</f>
        <v/>
      </c>
    </row>
    <row r="16">
      <c r="A16" s="7" t="n">
        <v>14</v>
      </c>
      <c r="B16" s="6">
        <f>Agenda!C63</f>
        <v/>
      </c>
      <c r="C16" s="6">
        <f>IF(A16&gt;Premissas!$B$11,INDEX(Agenda!$D$50:$D$73,A16-Premissas!$B$11),0)</f>
        <v/>
      </c>
      <c r="D16" s="6">
        <f>Agenda!E63</f>
        <v/>
      </c>
      <c r="E16" s="6">
        <f>E15+C16-D16</f>
        <v/>
      </c>
      <c r="F16" s="6">
        <f>IF(A16&gt;=Premissas!$B$16,ROUNDDOWN(E16*Premissas!$B$15,0),0)</f>
        <v/>
      </c>
      <c r="G16" s="6">
        <f>B16+B15</f>
        <v/>
      </c>
      <c r="H16" s="6">
        <f>G16*Premissas!$B$2/2</f>
        <v/>
      </c>
      <c r="I16" s="6">
        <f>E16*Premissas!$B$3+F16*Premissas!$B$4</f>
        <v/>
      </c>
      <c r="J16" s="6">
        <f>H16+I16</f>
        <v/>
      </c>
      <c r="K16" s="6">
        <f>IF(A16&gt;Premissas!$B$12,INDEX($I$3:$I$26,A16-Premissas!$B$12),0)</f>
        <v/>
      </c>
      <c r="L16" s="6">
        <f>H16+K16</f>
        <v/>
      </c>
      <c r="M16" s="6">
        <f>IF(A16&lt;=6,Premissas!$B$17,IF(A16&lt;=12,Premissas!$B$18,Premissas!$B$19))</f>
        <v/>
      </c>
      <c r="N16" s="6">
        <f>G16*Premissas!$B$5/2*Premissas!$B$6</f>
        <v/>
      </c>
      <c r="O16" s="6">
        <f>E16*Premissas!$B$7+F16*Premissas!$B$8</f>
        <v/>
      </c>
      <c r="P16" s="6">
        <f>J16*Premissas!$B$9</f>
        <v/>
      </c>
      <c r="Q16" s="6">
        <f>L16*Premissas!$B$10</f>
        <v/>
      </c>
      <c r="R16" s="6">
        <f>SUM(M16:Q16)</f>
        <v/>
      </c>
      <c r="S16" s="6">
        <f>L16-R16</f>
        <v/>
      </c>
      <c r="T16" s="6">
        <f>T15+S16</f>
        <v/>
      </c>
      <c r="U16" s="6">
        <f>I16*(1-Premissas!$B$9-Premissas!$B$10)-O16-M16</f>
        <v/>
      </c>
      <c r="V16" s="6">
        <f>G16*Premissas!$B$5/2</f>
        <v/>
      </c>
      <c r="W16" s="6">
        <f>E16*6+F16*4</f>
        <v/>
      </c>
      <c r="X16" s="6">
        <f>X15+I16-K16</f>
        <v/>
      </c>
    </row>
    <row r="17">
      <c r="A17" s="7" t="n">
        <v>15</v>
      </c>
      <c r="B17" s="6">
        <f>Agenda!C64</f>
        <v/>
      </c>
      <c r="C17" s="6">
        <f>IF(A17&gt;Premissas!$B$11,INDEX(Agenda!$D$50:$D$73,A17-Premissas!$B$11),0)</f>
        <v/>
      </c>
      <c r="D17" s="6">
        <f>Agenda!E64</f>
        <v/>
      </c>
      <c r="E17" s="6">
        <f>E16+C17-D17</f>
        <v/>
      </c>
      <c r="F17" s="6">
        <f>IF(A17&gt;=Premissas!$B$16,ROUNDDOWN(E17*Premissas!$B$15,0),0)</f>
        <v/>
      </c>
      <c r="G17" s="6">
        <f>B17+B16</f>
        <v/>
      </c>
      <c r="H17" s="6">
        <f>G17*Premissas!$B$2/2</f>
        <v/>
      </c>
      <c r="I17" s="6">
        <f>E17*Premissas!$B$3+F17*Premissas!$B$4</f>
        <v/>
      </c>
      <c r="J17" s="6">
        <f>H17+I17</f>
        <v/>
      </c>
      <c r="K17" s="6">
        <f>IF(A17&gt;Premissas!$B$12,INDEX($I$3:$I$26,A17-Premissas!$B$12),0)</f>
        <v/>
      </c>
      <c r="L17" s="6">
        <f>H17+K17</f>
        <v/>
      </c>
      <c r="M17" s="6">
        <f>IF(A17&lt;=6,Premissas!$B$17,IF(A17&lt;=12,Premissas!$B$18,Premissas!$B$19))</f>
        <v/>
      </c>
      <c r="N17" s="6">
        <f>G17*Premissas!$B$5/2*Premissas!$B$6</f>
        <v/>
      </c>
      <c r="O17" s="6">
        <f>E17*Premissas!$B$7+F17*Premissas!$B$8</f>
        <v/>
      </c>
      <c r="P17" s="6">
        <f>J17*Premissas!$B$9</f>
        <v/>
      </c>
      <c r="Q17" s="6">
        <f>L17*Premissas!$B$10</f>
        <v/>
      </c>
      <c r="R17" s="6">
        <f>SUM(M17:Q17)</f>
        <v/>
      </c>
      <c r="S17" s="6">
        <f>L17-R17</f>
        <v/>
      </c>
      <c r="T17" s="6">
        <f>T16+S17</f>
        <v/>
      </c>
      <c r="U17" s="6">
        <f>I17*(1-Premissas!$B$9-Premissas!$B$10)-O17-M17</f>
        <v/>
      </c>
      <c r="V17" s="6">
        <f>G17*Premissas!$B$5/2</f>
        <v/>
      </c>
      <c r="W17" s="6">
        <f>E17*6+F17*4</f>
        <v/>
      </c>
      <c r="X17" s="6">
        <f>X16+I17-K17</f>
        <v/>
      </c>
    </row>
    <row r="18">
      <c r="A18" s="7" t="n">
        <v>16</v>
      </c>
      <c r="B18" s="6">
        <f>Agenda!C65</f>
        <v/>
      </c>
      <c r="C18" s="6">
        <f>IF(A18&gt;Premissas!$B$11,INDEX(Agenda!$D$50:$D$73,A18-Premissas!$B$11),0)</f>
        <v/>
      </c>
      <c r="D18" s="6">
        <f>Agenda!E65</f>
        <v/>
      </c>
      <c r="E18" s="6">
        <f>E17+C18-D18</f>
        <v/>
      </c>
      <c r="F18" s="6">
        <f>IF(A18&gt;=Premissas!$B$16,ROUNDDOWN(E18*Premissas!$B$15,0),0)</f>
        <v/>
      </c>
      <c r="G18" s="6">
        <f>B18+B17</f>
        <v/>
      </c>
      <c r="H18" s="6">
        <f>G18*Premissas!$B$2/2</f>
        <v/>
      </c>
      <c r="I18" s="6">
        <f>E18*Premissas!$B$3+F18*Premissas!$B$4</f>
        <v/>
      </c>
      <c r="J18" s="6">
        <f>H18+I18</f>
        <v/>
      </c>
      <c r="K18" s="6">
        <f>IF(A18&gt;Premissas!$B$12,INDEX($I$3:$I$26,A18-Premissas!$B$12),0)</f>
        <v/>
      </c>
      <c r="L18" s="6">
        <f>H18+K18</f>
        <v/>
      </c>
      <c r="M18" s="6">
        <f>IF(A18&lt;=6,Premissas!$B$17,IF(A18&lt;=12,Premissas!$B$18,Premissas!$B$19))</f>
        <v/>
      </c>
      <c r="N18" s="6">
        <f>G18*Premissas!$B$5/2*Premissas!$B$6</f>
        <v/>
      </c>
      <c r="O18" s="6">
        <f>E18*Premissas!$B$7+F18*Premissas!$B$8</f>
        <v/>
      </c>
      <c r="P18" s="6">
        <f>J18*Premissas!$B$9</f>
        <v/>
      </c>
      <c r="Q18" s="6">
        <f>L18*Premissas!$B$10</f>
        <v/>
      </c>
      <c r="R18" s="6">
        <f>SUM(M18:Q18)</f>
        <v/>
      </c>
      <c r="S18" s="6">
        <f>L18-R18</f>
        <v/>
      </c>
      <c r="T18" s="6">
        <f>T17+S18</f>
        <v/>
      </c>
      <c r="U18" s="6">
        <f>I18*(1-Premissas!$B$9-Premissas!$B$10)-O18-M18</f>
        <v/>
      </c>
      <c r="V18" s="6">
        <f>G18*Premissas!$B$5/2</f>
        <v/>
      </c>
      <c r="W18" s="6">
        <f>E18*6+F18*4</f>
        <v/>
      </c>
      <c r="X18" s="6">
        <f>X17+I18-K18</f>
        <v/>
      </c>
    </row>
    <row r="19">
      <c r="A19" s="7" t="n">
        <v>17</v>
      </c>
      <c r="B19" s="6">
        <f>Agenda!C66</f>
        <v/>
      </c>
      <c r="C19" s="6">
        <f>IF(A19&gt;Premissas!$B$11,INDEX(Agenda!$D$50:$D$73,A19-Premissas!$B$11),0)</f>
        <v/>
      </c>
      <c r="D19" s="6">
        <f>Agenda!E66</f>
        <v/>
      </c>
      <c r="E19" s="6">
        <f>E18+C19-D19</f>
        <v/>
      </c>
      <c r="F19" s="6">
        <f>IF(A19&gt;=Premissas!$B$16,ROUNDDOWN(E19*Premissas!$B$15,0),0)</f>
        <v/>
      </c>
      <c r="G19" s="6">
        <f>B19+B18</f>
        <v/>
      </c>
      <c r="H19" s="6">
        <f>G19*Premissas!$B$2/2</f>
        <v/>
      </c>
      <c r="I19" s="6">
        <f>E19*Premissas!$B$3+F19*Premissas!$B$4</f>
        <v/>
      </c>
      <c r="J19" s="6">
        <f>H19+I19</f>
        <v/>
      </c>
      <c r="K19" s="6">
        <f>IF(A19&gt;Premissas!$B$12,INDEX($I$3:$I$26,A19-Premissas!$B$12),0)</f>
        <v/>
      </c>
      <c r="L19" s="6">
        <f>H19+K19</f>
        <v/>
      </c>
      <c r="M19" s="6">
        <f>IF(A19&lt;=6,Premissas!$B$17,IF(A19&lt;=12,Premissas!$B$18,Premissas!$B$19))</f>
        <v/>
      </c>
      <c r="N19" s="6">
        <f>G19*Premissas!$B$5/2*Premissas!$B$6</f>
        <v/>
      </c>
      <c r="O19" s="6">
        <f>E19*Premissas!$B$7+F19*Premissas!$B$8</f>
        <v/>
      </c>
      <c r="P19" s="6">
        <f>J19*Premissas!$B$9</f>
        <v/>
      </c>
      <c r="Q19" s="6">
        <f>L19*Premissas!$B$10</f>
        <v/>
      </c>
      <c r="R19" s="6">
        <f>SUM(M19:Q19)</f>
        <v/>
      </c>
      <c r="S19" s="6">
        <f>L19-R19</f>
        <v/>
      </c>
      <c r="T19" s="6">
        <f>T18+S19</f>
        <v/>
      </c>
      <c r="U19" s="6">
        <f>I19*(1-Premissas!$B$9-Premissas!$B$10)-O19-M19</f>
        <v/>
      </c>
      <c r="V19" s="6">
        <f>G19*Premissas!$B$5/2</f>
        <v/>
      </c>
      <c r="W19" s="6">
        <f>E19*6+F19*4</f>
        <v/>
      </c>
      <c r="X19" s="6">
        <f>X18+I19-K19</f>
        <v/>
      </c>
    </row>
    <row r="20">
      <c r="A20" s="7" t="n">
        <v>18</v>
      </c>
      <c r="B20" s="6">
        <f>Agenda!C67</f>
        <v/>
      </c>
      <c r="C20" s="6">
        <f>IF(A20&gt;Premissas!$B$11,INDEX(Agenda!$D$50:$D$73,A20-Premissas!$B$11),0)</f>
        <v/>
      </c>
      <c r="D20" s="6">
        <f>Agenda!E67</f>
        <v/>
      </c>
      <c r="E20" s="6">
        <f>E19+C20-D20</f>
        <v/>
      </c>
      <c r="F20" s="6">
        <f>IF(A20&gt;=Premissas!$B$16,ROUNDDOWN(E20*Premissas!$B$15,0),0)</f>
        <v/>
      </c>
      <c r="G20" s="6">
        <f>B20+B19</f>
        <v/>
      </c>
      <c r="H20" s="6">
        <f>G20*Premissas!$B$2/2</f>
        <v/>
      </c>
      <c r="I20" s="6">
        <f>E20*Premissas!$B$3+F20*Premissas!$B$4</f>
        <v/>
      </c>
      <c r="J20" s="6">
        <f>H20+I20</f>
        <v/>
      </c>
      <c r="K20" s="6">
        <f>IF(A20&gt;Premissas!$B$12,INDEX($I$3:$I$26,A20-Premissas!$B$12),0)</f>
        <v/>
      </c>
      <c r="L20" s="6">
        <f>H20+K20</f>
        <v/>
      </c>
      <c r="M20" s="6">
        <f>IF(A20&lt;=6,Premissas!$B$17,IF(A20&lt;=12,Premissas!$B$18,Premissas!$B$19))</f>
        <v/>
      </c>
      <c r="N20" s="6">
        <f>G20*Premissas!$B$5/2*Premissas!$B$6</f>
        <v/>
      </c>
      <c r="O20" s="6">
        <f>E20*Premissas!$B$7+F20*Premissas!$B$8</f>
        <v/>
      </c>
      <c r="P20" s="6">
        <f>J20*Premissas!$B$9</f>
        <v/>
      </c>
      <c r="Q20" s="6">
        <f>L20*Premissas!$B$10</f>
        <v/>
      </c>
      <c r="R20" s="6">
        <f>SUM(M20:Q20)</f>
        <v/>
      </c>
      <c r="S20" s="6">
        <f>L20-R20</f>
        <v/>
      </c>
      <c r="T20" s="6">
        <f>T19+S20</f>
        <v/>
      </c>
      <c r="U20" s="6">
        <f>I20*(1-Premissas!$B$9-Premissas!$B$10)-O20-M20</f>
        <v/>
      </c>
      <c r="V20" s="6">
        <f>G20*Premissas!$B$5/2</f>
        <v/>
      </c>
      <c r="W20" s="6">
        <f>E20*6+F20*4</f>
        <v/>
      </c>
      <c r="X20" s="6">
        <f>X19+I20-K20</f>
        <v/>
      </c>
    </row>
    <row r="21">
      <c r="A21" s="7" t="n">
        <v>19</v>
      </c>
      <c r="B21" s="6">
        <f>Agenda!C68</f>
        <v/>
      </c>
      <c r="C21" s="6">
        <f>IF(A21&gt;Premissas!$B$11,INDEX(Agenda!$D$50:$D$73,A21-Premissas!$B$11),0)</f>
        <v/>
      </c>
      <c r="D21" s="6">
        <f>Agenda!E68</f>
        <v/>
      </c>
      <c r="E21" s="6">
        <f>E20+C21-D21</f>
        <v/>
      </c>
      <c r="F21" s="6">
        <f>IF(A21&gt;=Premissas!$B$16,ROUNDDOWN(E21*Premissas!$B$15,0),0)</f>
        <v/>
      </c>
      <c r="G21" s="6">
        <f>B21+B20</f>
        <v/>
      </c>
      <c r="H21" s="6">
        <f>G21*Premissas!$B$2/2</f>
        <v/>
      </c>
      <c r="I21" s="6">
        <f>E21*Premissas!$B$3+F21*Premissas!$B$4</f>
        <v/>
      </c>
      <c r="J21" s="6">
        <f>H21+I21</f>
        <v/>
      </c>
      <c r="K21" s="6">
        <f>IF(A21&gt;Premissas!$B$12,INDEX($I$3:$I$26,A21-Premissas!$B$12),0)</f>
        <v/>
      </c>
      <c r="L21" s="6">
        <f>H21+K21</f>
        <v/>
      </c>
      <c r="M21" s="6">
        <f>IF(A21&lt;=6,Premissas!$B$17,IF(A21&lt;=12,Premissas!$B$18,Premissas!$B$19))</f>
        <v/>
      </c>
      <c r="N21" s="6">
        <f>G21*Premissas!$B$5/2*Premissas!$B$6</f>
        <v/>
      </c>
      <c r="O21" s="6">
        <f>E21*Premissas!$B$7+F21*Premissas!$B$8</f>
        <v/>
      </c>
      <c r="P21" s="6">
        <f>J21*Premissas!$B$9</f>
        <v/>
      </c>
      <c r="Q21" s="6">
        <f>L21*Premissas!$B$10</f>
        <v/>
      </c>
      <c r="R21" s="6">
        <f>SUM(M21:Q21)</f>
        <v/>
      </c>
      <c r="S21" s="6">
        <f>L21-R21</f>
        <v/>
      </c>
      <c r="T21" s="6">
        <f>T20+S21</f>
        <v/>
      </c>
      <c r="U21" s="6">
        <f>I21*(1-Premissas!$B$9-Premissas!$B$10)-O21-M21</f>
        <v/>
      </c>
      <c r="V21" s="6">
        <f>G21*Premissas!$B$5/2</f>
        <v/>
      </c>
      <c r="W21" s="6">
        <f>E21*6+F21*4</f>
        <v/>
      </c>
      <c r="X21" s="6">
        <f>X20+I21-K21</f>
        <v/>
      </c>
    </row>
    <row r="22">
      <c r="A22" s="7" t="n">
        <v>20</v>
      </c>
      <c r="B22" s="6">
        <f>Agenda!C69</f>
        <v/>
      </c>
      <c r="C22" s="6">
        <f>IF(A22&gt;Premissas!$B$11,INDEX(Agenda!$D$50:$D$73,A22-Premissas!$B$11),0)</f>
        <v/>
      </c>
      <c r="D22" s="6">
        <f>Agenda!E69</f>
        <v/>
      </c>
      <c r="E22" s="6">
        <f>E21+C22-D22</f>
        <v/>
      </c>
      <c r="F22" s="6">
        <f>IF(A22&gt;=Premissas!$B$16,ROUNDDOWN(E22*Premissas!$B$15,0),0)</f>
        <v/>
      </c>
      <c r="G22" s="6">
        <f>B22+B21</f>
        <v/>
      </c>
      <c r="H22" s="6">
        <f>G22*Premissas!$B$2/2</f>
        <v/>
      </c>
      <c r="I22" s="6">
        <f>E22*Premissas!$B$3+F22*Premissas!$B$4</f>
        <v/>
      </c>
      <c r="J22" s="6">
        <f>H22+I22</f>
        <v/>
      </c>
      <c r="K22" s="6">
        <f>IF(A22&gt;Premissas!$B$12,INDEX($I$3:$I$26,A22-Premissas!$B$12),0)</f>
        <v/>
      </c>
      <c r="L22" s="6">
        <f>H22+K22</f>
        <v/>
      </c>
      <c r="M22" s="6">
        <f>IF(A22&lt;=6,Premissas!$B$17,IF(A22&lt;=12,Premissas!$B$18,Premissas!$B$19))</f>
        <v/>
      </c>
      <c r="N22" s="6">
        <f>G22*Premissas!$B$5/2*Premissas!$B$6</f>
        <v/>
      </c>
      <c r="O22" s="6">
        <f>E22*Premissas!$B$7+F22*Premissas!$B$8</f>
        <v/>
      </c>
      <c r="P22" s="6">
        <f>J22*Premissas!$B$9</f>
        <v/>
      </c>
      <c r="Q22" s="6">
        <f>L22*Premissas!$B$10</f>
        <v/>
      </c>
      <c r="R22" s="6">
        <f>SUM(M22:Q22)</f>
        <v/>
      </c>
      <c r="S22" s="6">
        <f>L22-R22</f>
        <v/>
      </c>
      <c r="T22" s="6">
        <f>T21+S22</f>
        <v/>
      </c>
      <c r="U22" s="6">
        <f>I22*(1-Premissas!$B$9-Premissas!$B$10)-O22-M22</f>
        <v/>
      </c>
      <c r="V22" s="6">
        <f>G22*Premissas!$B$5/2</f>
        <v/>
      </c>
      <c r="W22" s="6">
        <f>E22*6+F22*4</f>
        <v/>
      </c>
      <c r="X22" s="6">
        <f>X21+I22-K22</f>
        <v/>
      </c>
    </row>
    <row r="23">
      <c r="A23" s="7" t="n">
        <v>21</v>
      </c>
      <c r="B23" s="6">
        <f>Agenda!C70</f>
        <v/>
      </c>
      <c r="C23" s="6">
        <f>IF(A23&gt;Premissas!$B$11,INDEX(Agenda!$D$50:$D$73,A23-Premissas!$B$11),0)</f>
        <v/>
      </c>
      <c r="D23" s="6">
        <f>Agenda!E70</f>
        <v/>
      </c>
      <c r="E23" s="6">
        <f>E22+C23-D23</f>
        <v/>
      </c>
      <c r="F23" s="6">
        <f>IF(A23&gt;=Premissas!$B$16,ROUNDDOWN(E23*Premissas!$B$15,0),0)</f>
        <v/>
      </c>
      <c r="G23" s="6">
        <f>B23+B22</f>
        <v/>
      </c>
      <c r="H23" s="6">
        <f>G23*Premissas!$B$2/2</f>
        <v/>
      </c>
      <c r="I23" s="6">
        <f>E23*Premissas!$B$3+F23*Premissas!$B$4</f>
        <v/>
      </c>
      <c r="J23" s="6">
        <f>H23+I23</f>
        <v/>
      </c>
      <c r="K23" s="6">
        <f>IF(A23&gt;Premissas!$B$12,INDEX($I$3:$I$26,A23-Premissas!$B$12),0)</f>
        <v/>
      </c>
      <c r="L23" s="6">
        <f>H23+K23</f>
        <v/>
      </c>
      <c r="M23" s="6">
        <f>IF(A23&lt;=6,Premissas!$B$17,IF(A23&lt;=12,Premissas!$B$18,Premissas!$B$19))</f>
        <v/>
      </c>
      <c r="N23" s="6">
        <f>G23*Premissas!$B$5/2*Premissas!$B$6</f>
        <v/>
      </c>
      <c r="O23" s="6">
        <f>E23*Premissas!$B$7+F23*Premissas!$B$8</f>
        <v/>
      </c>
      <c r="P23" s="6">
        <f>J23*Premissas!$B$9</f>
        <v/>
      </c>
      <c r="Q23" s="6">
        <f>L23*Premissas!$B$10</f>
        <v/>
      </c>
      <c r="R23" s="6">
        <f>SUM(M23:Q23)</f>
        <v/>
      </c>
      <c r="S23" s="6">
        <f>L23-R23</f>
        <v/>
      </c>
      <c r="T23" s="6">
        <f>T22+S23</f>
        <v/>
      </c>
      <c r="U23" s="6">
        <f>I23*(1-Premissas!$B$9-Premissas!$B$10)-O23-M23</f>
        <v/>
      </c>
      <c r="V23" s="6">
        <f>G23*Premissas!$B$5/2</f>
        <v/>
      </c>
      <c r="W23" s="6">
        <f>E23*6+F23*4</f>
        <v/>
      </c>
      <c r="X23" s="6">
        <f>X22+I23-K23</f>
        <v/>
      </c>
    </row>
    <row r="24">
      <c r="A24" s="7" t="n">
        <v>22</v>
      </c>
      <c r="B24" s="6">
        <f>Agenda!C71</f>
        <v/>
      </c>
      <c r="C24" s="6">
        <f>IF(A24&gt;Premissas!$B$11,INDEX(Agenda!$D$50:$D$73,A24-Premissas!$B$11),0)</f>
        <v/>
      </c>
      <c r="D24" s="6">
        <f>Agenda!E71</f>
        <v/>
      </c>
      <c r="E24" s="6">
        <f>E23+C24-D24</f>
        <v/>
      </c>
      <c r="F24" s="6">
        <f>IF(A24&gt;=Premissas!$B$16,ROUNDDOWN(E24*Premissas!$B$15,0),0)</f>
        <v/>
      </c>
      <c r="G24" s="6">
        <f>B24+B23</f>
        <v/>
      </c>
      <c r="H24" s="6">
        <f>G24*Premissas!$B$2/2</f>
        <v/>
      </c>
      <c r="I24" s="6">
        <f>E24*Premissas!$B$3+F24*Premissas!$B$4</f>
        <v/>
      </c>
      <c r="J24" s="6">
        <f>H24+I24</f>
        <v/>
      </c>
      <c r="K24" s="6">
        <f>IF(A24&gt;Premissas!$B$12,INDEX($I$3:$I$26,A24-Premissas!$B$12),0)</f>
        <v/>
      </c>
      <c r="L24" s="6">
        <f>H24+K24</f>
        <v/>
      </c>
      <c r="M24" s="6">
        <f>IF(A24&lt;=6,Premissas!$B$17,IF(A24&lt;=12,Premissas!$B$18,Premissas!$B$19))</f>
        <v/>
      </c>
      <c r="N24" s="6">
        <f>G24*Premissas!$B$5/2*Premissas!$B$6</f>
        <v/>
      </c>
      <c r="O24" s="6">
        <f>E24*Premissas!$B$7+F24*Premissas!$B$8</f>
        <v/>
      </c>
      <c r="P24" s="6">
        <f>J24*Premissas!$B$9</f>
        <v/>
      </c>
      <c r="Q24" s="6">
        <f>L24*Premissas!$B$10</f>
        <v/>
      </c>
      <c r="R24" s="6">
        <f>SUM(M24:Q24)</f>
        <v/>
      </c>
      <c r="S24" s="6">
        <f>L24-R24</f>
        <v/>
      </c>
      <c r="T24" s="6">
        <f>T23+S24</f>
        <v/>
      </c>
      <c r="U24" s="6">
        <f>I24*(1-Premissas!$B$9-Premissas!$B$10)-O24-M24</f>
        <v/>
      </c>
      <c r="V24" s="6">
        <f>G24*Premissas!$B$5/2</f>
        <v/>
      </c>
      <c r="W24" s="6">
        <f>E24*6+F24*4</f>
        <v/>
      </c>
      <c r="X24" s="6">
        <f>X23+I24-K24</f>
        <v/>
      </c>
    </row>
    <row r="25">
      <c r="A25" s="7" t="n">
        <v>23</v>
      </c>
      <c r="B25" s="6">
        <f>Agenda!C72</f>
        <v/>
      </c>
      <c r="C25" s="6">
        <f>IF(A25&gt;Premissas!$B$11,INDEX(Agenda!$D$50:$D$73,A25-Premissas!$B$11),0)</f>
        <v/>
      </c>
      <c r="D25" s="6">
        <f>Agenda!E72</f>
        <v/>
      </c>
      <c r="E25" s="6">
        <f>E24+C25-D25</f>
        <v/>
      </c>
      <c r="F25" s="6">
        <f>IF(A25&gt;=Premissas!$B$16,ROUNDDOWN(E25*Premissas!$B$15,0),0)</f>
        <v/>
      </c>
      <c r="G25" s="6">
        <f>B25+B24</f>
        <v/>
      </c>
      <c r="H25" s="6">
        <f>G25*Premissas!$B$2/2</f>
        <v/>
      </c>
      <c r="I25" s="6">
        <f>E25*Premissas!$B$3+F25*Premissas!$B$4</f>
        <v/>
      </c>
      <c r="J25" s="6">
        <f>H25+I25</f>
        <v/>
      </c>
      <c r="K25" s="6">
        <f>IF(A25&gt;Premissas!$B$12,INDEX($I$3:$I$26,A25-Premissas!$B$12),0)</f>
        <v/>
      </c>
      <c r="L25" s="6">
        <f>H25+K25</f>
        <v/>
      </c>
      <c r="M25" s="6">
        <f>IF(A25&lt;=6,Premissas!$B$17,IF(A25&lt;=12,Premissas!$B$18,Premissas!$B$19))</f>
        <v/>
      </c>
      <c r="N25" s="6">
        <f>G25*Premissas!$B$5/2*Premissas!$B$6</f>
        <v/>
      </c>
      <c r="O25" s="6">
        <f>E25*Premissas!$B$7+F25*Premissas!$B$8</f>
        <v/>
      </c>
      <c r="P25" s="6">
        <f>J25*Premissas!$B$9</f>
        <v/>
      </c>
      <c r="Q25" s="6">
        <f>L25*Premissas!$B$10</f>
        <v/>
      </c>
      <c r="R25" s="6">
        <f>SUM(M25:Q25)</f>
        <v/>
      </c>
      <c r="S25" s="6">
        <f>L25-R25</f>
        <v/>
      </c>
      <c r="T25" s="6">
        <f>T24+S25</f>
        <v/>
      </c>
      <c r="U25" s="6">
        <f>I25*(1-Premissas!$B$9-Premissas!$B$10)-O25-M25</f>
        <v/>
      </c>
      <c r="V25" s="6">
        <f>G25*Premissas!$B$5/2</f>
        <v/>
      </c>
      <c r="W25" s="6">
        <f>E25*6+F25*4</f>
        <v/>
      </c>
      <c r="X25" s="6">
        <f>X24+I25-K25</f>
        <v/>
      </c>
    </row>
    <row r="26">
      <c r="A26" s="7" t="n">
        <v>24</v>
      </c>
      <c r="B26" s="6">
        <f>Agenda!C73</f>
        <v/>
      </c>
      <c r="C26" s="6">
        <f>IF(A26&gt;Premissas!$B$11,INDEX(Agenda!$D$50:$D$73,A26-Premissas!$B$11),0)</f>
        <v/>
      </c>
      <c r="D26" s="6">
        <f>Agenda!E73</f>
        <v/>
      </c>
      <c r="E26" s="6">
        <f>E25+C26-D26</f>
        <v/>
      </c>
      <c r="F26" s="6">
        <f>IF(A26&gt;=Premissas!$B$16,ROUNDDOWN(E26*Premissas!$B$15,0),0)</f>
        <v/>
      </c>
      <c r="G26" s="6">
        <f>B26+B25</f>
        <v/>
      </c>
      <c r="H26" s="6">
        <f>G26*Premissas!$B$2/2</f>
        <v/>
      </c>
      <c r="I26" s="6">
        <f>E26*Premissas!$B$3+F26*Premissas!$B$4</f>
        <v/>
      </c>
      <c r="J26" s="6">
        <f>H26+I26</f>
        <v/>
      </c>
      <c r="K26" s="6">
        <f>IF(A26&gt;Premissas!$B$12,INDEX($I$3:$I$26,A26-Premissas!$B$12),0)</f>
        <v/>
      </c>
      <c r="L26" s="6">
        <f>H26+K26</f>
        <v/>
      </c>
      <c r="M26" s="6">
        <f>IF(A26&lt;=6,Premissas!$B$17,IF(A26&lt;=12,Premissas!$B$18,Premissas!$B$19))</f>
        <v/>
      </c>
      <c r="N26" s="6">
        <f>G26*Premissas!$B$5/2*Premissas!$B$6</f>
        <v/>
      </c>
      <c r="O26" s="6">
        <f>E26*Premissas!$B$7+F26*Premissas!$B$8</f>
        <v/>
      </c>
      <c r="P26" s="6">
        <f>J26*Premissas!$B$9</f>
        <v/>
      </c>
      <c r="Q26" s="6">
        <f>L26*Premissas!$B$10</f>
        <v/>
      </c>
      <c r="R26" s="6">
        <f>SUM(M26:Q26)</f>
        <v/>
      </c>
      <c r="S26" s="6">
        <f>L26-R26</f>
        <v/>
      </c>
      <c r="T26" s="6">
        <f>T25+S26</f>
        <v/>
      </c>
      <c r="U26" s="6">
        <f>I26*(1-Premissas!$B$9-Premissas!$B$10)-O26-M26</f>
        <v/>
      </c>
      <c r="V26" s="6">
        <f>G26*Premissas!$B$5/2</f>
        <v/>
      </c>
      <c r="W26" s="6">
        <f>E26*6+F26*4</f>
        <v/>
      </c>
      <c r="X26" s="6">
        <f>X25+I26-K26</f>
        <v/>
      </c>
    </row>
  </sheetData>
  <autoFilter ref="A1:X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 ht="32" customHeight="1">
      <c r="A1" s="3" t="inlineStr">
        <is>
          <t>Cenário</t>
        </is>
      </c>
      <c r="B1" s="3" t="inlineStr">
        <is>
          <t>Projetos iniciados</t>
        </is>
      </c>
      <c r="C1" s="3" t="inlineStr">
        <is>
          <t>Clientes M12</t>
        </is>
      </c>
      <c r="D1" s="3" t="inlineStr">
        <is>
          <t>Clientes M24</t>
        </is>
      </c>
      <c r="E1" s="3" t="inlineStr">
        <is>
          <t>MRR M12</t>
        </is>
      </c>
      <c r="F1" s="3" t="inlineStr">
        <is>
          <t>MRR M24</t>
        </is>
      </c>
      <c r="G1" s="3" t="inlineStr">
        <is>
          <t>Faturamento ano 1</t>
        </is>
      </c>
      <c r="H1" s="3" t="inlineStr">
        <is>
          <t>Faturamento ano 2</t>
        </is>
      </c>
      <c r="I1" s="3" t="inlineStr">
        <is>
          <t>Pico déficit</t>
        </is>
      </c>
      <c r="J1" s="3" t="inlineStr">
        <is>
          <t>Reserva</t>
        </is>
      </c>
      <c r="K1" s="3" t="inlineStr">
        <is>
          <t>Capital arredondado</t>
        </is>
      </c>
      <c r="L1" s="3" t="inlineStr">
        <is>
          <t>Caixa acumulado M24</t>
        </is>
      </c>
      <c r="M1" s="3" t="inlineStr">
        <is>
          <t>Resultado recorrente M24</t>
        </is>
      </c>
      <c r="N1" s="3" t="inlineStr">
        <is>
          <t>ARR saída M24</t>
        </is>
      </c>
    </row>
    <row r="2">
      <c r="A2" t="inlineStr">
        <is>
          <t>Conservador</t>
        </is>
      </c>
      <c r="B2" s="6">
        <f>SUM('Conservador'!B3:B26)</f>
        <v/>
      </c>
      <c r="C2" s="6">
        <f>'Conservador'!E14</f>
        <v/>
      </c>
      <c r="D2" s="6">
        <f>'Conservador'!E26</f>
        <v/>
      </c>
      <c r="E2" s="6">
        <f>'Conservador'!I14</f>
        <v/>
      </c>
      <c r="F2" s="6">
        <f>'Conservador'!I26</f>
        <v/>
      </c>
      <c r="G2" s="6">
        <f>SUM('Conservador'!J3:J14)</f>
        <v/>
      </c>
      <c r="H2" s="6">
        <f>SUM('Conservador'!J15:J26)</f>
        <v/>
      </c>
      <c r="I2" s="6">
        <f>MAX(0,-MIN('Conservador'!T2:T26))</f>
        <v/>
      </c>
      <c r="J2" s="6">
        <f>MAX(I2*Premissas!$B$20,MAX(Premissas!$B$17,Premissas!$B$18,Premissas!$B$19)*Premissas!$B$21)</f>
        <v/>
      </c>
      <c r="K2" s="6">
        <f>ROUNDUP((I2+J2)/10000,0)*10000</f>
        <v/>
      </c>
      <c r="L2" s="6">
        <f>'Conservador'!T26</f>
        <v/>
      </c>
      <c r="M2" s="6">
        <f>'Conservador'!U26</f>
        <v/>
      </c>
      <c r="N2" s="6">
        <f>F2*12</f>
        <v/>
      </c>
    </row>
    <row r="3">
      <c r="A3" t="inlineStr">
        <is>
          <t>Base</t>
        </is>
      </c>
      <c r="B3" s="6">
        <f>SUM('Base'!B3:B26)</f>
        <v/>
      </c>
      <c r="C3" s="6">
        <f>'Base'!E14</f>
        <v/>
      </c>
      <c r="D3" s="6">
        <f>'Base'!E26</f>
        <v/>
      </c>
      <c r="E3" s="6">
        <f>'Base'!I14</f>
        <v/>
      </c>
      <c r="F3" s="6">
        <f>'Base'!I26</f>
        <v/>
      </c>
      <c r="G3" s="6">
        <f>SUM('Base'!J3:J14)</f>
        <v/>
      </c>
      <c r="H3" s="6">
        <f>SUM('Base'!J15:J26)</f>
        <v/>
      </c>
      <c r="I3" s="6">
        <f>MAX(0,-MIN('Base'!T2:T26))</f>
        <v/>
      </c>
      <c r="J3" s="6">
        <f>MAX(I3*Premissas!$B$20,MAX(Premissas!$B$17,Premissas!$B$18,Premissas!$B$19)*Premissas!$B$21)</f>
        <v/>
      </c>
      <c r="K3" s="6">
        <f>ROUNDUP((I3+J3)/10000,0)*10000</f>
        <v/>
      </c>
      <c r="L3" s="6">
        <f>'Base'!T26</f>
        <v/>
      </c>
      <c r="M3" s="6">
        <f>'Base'!U26</f>
        <v/>
      </c>
      <c r="N3" s="6">
        <f>F3*12</f>
        <v/>
      </c>
    </row>
    <row r="4">
      <c r="A4" t="inlineStr">
        <is>
          <t>Expansao</t>
        </is>
      </c>
      <c r="B4" s="6">
        <f>SUM('Expansao'!B3:B26)</f>
        <v/>
      </c>
      <c r="C4" s="6">
        <f>'Expansao'!E14</f>
        <v/>
      </c>
      <c r="D4" s="6">
        <f>'Expansao'!E26</f>
        <v/>
      </c>
      <c r="E4" s="6">
        <f>'Expansao'!I14</f>
        <v/>
      </c>
      <c r="F4" s="6">
        <f>'Expansao'!I26</f>
        <v/>
      </c>
      <c r="G4" s="6">
        <f>SUM('Expansao'!J3:J14)</f>
        <v/>
      </c>
      <c r="H4" s="6">
        <f>SUM('Expansao'!J15:J26)</f>
        <v/>
      </c>
      <c r="I4" s="6">
        <f>MAX(0,-MIN('Expansao'!T2:T26))</f>
        <v/>
      </c>
      <c r="J4" s="6">
        <f>MAX(I4*Premissas!$B$20,MAX(Premissas!$B$17,Premissas!$B$18,Premissas!$B$19)*Premissas!$B$21)</f>
        <v/>
      </c>
      <c r="K4" s="6">
        <f>ROUNDUP((I4+J4)/10000,0)*10000</f>
        <v/>
      </c>
      <c r="L4" s="6">
        <f>'Expansao'!T26</f>
        <v/>
      </c>
      <c r="M4" s="6">
        <f>'Expansao'!U26</f>
        <v/>
      </c>
      <c r="N4" s="6">
        <f>F4*12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 ht="32" customHeight="1">
      <c r="A1" s="3" t="inlineStr">
        <is>
          <t>Snapshot Python; estático; premissas originais de 01/10/2026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</row>
    <row r="2">
      <c r="A2" t="inlineStr">
        <is>
          <t>Cenário</t>
        </is>
      </c>
      <c r="B2" t="inlineStr">
        <is>
          <t>peak_deficit</t>
        </is>
      </c>
      <c r="C2" t="inlineStr">
        <is>
          <t>buffer</t>
        </is>
      </c>
      <c r="D2" t="inlineStr">
        <is>
          <t>recommended_capital</t>
        </is>
      </c>
      <c r="E2" t="inlineStr">
        <is>
          <t>cumulative_end</t>
        </is>
      </c>
      <c r="F2" t="inlineStr">
        <is>
          <t>active_m12</t>
        </is>
      </c>
      <c r="G2" t="inlineStr">
        <is>
          <t>active_m24</t>
        </is>
      </c>
      <c r="H2" t="inlineStr">
        <is>
          <t>mrr12</t>
        </is>
      </c>
      <c r="I2" t="inlineStr">
        <is>
          <t>mrr24</t>
        </is>
      </c>
      <c r="J2" t="inlineStr">
        <is>
          <t>revenue_year1</t>
        </is>
      </c>
      <c r="K2" t="inlineStr">
        <is>
          <t>revenue_year2</t>
        </is>
      </c>
      <c r="L2" t="inlineStr">
        <is>
          <t>receipts_year1</t>
        </is>
      </c>
      <c r="M2" t="inlineStr">
        <is>
          <t>receipts_year2</t>
        </is>
      </c>
      <c r="N2" t="inlineStr">
        <is>
          <t>first_positive_cash</t>
        </is>
      </c>
      <c r="O2" t="inlineStr">
        <is>
          <t>first_recurring_breakeven</t>
        </is>
      </c>
      <c r="P2" t="inlineStr">
        <is>
          <t>max_delivery_hours</t>
        </is>
      </c>
      <c r="Q2" t="inlineStr">
        <is>
          <t>operating_cash24</t>
        </is>
      </c>
    </row>
    <row r="3">
      <c r="A3" t="inlineStr">
        <is>
          <t>Conservador</t>
        </is>
      </c>
      <c r="B3" s="7" t="n">
        <v>1365150</v>
      </c>
      <c r="C3" s="7" t="n">
        <v>204772.5</v>
      </c>
      <c r="D3" s="7" t="n">
        <v>1570000</v>
      </c>
      <c r="E3" s="7" t="n">
        <v>-1365150</v>
      </c>
      <c r="F3" s="7" t="n">
        <v>1</v>
      </c>
      <c r="G3" s="7" t="n">
        <v>2</v>
      </c>
      <c r="H3" s="7" t="n">
        <v>7500</v>
      </c>
      <c r="I3" s="7" t="n">
        <v>15000</v>
      </c>
      <c r="J3" s="7" t="n">
        <v>109500</v>
      </c>
      <c r="K3" s="7" t="n">
        <v>220500</v>
      </c>
      <c r="L3" s="7" t="n">
        <v>102000</v>
      </c>
      <c r="M3" s="7" t="n">
        <v>213000</v>
      </c>
      <c r="P3" s="7" t="n">
        <v>66</v>
      </c>
      <c r="Q3" s="7" t="n">
        <v>-1191150</v>
      </c>
    </row>
    <row r="4">
      <c r="A4" t="inlineStr">
        <is>
          <t>Base</t>
        </is>
      </c>
      <c r="B4" s="7" t="n">
        <v>764720</v>
      </c>
      <c r="C4" s="7" t="n">
        <v>198000</v>
      </c>
      <c r="D4" s="7" t="n">
        <v>970000</v>
      </c>
      <c r="E4" s="7" t="n">
        <v>-764720</v>
      </c>
      <c r="F4" s="7" t="n">
        <v>4</v>
      </c>
      <c r="G4" s="7" t="n">
        <v>12</v>
      </c>
      <c r="H4" s="7" t="n">
        <v>30000</v>
      </c>
      <c r="I4" s="7" t="n">
        <v>99000</v>
      </c>
      <c r="J4" s="7" t="n">
        <v>343500</v>
      </c>
      <c r="K4" s="7" t="n">
        <v>1165500</v>
      </c>
      <c r="L4" s="7" t="n">
        <v>313500</v>
      </c>
      <c r="M4" s="7" t="n">
        <v>1096500</v>
      </c>
      <c r="N4" s="7" t="n">
        <v>21</v>
      </c>
      <c r="O4" s="7" t="n">
        <v>24</v>
      </c>
      <c r="P4" s="7" t="n">
        <v>194</v>
      </c>
      <c r="Q4" s="7" t="n">
        <v>-590720</v>
      </c>
    </row>
    <row r="5">
      <c r="A5" t="inlineStr">
        <is>
          <t>Expansao</t>
        </is>
      </c>
      <c r="B5" s="7" t="n">
        <v>571665</v>
      </c>
      <c r="C5" s="7" t="n">
        <v>198000</v>
      </c>
      <c r="D5" s="7" t="n">
        <v>770000</v>
      </c>
      <c r="E5" s="7" t="n">
        <v>-425290</v>
      </c>
      <c r="F5" s="7" t="n">
        <v>6</v>
      </c>
      <c r="G5" s="7" t="n">
        <v>16</v>
      </c>
      <c r="H5" s="7" t="n">
        <v>54000</v>
      </c>
      <c r="I5" s="7" t="n">
        <v>147000</v>
      </c>
      <c r="J5" s="7" t="n">
        <v>505500</v>
      </c>
      <c r="K5" s="7" t="n">
        <v>1672500</v>
      </c>
      <c r="L5" s="7" t="n">
        <v>451500</v>
      </c>
      <c r="M5" s="7" t="n">
        <v>1579500</v>
      </c>
      <c r="N5" s="7" t="n">
        <v>16</v>
      </c>
      <c r="O5" s="7" t="n">
        <v>18</v>
      </c>
      <c r="P5" s="7" t="n">
        <v>240</v>
      </c>
      <c r="Q5" s="7" t="n">
        <v>-251290</v>
      </c>
    </row>
    <row r="6"/>
    <row r="7">
      <c r="A7" t="inlineStr">
        <is>
          <t>Cenário</t>
        </is>
      </c>
      <c r="B7" t="inlineStr">
        <is>
          <t>month</t>
        </is>
      </c>
      <c r="C7" t="inlineStr">
        <is>
          <t>new</t>
        </is>
      </c>
      <c r="D7" t="inlineStr">
        <is>
          <t>adds</t>
        </is>
      </c>
      <c r="E7" t="inlineStr">
        <is>
          <t>churn</t>
        </is>
      </c>
      <c r="F7" t="inlineStr">
        <is>
          <t>active</t>
        </is>
      </c>
      <c r="G7" t="inlineStr">
        <is>
          <t>live</t>
        </is>
      </c>
      <c r="H7" t="inlineStr">
        <is>
          <t>setup_bill</t>
        </is>
      </c>
      <c r="I7" t="inlineStr">
        <is>
          <t>sub_bill</t>
        </is>
      </c>
      <c r="J7" t="inlineStr">
        <is>
          <t>billed</t>
        </is>
      </c>
      <c r="K7" t="inlineStr">
        <is>
          <t>receipts</t>
        </is>
      </c>
      <c r="L7" t="inlineStr">
        <is>
          <t>fixed</t>
        </is>
      </c>
      <c r="M7" t="inlineStr">
        <is>
          <t>impl_cost</t>
        </is>
      </c>
      <c r="N7" t="inlineStr">
        <is>
          <t>service_cost</t>
        </is>
      </c>
      <c r="O7" t="inlineStr">
        <is>
          <t>tax</t>
        </is>
      </c>
      <c r="P7" t="inlineStr">
        <is>
          <t>commission</t>
        </is>
      </c>
      <c r="Q7" t="inlineStr">
        <is>
          <t>outflow</t>
        </is>
      </c>
      <c r="R7" t="inlineStr">
        <is>
          <t>net</t>
        </is>
      </c>
      <c r="S7" t="inlineStr">
        <is>
          <t>cumulative</t>
        </is>
      </c>
      <c r="T7" t="inlineStr">
        <is>
          <t>recurring_result</t>
        </is>
      </c>
      <c r="U7" t="inlineStr">
        <is>
          <t>impl_hours</t>
        </is>
      </c>
      <c r="V7" t="inlineStr">
        <is>
          <t>care_hours</t>
        </is>
      </c>
    </row>
    <row r="8">
      <c r="A8" t="inlineStr">
        <is>
          <t>Conservador</t>
        </is>
      </c>
      <c r="B8" s="7" t="n">
        <v>1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38000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38000</v>
      </c>
      <c r="R8" s="7" t="n">
        <v>-38000</v>
      </c>
      <c r="S8" s="7" t="n">
        <v>-212000</v>
      </c>
      <c r="T8" s="7" t="n">
        <v>-38000</v>
      </c>
      <c r="U8" s="7" t="n">
        <v>0</v>
      </c>
      <c r="V8" s="7" t="n">
        <v>0</v>
      </c>
    </row>
    <row r="9">
      <c r="A9" t="inlineStr">
        <is>
          <t>Conservador</t>
        </is>
      </c>
      <c r="B9" s="7" t="n">
        <v>2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38000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38000</v>
      </c>
      <c r="R9" s="7" t="n">
        <v>-38000</v>
      </c>
      <c r="S9" s="7" t="n">
        <v>-250000</v>
      </c>
      <c r="T9" s="7" t="n">
        <v>-38000</v>
      </c>
      <c r="U9" s="7" t="n">
        <v>0</v>
      </c>
      <c r="V9" s="7" t="n">
        <v>0</v>
      </c>
    </row>
    <row r="10">
      <c r="A10" t="inlineStr">
        <is>
          <t>Conservador</t>
        </is>
      </c>
      <c r="B10" s="7" t="n">
        <v>3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38000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38000</v>
      </c>
      <c r="R10" s="7" t="n">
        <v>-38000</v>
      </c>
      <c r="S10" s="7" t="n">
        <v>-288000</v>
      </c>
      <c r="T10" s="7" t="n">
        <v>-38000</v>
      </c>
      <c r="U10" s="7" t="n">
        <v>0</v>
      </c>
      <c r="V10" s="7" t="n">
        <v>0</v>
      </c>
    </row>
    <row r="11">
      <c r="A11" t="inlineStr">
        <is>
          <t>Conservador</t>
        </is>
      </c>
      <c r="B11" s="7" t="n">
        <v>4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38000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38000</v>
      </c>
      <c r="R11" s="7" t="n">
        <v>-38000</v>
      </c>
      <c r="S11" s="7" t="n">
        <v>-326000</v>
      </c>
      <c r="T11" s="7" t="n">
        <v>-38000</v>
      </c>
      <c r="U11" s="7" t="n">
        <v>0</v>
      </c>
      <c r="V11" s="7" t="n">
        <v>0</v>
      </c>
    </row>
    <row r="12">
      <c r="A12" t="inlineStr">
        <is>
          <t>Conservador</t>
        </is>
      </c>
      <c r="B12" s="7" t="n">
        <v>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38000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38000</v>
      </c>
      <c r="R12" s="7" t="n">
        <v>-38000</v>
      </c>
      <c r="S12" s="7" t="n">
        <v>-364000</v>
      </c>
      <c r="T12" s="7" t="n">
        <v>-38000</v>
      </c>
      <c r="U12" s="7" t="n">
        <v>0</v>
      </c>
      <c r="V12" s="7" t="n">
        <v>0</v>
      </c>
    </row>
    <row r="13">
      <c r="A13" t="inlineStr">
        <is>
          <t>Conservador</t>
        </is>
      </c>
      <c r="B13" s="7" t="n">
        <v>6</v>
      </c>
      <c r="C13" s="7" t="n">
        <v>1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18000</v>
      </c>
      <c r="I13" s="7" t="n">
        <v>0</v>
      </c>
      <c r="J13" s="7" t="n">
        <v>18000</v>
      </c>
      <c r="K13" s="7" t="n">
        <v>18000</v>
      </c>
      <c r="L13" s="7" t="n">
        <v>38000</v>
      </c>
      <c r="M13" s="7" t="n">
        <v>9000</v>
      </c>
      <c r="N13" s="7" t="n">
        <v>0</v>
      </c>
      <c r="O13" s="7" t="n">
        <v>1440</v>
      </c>
      <c r="P13" s="7" t="n">
        <v>900</v>
      </c>
      <c r="Q13" s="7" t="n">
        <v>49340</v>
      </c>
      <c r="R13" s="7" t="n">
        <v>-31340</v>
      </c>
      <c r="S13" s="7" t="n">
        <v>-395340</v>
      </c>
      <c r="T13" s="7" t="n">
        <v>-38000</v>
      </c>
      <c r="U13" s="7" t="n">
        <v>60</v>
      </c>
      <c r="V13" s="7" t="n">
        <v>0</v>
      </c>
    </row>
    <row r="14">
      <c r="A14" t="inlineStr">
        <is>
          <t>Conservador</t>
        </is>
      </c>
      <c r="B14" s="7" t="n">
        <v>7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18000</v>
      </c>
      <c r="I14" s="7" t="n">
        <v>0</v>
      </c>
      <c r="J14" s="7" t="n">
        <v>18000</v>
      </c>
      <c r="K14" s="7" t="n">
        <v>18000</v>
      </c>
      <c r="L14" s="7" t="n">
        <v>54000</v>
      </c>
      <c r="M14" s="7" t="n">
        <v>9000</v>
      </c>
      <c r="N14" s="7" t="n">
        <v>0</v>
      </c>
      <c r="O14" s="7" t="n">
        <v>1440</v>
      </c>
      <c r="P14" s="7" t="n">
        <v>900</v>
      </c>
      <c r="Q14" s="7" t="n">
        <v>65340</v>
      </c>
      <c r="R14" s="7" t="n">
        <v>-47340</v>
      </c>
      <c r="S14" s="7" t="n">
        <v>-442680</v>
      </c>
      <c r="T14" s="7" t="n">
        <v>-54000</v>
      </c>
      <c r="U14" s="7" t="n">
        <v>60</v>
      </c>
      <c r="V14" s="7" t="n">
        <v>0</v>
      </c>
    </row>
    <row r="15">
      <c r="A15" t="inlineStr">
        <is>
          <t>Conservador</t>
        </is>
      </c>
      <c r="B15" s="7" t="n">
        <v>8</v>
      </c>
      <c r="C15" s="7" t="n">
        <v>0</v>
      </c>
      <c r="D15" s="7" t="n">
        <v>1</v>
      </c>
      <c r="E15" s="7" t="n">
        <v>0</v>
      </c>
      <c r="F15" s="7" t="n">
        <v>1</v>
      </c>
      <c r="G15" s="7" t="n">
        <v>0</v>
      </c>
      <c r="H15" s="7" t="n">
        <v>0</v>
      </c>
      <c r="I15" s="7" t="n">
        <v>7500</v>
      </c>
      <c r="J15" s="7" t="n">
        <v>7500</v>
      </c>
      <c r="K15" s="7" t="n">
        <v>0</v>
      </c>
      <c r="L15" s="7" t="n">
        <v>54000</v>
      </c>
      <c r="M15" s="7" t="n">
        <v>0</v>
      </c>
      <c r="N15" s="7" t="n">
        <v>1500</v>
      </c>
      <c r="O15" s="7" t="n">
        <v>600</v>
      </c>
      <c r="P15" s="7" t="n">
        <v>0</v>
      </c>
      <c r="Q15" s="7" t="n">
        <v>56100</v>
      </c>
      <c r="R15" s="7" t="n">
        <v>-56100</v>
      </c>
      <c r="S15" s="7" t="n">
        <v>-498780</v>
      </c>
      <c r="T15" s="7" t="n">
        <v>-48975</v>
      </c>
      <c r="U15" s="7" t="n">
        <v>0</v>
      </c>
      <c r="V15" s="7" t="n">
        <v>6</v>
      </c>
    </row>
    <row r="16">
      <c r="A16" t="inlineStr">
        <is>
          <t>Conservador</t>
        </is>
      </c>
      <c r="B16" s="7" t="n">
        <v>9</v>
      </c>
      <c r="C16" s="7" t="n">
        <v>0</v>
      </c>
      <c r="D16" s="7" t="n">
        <v>0</v>
      </c>
      <c r="E16" s="7" t="n">
        <v>0</v>
      </c>
      <c r="F16" s="7" t="n">
        <v>1</v>
      </c>
      <c r="G16" s="7" t="n">
        <v>0</v>
      </c>
      <c r="H16" s="7" t="n">
        <v>0</v>
      </c>
      <c r="I16" s="7" t="n">
        <v>7500</v>
      </c>
      <c r="J16" s="7" t="n">
        <v>7500</v>
      </c>
      <c r="K16" s="7" t="n">
        <v>7500</v>
      </c>
      <c r="L16" s="7" t="n">
        <v>54000</v>
      </c>
      <c r="M16" s="7" t="n">
        <v>0</v>
      </c>
      <c r="N16" s="7" t="n">
        <v>1500</v>
      </c>
      <c r="O16" s="7" t="n">
        <v>600</v>
      </c>
      <c r="P16" s="7" t="n">
        <v>375</v>
      </c>
      <c r="Q16" s="7" t="n">
        <v>56475</v>
      </c>
      <c r="R16" s="7" t="n">
        <v>-48975</v>
      </c>
      <c r="S16" s="7" t="n">
        <v>-547755</v>
      </c>
      <c r="T16" s="7" t="n">
        <v>-48975</v>
      </c>
      <c r="U16" s="7" t="n">
        <v>0</v>
      </c>
      <c r="V16" s="7" t="n">
        <v>6</v>
      </c>
    </row>
    <row r="17">
      <c r="A17" t="inlineStr">
        <is>
          <t>Conservador</t>
        </is>
      </c>
      <c r="B17" s="7" t="n">
        <v>10</v>
      </c>
      <c r="C17" s="7" t="n">
        <v>1</v>
      </c>
      <c r="D17" s="7" t="n">
        <v>0</v>
      </c>
      <c r="E17" s="7" t="n">
        <v>0</v>
      </c>
      <c r="F17" s="7" t="n">
        <v>1</v>
      </c>
      <c r="G17" s="7" t="n">
        <v>0</v>
      </c>
      <c r="H17" s="7" t="n">
        <v>18000</v>
      </c>
      <c r="I17" s="7" t="n">
        <v>7500</v>
      </c>
      <c r="J17" s="7" t="n">
        <v>25500</v>
      </c>
      <c r="K17" s="7" t="n">
        <v>25500</v>
      </c>
      <c r="L17" s="7" t="n">
        <v>54000</v>
      </c>
      <c r="M17" s="7" t="n">
        <v>9000</v>
      </c>
      <c r="N17" s="7" t="n">
        <v>1500</v>
      </c>
      <c r="O17" s="7" t="n">
        <v>2040</v>
      </c>
      <c r="P17" s="7" t="n">
        <v>1275</v>
      </c>
      <c r="Q17" s="7" t="n">
        <v>67815</v>
      </c>
      <c r="R17" s="7" t="n">
        <v>-42315</v>
      </c>
      <c r="S17" s="7" t="n">
        <v>-590070</v>
      </c>
      <c r="T17" s="7" t="n">
        <v>-48975</v>
      </c>
      <c r="U17" s="7" t="n">
        <v>60</v>
      </c>
      <c r="V17" s="7" t="n">
        <v>6</v>
      </c>
    </row>
    <row r="18">
      <c r="A18" t="inlineStr">
        <is>
          <t>Conservador</t>
        </is>
      </c>
      <c r="B18" s="7" t="n">
        <v>11</v>
      </c>
      <c r="C18" s="7" t="n">
        <v>0</v>
      </c>
      <c r="D18" s="7" t="n">
        <v>0</v>
      </c>
      <c r="E18" s="7" t="n">
        <v>0</v>
      </c>
      <c r="F18" s="7" t="n">
        <v>1</v>
      </c>
      <c r="G18" s="7" t="n">
        <v>0</v>
      </c>
      <c r="H18" s="7" t="n">
        <v>18000</v>
      </c>
      <c r="I18" s="7" t="n">
        <v>7500</v>
      </c>
      <c r="J18" s="7" t="n">
        <v>25500</v>
      </c>
      <c r="K18" s="7" t="n">
        <v>25500</v>
      </c>
      <c r="L18" s="7" t="n">
        <v>54000</v>
      </c>
      <c r="M18" s="7" t="n">
        <v>9000</v>
      </c>
      <c r="N18" s="7" t="n">
        <v>1500</v>
      </c>
      <c r="O18" s="7" t="n">
        <v>2040</v>
      </c>
      <c r="P18" s="7" t="n">
        <v>1275</v>
      </c>
      <c r="Q18" s="7" t="n">
        <v>67815</v>
      </c>
      <c r="R18" s="7" t="n">
        <v>-42315</v>
      </c>
      <c r="S18" s="7" t="n">
        <v>-632385</v>
      </c>
      <c r="T18" s="7" t="n">
        <v>-48975</v>
      </c>
      <c r="U18" s="7" t="n">
        <v>60</v>
      </c>
      <c r="V18" s="7" t="n">
        <v>6</v>
      </c>
    </row>
    <row r="19">
      <c r="A19" t="inlineStr">
        <is>
          <t>Conservador</t>
        </is>
      </c>
      <c r="B19" s="7" t="n">
        <v>12</v>
      </c>
      <c r="C19" s="7" t="n">
        <v>0</v>
      </c>
      <c r="D19" s="7" t="n">
        <v>0</v>
      </c>
      <c r="E19" s="7" t="n">
        <v>0</v>
      </c>
      <c r="F19" s="7" t="n">
        <v>1</v>
      </c>
      <c r="G19" s="7" t="n">
        <v>0</v>
      </c>
      <c r="H19" s="7" t="n">
        <v>0</v>
      </c>
      <c r="I19" s="7" t="n">
        <v>7500</v>
      </c>
      <c r="J19" s="7" t="n">
        <v>7500</v>
      </c>
      <c r="K19" s="7" t="n">
        <v>7500</v>
      </c>
      <c r="L19" s="7" t="n">
        <v>54000</v>
      </c>
      <c r="M19" s="7" t="n">
        <v>0</v>
      </c>
      <c r="N19" s="7" t="n">
        <v>1500</v>
      </c>
      <c r="O19" s="7" t="n">
        <v>600</v>
      </c>
      <c r="P19" s="7" t="n">
        <v>375</v>
      </c>
      <c r="Q19" s="7" t="n">
        <v>56475</v>
      </c>
      <c r="R19" s="7" t="n">
        <v>-48975</v>
      </c>
      <c r="S19" s="7" t="n">
        <v>-681360</v>
      </c>
      <c r="T19" s="7" t="n">
        <v>-48975</v>
      </c>
      <c r="U19" s="7" t="n">
        <v>0</v>
      </c>
      <c r="V19" s="7" t="n">
        <v>6</v>
      </c>
    </row>
    <row r="20">
      <c r="A20" t="inlineStr">
        <is>
          <t>Conservador</t>
        </is>
      </c>
      <c r="B20" s="7" t="n">
        <v>13</v>
      </c>
      <c r="C20" s="7" t="n">
        <v>0</v>
      </c>
      <c r="D20" s="7" t="n">
        <v>0</v>
      </c>
      <c r="E20" s="7" t="n">
        <v>0</v>
      </c>
      <c r="F20" s="7" t="n">
        <v>1</v>
      </c>
      <c r="G20" s="7" t="n">
        <v>0</v>
      </c>
      <c r="H20" s="7" t="n">
        <v>0</v>
      </c>
      <c r="I20" s="7" t="n">
        <v>7500</v>
      </c>
      <c r="J20" s="7" t="n">
        <v>7500</v>
      </c>
      <c r="K20" s="7" t="n">
        <v>7500</v>
      </c>
      <c r="L20" s="7" t="n">
        <v>66000</v>
      </c>
      <c r="M20" s="7" t="n">
        <v>0</v>
      </c>
      <c r="N20" s="7" t="n">
        <v>1500</v>
      </c>
      <c r="O20" s="7" t="n">
        <v>600</v>
      </c>
      <c r="P20" s="7" t="n">
        <v>375</v>
      </c>
      <c r="Q20" s="7" t="n">
        <v>68475</v>
      </c>
      <c r="R20" s="7" t="n">
        <v>-60975</v>
      </c>
      <c r="S20" s="7" t="n">
        <v>-742335</v>
      </c>
      <c r="T20" s="7" t="n">
        <v>-60975</v>
      </c>
      <c r="U20" s="7" t="n">
        <v>0</v>
      </c>
      <c r="V20" s="7" t="n">
        <v>6</v>
      </c>
    </row>
    <row r="21">
      <c r="A21" t="inlineStr">
        <is>
          <t>Conservador</t>
        </is>
      </c>
      <c r="B21" s="7" t="n">
        <v>14</v>
      </c>
      <c r="C21" s="7" t="n">
        <v>1</v>
      </c>
      <c r="D21" s="7" t="n">
        <v>0</v>
      </c>
      <c r="E21" s="7" t="n">
        <v>0</v>
      </c>
      <c r="F21" s="7" t="n">
        <v>1</v>
      </c>
      <c r="G21" s="7" t="n">
        <v>0</v>
      </c>
      <c r="H21" s="7" t="n">
        <v>18000</v>
      </c>
      <c r="I21" s="7" t="n">
        <v>7500</v>
      </c>
      <c r="J21" s="7" t="n">
        <v>25500</v>
      </c>
      <c r="K21" s="7" t="n">
        <v>25500</v>
      </c>
      <c r="L21" s="7" t="n">
        <v>66000</v>
      </c>
      <c r="M21" s="7" t="n">
        <v>9000</v>
      </c>
      <c r="N21" s="7" t="n">
        <v>1500</v>
      </c>
      <c r="O21" s="7" t="n">
        <v>2040</v>
      </c>
      <c r="P21" s="7" t="n">
        <v>1275</v>
      </c>
      <c r="Q21" s="7" t="n">
        <v>79815</v>
      </c>
      <c r="R21" s="7" t="n">
        <v>-54315</v>
      </c>
      <c r="S21" s="7" t="n">
        <v>-796650</v>
      </c>
      <c r="T21" s="7" t="n">
        <v>-60975</v>
      </c>
      <c r="U21" s="7" t="n">
        <v>60</v>
      </c>
      <c r="V21" s="7" t="n">
        <v>6</v>
      </c>
    </row>
    <row r="22">
      <c r="A22" t="inlineStr">
        <is>
          <t>Conservador</t>
        </is>
      </c>
      <c r="B22" s="7" t="n">
        <v>15</v>
      </c>
      <c r="C22" s="7" t="n">
        <v>0</v>
      </c>
      <c r="D22" s="7" t="n">
        <v>0</v>
      </c>
      <c r="E22" s="7" t="n">
        <v>0</v>
      </c>
      <c r="F22" s="7" t="n">
        <v>1</v>
      </c>
      <c r="G22" s="7" t="n">
        <v>0</v>
      </c>
      <c r="H22" s="7" t="n">
        <v>18000</v>
      </c>
      <c r="I22" s="7" t="n">
        <v>7500</v>
      </c>
      <c r="J22" s="7" t="n">
        <v>25500</v>
      </c>
      <c r="K22" s="7" t="n">
        <v>25500</v>
      </c>
      <c r="L22" s="7" t="n">
        <v>66000</v>
      </c>
      <c r="M22" s="7" t="n">
        <v>9000</v>
      </c>
      <c r="N22" s="7" t="n">
        <v>1500</v>
      </c>
      <c r="O22" s="7" t="n">
        <v>2040</v>
      </c>
      <c r="P22" s="7" t="n">
        <v>1275</v>
      </c>
      <c r="Q22" s="7" t="n">
        <v>79815</v>
      </c>
      <c r="R22" s="7" t="n">
        <v>-54315</v>
      </c>
      <c r="S22" s="7" t="n">
        <v>-850965</v>
      </c>
      <c r="T22" s="7" t="n">
        <v>-60975</v>
      </c>
      <c r="U22" s="7" t="n">
        <v>60</v>
      </c>
      <c r="V22" s="7" t="n">
        <v>6</v>
      </c>
    </row>
    <row r="23">
      <c r="A23" t="inlineStr">
        <is>
          <t>Conservador</t>
        </is>
      </c>
      <c r="B23" s="7" t="n">
        <v>16</v>
      </c>
      <c r="C23" s="7" t="n">
        <v>0</v>
      </c>
      <c r="D23" s="7" t="n">
        <v>1</v>
      </c>
      <c r="E23" s="7" t="n">
        <v>0</v>
      </c>
      <c r="F23" s="7" t="n">
        <v>2</v>
      </c>
      <c r="G23" s="7" t="n">
        <v>0</v>
      </c>
      <c r="H23" s="7" t="n">
        <v>0</v>
      </c>
      <c r="I23" s="7" t="n">
        <v>15000</v>
      </c>
      <c r="J23" s="7" t="n">
        <v>15000</v>
      </c>
      <c r="K23" s="7" t="n">
        <v>7500</v>
      </c>
      <c r="L23" s="7" t="n">
        <v>66000</v>
      </c>
      <c r="M23" s="7" t="n">
        <v>0</v>
      </c>
      <c r="N23" s="7" t="n">
        <v>3000</v>
      </c>
      <c r="O23" s="7" t="n">
        <v>1200</v>
      </c>
      <c r="P23" s="7" t="n">
        <v>375</v>
      </c>
      <c r="Q23" s="7" t="n">
        <v>70575</v>
      </c>
      <c r="R23" s="7" t="n">
        <v>-63075</v>
      </c>
      <c r="S23" s="7" t="n">
        <v>-914040</v>
      </c>
      <c r="T23" s="7" t="n">
        <v>-55950</v>
      </c>
      <c r="U23" s="7" t="n">
        <v>0</v>
      </c>
      <c r="V23" s="7" t="n">
        <v>12</v>
      </c>
    </row>
    <row r="24">
      <c r="A24" t="inlineStr">
        <is>
          <t>Conservador</t>
        </is>
      </c>
      <c r="B24" s="7" t="n">
        <v>17</v>
      </c>
      <c r="C24" s="7" t="n">
        <v>0</v>
      </c>
      <c r="D24" s="7" t="n">
        <v>0</v>
      </c>
      <c r="E24" s="7" t="n">
        <v>0</v>
      </c>
      <c r="F24" s="7" t="n">
        <v>2</v>
      </c>
      <c r="G24" s="7" t="n">
        <v>0</v>
      </c>
      <c r="H24" s="7" t="n">
        <v>0</v>
      </c>
      <c r="I24" s="7" t="n">
        <v>15000</v>
      </c>
      <c r="J24" s="7" t="n">
        <v>15000</v>
      </c>
      <c r="K24" s="7" t="n">
        <v>15000</v>
      </c>
      <c r="L24" s="7" t="n">
        <v>66000</v>
      </c>
      <c r="M24" s="7" t="n">
        <v>0</v>
      </c>
      <c r="N24" s="7" t="n">
        <v>3000</v>
      </c>
      <c r="O24" s="7" t="n">
        <v>1200</v>
      </c>
      <c r="P24" s="7" t="n">
        <v>750</v>
      </c>
      <c r="Q24" s="7" t="n">
        <v>70950</v>
      </c>
      <c r="R24" s="7" t="n">
        <v>-55950</v>
      </c>
      <c r="S24" s="7" t="n">
        <v>-969990</v>
      </c>
      <c r="T24" s="7" t="n">
        <v>-55950</v>
      </c>
      <c r="U24" s="7" t="n">
        <v>0</v>
      </c>
      <c r="V24" s="7" t="n">
        <v>12</v>
      </c>
    </row>
    <row r="25">
      <c r="A25" t="inlineStr">
        <is>
          <t>Conservador</t>
        </is>
      </c>
      <c r="B25" s="7" t="n">
        <v>18</v>
      </c>
      <c r="C25" s="7" t="n">
        <v>1</v>
      </c>
      <c r="D25" s="7" t="n">
        <v>0</v>
      </c>
      <c r="E25" s="7" t="n">
        <v>1</v>
      </c>
      <c r="F25" s="7" t="n">
        <v>1</v>
      </c>
      <c r="G25" s="7" t="n">
        <v>0</v>
      </c>
      <c r="H25" s="7" t="n">
        <v>18000</v>
      </c>
      <c r="I25" s="7" t="n">
        <v>7500</v>
      </c>
      <c r="J25" s="7" t="n">
        <v>25500</v>
      </c>
      <c r="K25" s="7" t="n">
        <v>33000</v>
      </c>
      <c r="L25" s="7" t="n">
        <v>66000</v>
      </c>
      <c r="M25" s="7" t="n">
        <v>9000</v>
      </c>
      <c r="N25" s="7" t="n">
        <v>1500</v>
      </c>
      <c r="O25" s="7" t="n">
        <v>2040</v>
      </c>
      <c r="P25" s="7" t="n">
        <v>1650</v>
      </c>
      <c r="Q25" s="7" t="n">
        <v>80190</v>
      </c>
      <c r="R25" s="7" t="n">
        <v>-47190</v>
      </c>
      <c r="S25" s="7" t="n">
        <v>-1017180</v>
      </c>
      <c r="T25" s="7" t="n">
        <v>-60975</v>
      </c>
      <c r="U25" s="7" t="n">
        <v>60</v>
      </c>
      <c r="V25" s="7" t="n">
        <v>6</v>
      </c>
    </row>
    <row r="26">
      <c r="A26" t="inlineStr">
        <is>
          <t>Conservador</t>
        </is>
      </c>
      <c r="B26" s="7" t="n">
        <v>19</v>
      </c>
      <c r="C26" s="7" t="n">
        <v>0</v>
      </c>
      <c r="D26" s="7" t="n">
        <v>0</v>
      </c>
      <c r="E26" s="7" t="n">
        <v>0</v>
      </c>
      <c r="F26" s="7" t="n">
        <v>1</v>
      </c>
      <c r="G26" s="7" t="n">
        <v>0</v>
      </c>
      <c r="H26" s="7" t="n">
        <v>18000</v>
      </c>
      <c r="I26" s="7" t="n">
        <v>7500</v>
      </c>
      <c r="J26" s="7" t="n">
        <v>25500</v>
      </c>
      <c r="K26" s="7" t="n">
        <v>25500</v>
      </c>
      <c r="L26" s="7" t="n">
        <v>66000</v>
      </c>
      <c r="M26" s="7" t="n">
        <v>9000</v>
      </c>
      <c r="N26" s="7" t="n">
        <v>1500</v>
      </c>
      <c r="O26" s="7" t="n">
        <v>2040</v>
      </c>
      <c r="P26" s="7" t="n">
        <v>1275</v>
      </c>
      <c r="Q26" s="7" t="n">
        <v>79815</v>
      </c>
      <c r="R26" s="7" t="n">
        <v>-54315</v>
      </c>
      <c r="S26" s="7" t="n">
        <v>-1071495</v>
      </c>
      <c r="T26" s="7" t="n">
        <v>-60975</v>
      </c>
      <c r="U26" s="7" t="n">
        <v>60</v>
      </c>
      <c r="V26" s="7" t="n">
        <v>6</v>
      </c>
    </row>
    <row r="27">
      <c r="A27" t="inlineStr">
        <is>
          <t>Conservador</t>
        </is>
      </c>
      <c r="B27" s="7" t="n">
        <v>20</v>
      </c>
      <c r="C27" s="7" t="n">
        <v>0</v>
      </c>
      <c r="D27" s="7" t="n">
        <v>0</v>
      </c>
      <c r="E27" s="7" t="n">
        <v>0</v>
      </c>
      <c r="F27" s="7" t="n">
        <v>1</v>
      </c>
      <c r="G27" s="7" t="n">
        <v>0</v>
      </c>
      <c r="H27" s="7" t="n">
        <v>0</v>
      </c>
      <c r="I27" s="7" t="n">
        <v>7500</v>
      </c>
      <c r="J27" s="7" t="n">
        <v>7500</v>
      </c>
      <c r="K27" s="7" t="n">
        <v>7500</v>
      </c>
      <c r="L27" s="7" t="n">
        <v>66000</v>
      </c>
      <c r="M27" s="7" t="n">
        <v>0</v>
      </c>
      <c r="N27" s="7" t="n">
        <v>1500</v>
      </c>
      <c r="O27" s="7" t="n">
        <v>600</v>
      </c>
      <c r="P27" s="7" t="n">
        <v>375</v>
      </c>
      <c r="Q27" s="7" t="n">
        <v>68475</v>
      </c>
      <c r="R27" s="7" t="n">
        <v>-60975</v>
      </c>
      <c r="S27" s="7" t="n">
        <v>-1132470</v>
      </c>
      <c r="T27" s="7" t="n">
        <v>-60975</v>
      </c>
      <c r="U27" s="7" t="n">
        <v>0</v>
      </c>
      <c r="V27" s="7" t="n">
        <v>6</v>
      </c>
    </row>
    <row r="28">
      <c r="A28" t="inlineStr">
        <is>
          <t>Conservador</t>
        </is>
      </c>
      <c r="B28" s="7" t="n">
        <v>21</v>
      </c>
      <c r="C28" s="7" t="n">
        <v>0</v>
      </c>
      <c r="D28" s="7" t="n">
        <v>0</v>
      </c>
      <c r="E28" s="7" t="n">
        <v>0</v>
      </c>
      <c r="F28" s="7" t="n">
        <v>1</v>
      </c>
      <c r="G28" s="7" t="n">
        <v>0</v>
      </c>
      <c r="H28" s="7" t="n">
        <v>0</v>
      </c>
      <c r="I28" s="7" t="n">
        <v>7500</v>
      </c>
      <c r="J28" s="7" t="n">
        <v>7500</v>
      </c>
      <c r="K28" s="7" t="n">
        <v>7500</v>
      </c>
      <c r="L28" s="7" t="n">
        <v>66000</v>
      </c>
      <c r="M28" s="7" t="n">
        <v>0</v>
      </c>
      <c r="N28" s="7" t="n">
        <v>1500</v>
      </c>
      <c r="O28" s="7" t="n">
        <v>600</v>
      </c>
      <c r="P28" s="7" t="n">
        <v>375</v>
      </c>
      <c r="Q28" s="7" t="n">
        <v>68475</v>
      </c>
      <c r="R28" s="7" t="n">
        <v>-60975</v>
      </c>
      <c r="S28" s="7" t="n">
        <v>-1193445</v>
      </c>
      <c r="T28" s="7" t="n">
        <v>-60975</v>
      </c>
      <c r="U28" s="7" t="n">
        <v>0</v>
      </c>
      <c r="V28" s="7" t="n">
        <v>6</v>
      </c>
    </row>
    <row r="29">
      <c r="A29" t="inlineStr">
        <is>
          <t>Conservador</t>
        </is>
      </c>
      <c r="B29" s="7" t="n">
        <v>22</v>
      </c>
      <c r="C29" s="7" t="n">
        <v>1</v>
      </c>
      <c r="D29" s="7" t="n">
        <v>0</v>
      </c>
      <c r="E29" s="7" t="n">
        <v>0</v>
      </c>
      <c r="F29" s="7" t="n">
        <v>1</v>
      </c>
      <c r="G29" s="7" t="n">
        <v>0</v>
      </c>
      <c r="H29" s="7" t="n">
        <v>18000</v>
      </c>
      <c r="I29" s="7" t="n">
        <v>7500</v>
      </c>
      <c r="J29" s="7" t="n">
        <v>25500</v>
      </c>
      <c r="K29" s="7" t="n">
        <v>25500</v>
      </c>
      <c r="L29" s="7" t="n">
        <v>66000</v>
      </c>
      <c r="M29" s="7" t="n">
        <v>9000</v>
      </c>
      <c r="N29" s="7" t="n">
        <v>1500</v>
      </c>
      <c r="O29" s="7" t="n">
        <v>2040</v>
      </c>
      <c r="P29" s="7" t="n">
        <v>1275</v>
      </c>
      <c r="Q29" s="7" t="n">
        <v>79815</v>
      </c>
      <c r="R29" s="7" t="n">
        <v>-54315</v>
      </c>
      <c r="S29" s="7" t="n">
        <v>-1247760</v>
      </c>
      <c r="T29" s="7" t="n">
        <v>-60975</v>
      </c>
      <c r="U29" s="7" t="n">
        <v>60</v>
      </c>
      <c r="V29" s="7" t="n">
        <v>6</v>
      </c>
    </row>
    <row r="30">
      <c r="A30" t="inlineStr">
        <is>
          <t>Conservador</t>
        </is>
      </c>
      <c r="B30" s="7" t="n">
        <v>23</v>
      </c>
      <c r="C30" s="7" t="n">
        <v>0</v>
      </c>
      <c r="D30" s="7" t="n">
        <v>0</v>
      </c>
      <c r="E30" s="7" t="n">
        <v>0</v>
      </c>
      <c r="F30" s="7" t="n">
        <v>1</v>
      </c>
      <c r="G30" s="7" t="n">
        <v>0</v>
      </c>
      <c r="H30" s="7" t="n">
        <v>18000</v>
      </c>
      <c r="I30" s="7" t="n">
        <v>7500</v>
      </c>
      <c r="J30" s="7" t="n">
        <v>25500</v>
      </c>
      <c r="K30" s="7" t="n">
        <v>25500</v>
      </c>
      <c r="L30" s="7" t="n">
        <v>66000</v>
      </c>
      <c r="M30" s="7" t="n">
        <v>9000</v>
      </c>
      <c r="N30" s="7" t="n">
        <v>1500</v>
      </c>
      <c r="O30" s="7" t="n">
        <v>2040</v>
      </c>
      <c r="P30" s="7" t="n">
        <v>1275</v>
      </c>
      <c r="Q30" s="7" t="n">
        <v>79815</v>
      </c>
      <c r="R30" s="7" t="n">
        <v>-54315</v>
      </c>
      <c r="S30" s="7" t="n">
        <v>-1302075</v>
      </c>
      <c r="T30" s="7" t="n">
        <v>-60975</v>
      </c>
      <c r="U30" s="7" t="n">
        <v>60</v>
      </c>
      <c r="V30" s="7" t="n">
        <v>6</v>
      </c>
    </row>
    <row r="31">
      <c r="A31" t="inlineStr">
        <is>
          <t>Conservador</t>
        </is>
      </c>
      <c r="B31" s="7" t="n">
        <v>24</v>
      </c>
      <c r="C31" s="7" t="n">
        <v>0</v>
      </c>
      <c r="D31" s="7" t="n">
        <v>1</v>
      </c>
      <c r="E31" s="7" t="n">
        <v>0</v>
      </c>
      <c r="F31" s="7" t="n">
        <v>2</v>
      </c>
      <c r="G31" s="7" t="n">
        <v>0</v>
      </c>
      <c r="H31" s="7" t="n">
        <v>0</v>
      </c>
      <c r="I31" s="7" t="n">
        <v>15000</v>
      </c>
      <c r="J31" s="7" t="n">
        <v>15000</v>
      </c>
      <c r="K31" s="7" t="n">
        <v>7500</v>
      </c>
      <c r="L31" s="7" t="n">
        <v>66000</v>
      </c>
      <c r="M31" s="7" t="n">
        <v>0</v>
      </c>
      <c r="N31" s="7" t="n">
        <v>3000</v>
      </c>
      <c r="O31" s="7" t="n">
        <v>1200</v>
      </c>
      <c r="P31" s="7" t="n">
        <v>375</v>
      </c>
      <c r="Q31" s="7" t="n">
        <v>70575</v>
      </c>
      <c r="R31" s="7" t="n">
        <v>-63075</v>
      </c>
      <c r="S31" s="7" t="n">
        <v>-1365150</v>
      </c>
      <c r="T31" s="7" t="n">
        <v>-55950</v>
      </c>
      <c r="U31" s="7" t="n">
        <v>0</v>
      </c>
      <c r="V31" s="7" t="n">
        <v>12</v>
      </c>
    </row>
    <row r="32">
      <c r="A32" t="inlineStr">
        <is>
          <t>Base</t>
        </is>
      </c>
      <c r="B32" s="7" t="n">
        <v>1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38000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38000</v>
      </c>
      <c r="R32" s="7" t="n">
        <v>-38000</v>
      </c>
      <c r="S32" s="7" t="n">
        <v>-212000</v>
      </c>
      <c r="T32" s="7" t="n">
        <v>-38000</v>
      </c>
      <c r="U32" s="7" t="n">
        <v>0</v>
      </c>
      <c r="V32" s="7" t="n">
        <v>0</v>
      </c>
    </row>
    <row r="33">
      <c r="A33" t="inlineStr">
        <is>
          <t>Base</t>
        </is>
      </c>
      <c r="B33" s="7" t="n">
        <v>2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38000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38000</v>
      </c>
      <c r="R33" s="7" t="n">
        <v>-38000</v>
      </c>
      <c r="S33" s="7" t="n">
        <v>-250000</v>
      </c>
      <c r="T33" s="7" t="n">
        <v>-38000</v>
      </c>
      <c r="U33" s="7" t="n">
        <v>0</v>
      </c>
      <c r="V33" s="7" t="n">
        <v>0</v>
      </c>
    </row>
    <row r="34">
      <c r="A34" t="inlineStr">
        <is>
          <t>Base</t>
        </is>
      </c>
      <c r="B34" s="7" t="n">
        <v>3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38000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38000</v>
      </c>
      <c r="R34" s="7" t="n">
        <v>-38000</v>
      </c>
      <c r="S34" s="7" t="n">
        <v>-288000</v>
      </c>
      <c r="T34" s="7" t="n">
        <v>-38000</v>
      </c>
      <c r="U34" s="7" t="n">
        <v>0</v>
      </c>
      <c r="V34" s="7" t="n">
        <v>0</v>
      </c>
    </row>
    <row r="35">
      <c r="A35" t="inlineStr">
        <is>
          <t>Base</t>
        </is>
      </c>
      <c r="B35" s="7" t="n">
        <v>4</v>
      </c>
      <c r="C35" s="7" t="n">
        <v>1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18000</v>
      </c>
      <c r="I35" s="7" t="n">
        <v>0</v>
      </c>
      <c r="J35" s="7" t="n">
        <v>18000</v>
      </c>
      <c r="K35" s="7" t="n">
        <v>18000</v>
      </c>
      <c r="L35" s="7" t="n">
        <v>38000</v>
      </c>
      <c r="M35" s="7" t="n">
        <v>9000</v>
      </c>
      <c r="N35" s="7" t="n">
        <v>0</v>
      </c>
      <c r="O35" s="7" t="n">
        <v>1440</v>
      </c>
      <c r="P35" s="7" t="n">
        <v>900</v>
      </c>
      <c r="Q35" s="7" t="n">
        <v>49340</v>
      </c>
      <c r="R35" s="7" t="n">
        <v>-31340</v>
      </c>
      <c r="S35" s="7" t="n">
        <v>-319340</v>
      </c>
      <c r="T35" s="7" t="n">
        <v>-38000</v>
      </c>
      <c r="U35" s="7" t="n">
        <v>60</v>
      </c>
      <c r="V35" s="7" t="n">
        <v>0</v>
      </c>
    </row>
    <row r="36">
      <c r="A36" t="inlineStr">
        <is>
          <t>Base</t>
        </is>
      </c>
      <c r="B36" s="7" t="n">
        <v>5</v>
      </c>
      <c r="C36" s="7" t="n">
        <v>1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36000</v>
      </c>
      <c r="I36" s="7" t="n">
        <v>0</v>
      </c>
      <c r="J36" s="7" t="n">
        <v>36000</v>
      </c>
      <c r="K36" s="7" t="n">
        <v>36000</v>
      </c>
      <c r="L36" s="7" t="n">
        <v>38000</v>
      </c>
      <c r="M36" s="7" t="n">
        <v>18000</v>
      </c>
      <c r="N36" s="7" t="n">
        <v>0</v>
      </c>
      <c r="O36" s="7" t="n">
        <v>2880</v>
      </c>
      <c r="P36" s="7" t="n">
        <v>1800</v>
      </c>
      <c r="Q36" s="7" t="n">
        <v>60680</v>
      </c>
      <c r="R36" s="7" t="n">
        <v>-24680</v>
      </c>
      <c r="S36" s="7" t="n">
        <v>-344020</v>
      </c>
      <c r="T36" s="7" t="n">
        <v>-38000</v>
      </c>
      <c r="U36" s="7" t="n">
        <v>120</v>
      </c>
      <c r="V36" s="7" t="n">
        <v>0</v>
      </c>
    </row>
    <row r="37">
      <c r="A37" t="inlineStr">
        <is>
          <t>Base</t>
        </is>
      </c>
      <c r="B37" s="7" t="n">
        <v>6</v>
      </c>
      <c r="C37" s="7" t="n">
        <v>0</v>
      </c>
      <c r="D37" s="7" t="n">
        <v>1</v>
      </c>
      <c r="E37" s="7" t="n">
        <v>0</v>
      </c>
      <c r="F37" s="7" t="n">
        <v>1</v>
      </c>
      <c r="G37" s="7" t="n">
        <v>0</v>
      </c>
      <c r="H37" s="7" t="n">
        <v>18000</v>
      </c>
      <c r="I37" s="7" t="n">
        <v>7500</v>
      </c>
      <c r="J37" s="7" t="n">
        <v>25500</v>
      </c>
      <c r="K37" s="7" t="n">
        <v>18000</v>
      </c>
      <c r="L37" s="7" t="n">
        <v>38000</v>
      </c>
      <c r="M37" s="7" t="n">
        <v>9000</v>
      </c>
      <c r="N37" s="7" t="n">
        <v>1500</v>
      </c>
      <c r="O37" s="7" t="n">
        <v>2040</v>
      </c>
      <c r="P37" s="7" t="n">
        <v>900</v>
      </c>
      <c r="Q37" s="7" t="n">
        <v>51440</v>
      </c>
      <c r="R37" s="7" t="n">
        <v>-33440</v>
      </c>
      <c r="S37" s="7" t="n">
        <v>-377460</v>
      </c>
      <c r="T37" s="7" t="n">
        <v>-32975</v>
      </c>
      <c r="U37" s="7" t="n">
        <v>60</v>
      </c>
      <c r="V37" s="7" t="n">
        <v>6</v>
      </c>
    </row>
    <row r="38">
      <c r="A38" t="inlineStr">
        <is>
          <t>Base</t>
        </is>
      </c>
      <c r="B38" s="7" t="n">
        <v>7</v>
      </c>
      <c r="C38" s="7" t="n">
        <v>1</v>
      </c>
      <c r="D38" s="7" t="n">
        <v>1</v>
      </c>
      <c r="E38" s="7" t="n">
        <v>0</v>
      </c>
      <c r="F38" s="7" t="n">
        <v>2</v>
      </c>
      <c r="G38" s="7" t="n">
        <v>0</v>
      </c>
      <c r="H38" s="7" t="n">
        <v>18000</v>
      </c>
      <c r="I38" s="7" t="n">
        <v>15000</v>
      </c>
      <c r="J38" s="7" t="n">
        <v>33000</v>
      </c>
      <c r="K38" s="7" t="n">
        <v>25500</v>
      </c>
      <c r="L38" s="7" t="n">
        <v>54000</v>
      </c>
      <c r="M38" s="7" t="n">
        <v>9000</v>
      </c>
      <c r="N38" s="7" t="n">
        <v>3000</v>
      </c>
      <c r="O38" s="7" t="n">
        <v>2640</v>
      </c>
      <c r="P38" s="7" t="n">
        <v>1275</v>
      </c>
      <c r="Q38" s="7" t="n">
        <v>69915</v>
      </c>
      <c r="R38" s="7" t="n">
        <v>-44415</v>
      </c>
      <c r="S38" s="7" t="n">
        <v>-421875</v>
      </c>
      <c r="T38" s="7" t="n">
        <v>-43950</v>
      </c>
      <c r="U38" s="7" t="n">
        <v>60</v>
      </c>
      <c r="V38" s="7" t="n">
        <v>12</v>
      </c>
    </row>
    <row r="39">
      <c r="A39" t="inlineStr">
        <is>
          <t>Base</t>
        </is>
      </c>
      <c r="B39" s="7" t="n">
        <v>8</v>
      </c>
      <c r="C39" s="7" t="n">
        <v>1</v>
      </c>
      <c r="D39" s="7" t="n">
        <v>0</v>
      </c>
      <c r="E39" s="7" t="n">
        <v>0</v>
      </c>
      <c r="F39" s="7" t="n">
        <v>2</v>
      </c>
      <c r="G39" s="7" t="n">
        <v>0</v>
      </c>
      <c r="H39" s="7" t="n">
        <v>36000</v>
      </c>
      <c r="I39" s="7" t="n">
        <v>15000</v>
      </c>
      <c r="J39" s="7" t="n">
        <v>51000</v>
      </c>
      <c r="K39" s="7" t="n">
        <v>51000</v>
      </c>
      <c r="L39" s="7" t="n">
        <v>54000</v>
      </c>
      <c r="M39" s="7" t="n">
        <v>18000</v>
      </c>
      <c r="N39" s="7" t="n">
        <v>3000</v>
      </c>
      <c r="O39" s="7" t="n">
        <v>4080</v>
      </c>
      <c r="P39" s="7" t="n">
        <v>2550</v>
      </c>
      <c r="Q39" s="7" t="n">
        <v>81630</v>
      </c>
      <c r="R39" s="7" t="n">
        <v>-30630</v>
      </c>
      <c r="S39" s="7" t="n">
        <v>-452505</v>
      </c>
      <c r="T39" s="7" t="n">
        <v>-43950</v>
      </c>
      <c r="U39" s="7" t="n">
        <v>120</v>
      </c>
      <c r="V39" s="7" t="n">
        <v>12</v>
      </c>
    </row>
    <row r="40">
      <c r="A40" t="inlineStr">
        <is>
          <t>Base</t>
        </is>
      </c>
      <c r="B40" s="7" t="n">
        <v>9</v>
      </c>
      <c r="C40" s="7" t="n">
        <v>0</v>
      </c>
      <c r="D40" s="7" t="n">
        <v>0</v>
      </c>
      <c r="E40" s="7" t="n">
        <v>0</v>
      </c>
      <c r="F40" s="7" t="n">
        <v>2</v>
      </c>
      <c r="G40" s="7" t="n">
        <v>0</v>
      </c>
      <c r="H40" s="7" t="n">
        <v>18000</v>
      </c>
      <c r="I40" s="7" t="n">
        <v>15000</v>
      </c>
      <c r="J40" s="7" t="n">
        <v>33000</v>
      </c>
      <c r="K40" s="7" t="n">
        <v>33000</v>
      </c>
      <c r="L40" s="7" t="n">
        <v>54000</v>
      </c>
      <c r="M40" s="7" t="n">
        <v>9000</v>
      </c>
      <c r="N40" s="7" t="n">
        <v>3000</v>
      </c>
      <c r="O40" s="7" t="n">
        <v>2640</v>
      </c>
      <c r="P40" s="7" t="n">
        <v>1650</v>
      </c>
      <c r="Q40" s="7" t="n">
        <v>70290</v>
      </c>
      <c r="R40" s="7" t="n">
        <v>-37290</v>
      </c>
      <c r="S40" s="7" t="n">
        <v>-489795</v>
      </c>
      <c r="T40" s="7" t="n">
        <v>-43950</v>
      </c>
      <c r="U40" s="7" t="n">
        <v>60</v>
      </c>
      <c r="V40" s="7" t="n">
        <v>12</v>
      </c>
    </row>
    <row r="41">
      <c r="A41" t="inlineStr">
        <is>
          <t>Base</t>
        </is>
      </c>
      <c r="B41" s="7" t="n">
        <v>10</v>
      </c>
      <c r="C41" s="7" t="n">
        <v>1</v>
      </c>
      <c r="D41" s="7" t="n">
        <v>1</v>
      </c>
      <c r="E41" s="7" t="n">
        <v>0</v>
      </c>
      <c r="F41" s="7" t="n">
        <v>3</v>
      </c>
      <c r="G41" s="7" t="n">
        <v>0</v>
      </c>
      <c r="H41" s="7" t="n">
        <v>18000</v>
      </c>
      <c r="I41" s="7" t="n">
        <v>22500</v>
      </c>
      <c r="J41" s="7" t="n">
        <v>40500</v>
      </c>
      <c r="K41" s="7" t="n">
        <v>33000</v>
      </c>
      <c r="L41" s="7" t="n">
        <v>54000</v>
      </c>
      <c r="M41" s="7" t="n">
        <v>9000</v>
      </c>
      <c r="N41" s="7" t="n">
        <v>4500</v>
      </c>
      <c r="O41" s="7" t="n">
        <v>3240</v>
      </c>
      <c r="P41" s="7" t="n">
        <v>1650</v>
      </c>
      <c r="Q41" s="7" t="n">
        <v>72390</v>
      </c>
      <c r="R41" s="7" t="n">
        <v>-39390</v>
      </c>
      <c r="S41" s="7" t="n">
        <v>-529185</v>
      </c>
      <c r="T41" s="7" t="n">
        <v>-38925</v>
      </c>
      <c r="U41" s="7" t="n">
        <v>60</v>
      </c>
      <c r="V41" s="7" t="n">
        <v>18</v>
      </c>
    </row>
    <row r="42">
      <c r="A42" t="inlineStr">
        <is>
          <t>Base</t>
        </is>
      </c>
      <c r="B42" s="7" t="n">
        <v>11</v>
      </c>
      <c r="C42" s="7" t="n">
        <v>1</v>
      </c>
      <c r="D42" s="7" t="n">
        <v>0</v>
      </c>
      <c r="E42" s="7" t="n">
        <v>0</v>
      </c>
      <c r="F42" s="7" t="n">
        <v>3</v>
      </c>
      <c r="G42" s="7" t="n">
        <v>0</v>
      </c>
      <c r="H42" s="7" t="n">
        <v>36000</v>
      </c>
      <c r="I42" s="7" t="n">
        <v>22500</v>
      </c>
      <c r="J42" s="7" t="n">
        <v>58500</v>
      </c>
      <c r="K42" s="7" t="n">
        <v>58500</v>
      </c>
      <c r="L42" s="7" t="n">
        <v>54000</v>
      </c>
      <c r="M42" s="7" t="n">
        <v>18000</v>
      </c>
      <c r="N42" s="7" t="n">
        <v>4500</v>
      </c>
      <c r="O42" s="7" t="n">
        <v>4680</v>
      </c>
      <c r="P42" s="7" t="n">
        <v>2925</v>
      </c>
      <c r="Q42" s="7" t="n">
        <v>84105</v>
      </c>
      <c r="R42" s="7" t="n">
        <v>-25605</v>
      </c>
      <c r="S42" s="7" t="n">
        <v>-554790</v>
      </c>
      <c r="T42" s="7" t="n">
        <v>-38925</v>
      </c>
      <c r="U42" s="7" t="n">
        <v>120</v>
      </c>
      <c r="V42" s="7" t="n">
        <v>18</v>
      </c>
    </row>
    <row r="43">
      <c r="A43" t="inlineStr">
        <is>
          <t>Base</t>
        </is>
      </c>
      <c r="B43" s="7" t="n">
        <v>12</v>
      </c>
      <c r="C43" s="7" t="n">
        <v>0</v>
      </c>
      <c r="D43" s="7" t="n">
        <v>1</v>
      </c>
      <c r="E43" s="7" t="n">
        <v>0</v>
      </c>
      <c r="F43" s="7" t="n">
        <v>4</v>
      </c>
      <c r="G43" s="7" t="n">
        <v>0</v>
      </c>
      <c r="H43" s="7" t="n">
        <v>18000</v>
      </c>
      <c r="I43" s="7" t="n">
        <v>30000</v>
      </c>
      <c r="J43" s="7" t="n">
        <v>48000</v>
      </c>
      <c r="K43" s="7" t="n">
        <v>40500</v>
      </c>
      <c r="L43" s="7" t="n">
        <v>54000</v>
      </c>
      <c r="M43" s="7" t="n">
        <v>9000</v>
      </c>
      <c r="N43" s="7" t="n">
        <v>6000</v>
      </c>
      <c r="O43" s="7" t="n">
        <v>3840</v>
      </c>
      <c r="P43" s="7" t="n">
        <v>2025</v>
      </c>
      <c r="Q43" s="7" t="n">
        <v>74865</v>
      </c>
      <c r="R43" s="7" t="n">
        <v>-34365</v>
      </c>
      <c r="S43" s="7" t="n">
        <v>-589155</v>
      </c>
      <c r="T43" s="7" t="n">
        <v>-33900</v>
      </c>
      <c r="U43" s="7" t="n">
        <v>60</v>
      </c>
      <c r="V43" s="7" t="n">
        <v>24</v>
      </c>
    </row>
    <row r="44">
      <c r="A44" t="inlineStr">
        <is>
          <t>Base</t>
        </is>
      </c>
      <c r="B44" s="7" t="n">
        <v>13</v>
      </c>
      <c r="C44" s="7" t="n">
        <v>1</v>
      </c>
      <c r="D44" s="7" t="n">
        <v>1</v>
      </c>
      <c r="E44" s="7" t="n">
        <v>0</v>
      </c>
      <c r="F44" s="7" t="n">
        <v>5</v>
      </c>
      <c r="G44" s="7" t="n">
        <v>1</v>
      </c>
      <c r="H44" s="7" t="n">
        <v>18000</v>
      </c>
      <c r="I44" s="7" t="n">
        <v>42000</v>
      </c>
      <c r="J44" s="7" t="n">
        <v>60000</v>
      </c>
      <c r="K44" s="7" t="n">
        <v>48000</v>
      </c>
      <c r="L44" s="7" t="n">
        <v>66000</v>
      </c>
      <c r="M44" s="7" t="n">
        <v>9000</v>
      </c>
      <c r="N44" s="7" t="n">
        <v>8500</v>
      </c>
      <c r="O44" s="7" t="n">
        <v>4800</v>
      </c>
      <c r="P44" s="7" t="n">
        <v>2400</v>
      </c>
      <c r="Q44" s="7" t="n">
        <v>90700</v>
      </c>
      <c r="R44" s="7" t="n">
        <v>-42700</v>
      </c>
      <c r="S44" s="7" t="n">
        <v>-631855</v>
      </c>
      <c r="T44" s="7" t="n">
        <v>-37960</v>
      </c>
      <c r="U44" s="7" t="n">
        <v>60</v>
      </c>
      <c r="V44" s="7" t="n">
        <v>34</v>
      </c>
    </row>
    <row r="45">
      <c r="A45" t="inlineStr">
        <is>
          <t>Base</t>
        </is>
      </c>
      <c r="B45" s="7" t="n">
        <v>14</v>
      </c>
      <c r="C45" s="7" t="n">
        <v>1</v>
      </c>
      <c r="D45" s="7" t="n">
        <v>0</v>
      </c>
      <c r="E45" s="7" t="n">
        <v>0</v>
      </c>
      <c r="F45" s="7" t="n">
        <v>5</v>
      </c>
      <c r="G45" s="7" t="n">
        <v>1</v>
      </c>
      <c r="H45" s="7" t="n">
        <v>36000</v>
      </c>
      <c r="I45" s="7" t="n">
        <v>42000</v>
      </c>
      <c r="J45" s="7" t="n">
        <v>78000</v>
      </c>
      <c r="K45" s="7" t="n">
        <v>78000</v>
      </c>
      <c r="L45" s="7" t="n">
        <v>66000</v>
      </c>
      <c r="M45" s="7" t="n">
        <v>18000</v>
      </c>
      <c r="N45" s="7" t="n">
        <v>8500</v>
      </c>
      <c r="O45" s="7" t="n">
        <v>6240</v>
      </c>
      <c r="P45" s="7" t="n">
        <v>3900</v>
      </c>
      <c r="Q45" s="7" t="n">
        <v>102640</v>
      </c>
      <c r="R45" s="7" t="n">
        <v>-24640</v>
      </c>
      <c r="S45" s="7" t="n">
        <v>-656495</v>
      </c>
      <c r="T45" s="7" t="n">
        <v>-37960</v>
      </c>
      <c r="U45" s="7" t="n">
        <v>120</v>
      </c>
      <c r="V45" s="7" t="n">
        <v>34</v>
      </c>
    </row>
    <row r="46">
      <c r="A46" t="inlineStr">
        <is>
          <t>Base</t>
        </is>
      </c>
      <c r="B46" s="7" t="n">
        <v>15</v>
      </c>
      <c r="C46" s="7" t="n">
        <v>1</v>
      </c>
      <c r="D46" s="7" t="n">
        <v>1</v>
      </c>
      <c r="E46" s="7" t="n">
        <v>0</v>
      </c>
      <c r="F46" s="7" t="n">
        <v>6</v>
      </c>
      <c r="G46" s="7" t="n">
        <v>1</v>
      </c>
      <c r="H46" s="7" t="n">
        <v>36000</v>
      </c>
      <c r="I46" s="7" t="n">
        <v>49500</v>
      </c>
      <c r="J46" s="7" t="n">
        <v>85500</v>
      </c>
      <c r="K46" s="7" t="n">
        <v>78000</v>
      </c>
      <c r="L46" s="7" t="n">
        <v>66000</v>
      </c>
      <c r="M46" s="7" t="n">
        <v>18000</v>
      </c>
      <c r="N46" s="7" t="n">
        <v>10000</v>
      </c>
      <c r="O46" s="7" t="n">
        <v>6840</v>
      </c>
      <c r="P46" s="7" t="n">
        <v>3900</v>
      </c>
      <c r="Q46" s="7" t="n">
        <v>104740</v>
      </c>
      <c r="R46" s="7" t="n">
        <v>-26740</v>
      </c>
      <c r="S46" s="7" t="n">
        <v>-683235</v>
      </c>
      <c r="T46" s="7" t="n">
        <v>-32935</v>
      </c>
      <c r="U46" s="7" t="n">
        <v>120</v>
      </c>
      <c r="V46" s="7" t="n">
        <v>40</v>
      </c>
    </row>
    <row r="47">
      <c r="A47" t="inlineStr">
        <is>
          <t>Base</t>
        </is>
      </c>
      <c r="B47" s="7" t="n">
        <v>16</v>
      </c>
      <c r="C47" s="7" t="n">
        <v>1</v>
      </c>
      <c r="D47" s="7" t="n">
        <v>1</v>
      </c>
      <c r="E47" s="7" t="n">
        <v>0</v>
      </c>
      <c r="F47" s="7" t="n">
        <v>7</v>
      </c>
      <c r="G47" s="7" t="n">
        <v>1</v>
      </c>
      <c r="H47" s="7" t="n">
        <v>36000</v>
      </c>
      <c r="I47" s="7" t="n">
        <v>57000</v>
      </c>
      <c r="J47" s="7" t="n">
        <v>93000</v>
      </c>
      <c r="K47" s="7" t="n">
        <v>85500</v>
      </c>
      <c r="L47" s="7" t="n">
        <v>66000</v>
      </c>
      <c r="M47" s="7" t="n">
        <v>18000</v>
      </c>
      <c r="N47" s="7" t="n">
        <v>11500</v>
      </c>
      <c r="O47" s="7" t="n">
        <v>7440</v>
      </c>
      <c r="P47" s="7" t="n">
        <v>4275</v>
      </c>
      <c r="Q47" s="7" t="n">
        <v>107215</v>
      </c>
      <c r="R47" s="7" t="n">
        <v>-21715</v>
      </c>
      <c r="S47" s="7" t="n">
        <v>-704950</v>
      </c>
      <c r="T47" s="7" t="n">
        <v>-27910</v>
      </c>
      <c r="U47" s="7" t="n">
        <v>120</v>
      </c>
      <c r="V47" s="7" t="n">
        <v>46</v>
      </c>
    </row>
    <row r="48">
      <c r="A48" t="inlineStr">
        <is>
          <t>Base</t>
        </is>
      </c>
      <c r="B48" s="7" t="n">
        <v>17</v>
      </c>
      <c r="C48" s="7" t="n">
        <v>1</v>
      </c>
      <c r="D48" s="7" t="n">
        <v>1</v>
      </c>
      <c r="E48" s="7" t="n">
        <v>0</v>
      </c>
      <c r="F48" s="7" t="n">
        <v>8</v>
      </c>
      <c r="G48" s="7" t="n">
        <v>1</v>
      </c>
      <c r="H48" s="7" t="n">
        <v>36000</v>
      </c>
      <c r="I48" s="7" t="n">
        <v>64500</v>
      </c>
      <c r="J48" s="7" t="n">
        <v>100500</v>
      </c>
      <c r="K48" s="7" t="n">
        <v>93000</v>
      </c>
      <c r="L48" s="7" t="n">
        <v>66000</v>
      </c>
      <c r="M48" s="7" t="n">
        <v>18000</v>
      </c>
      <c r="N48" s="7" t="n">
        <v>13000</v>
      </c>
      <c r="O48" s="7" t="n">
        <v>8040</v>
      </c>
      <c r="P48" s="7" t="n">
        <v>4650</v>
      </c>
      <c r="Q48" s="7" t="n">
        <v>109690</v>
      </c>
      <c r="R48" s="7" t="n">
        <v>-16690</v>
      </c>
      <c r="S48" s="7" t="n">
        <v>-721640</v>
      </c>
      <c r="T48" s="7" t="n">
        <v>-22885</v>
      </c>
      <c r="U48" s="7" t="n">
        <v>120</v>
      </c>
      <c r="V48" s="7" t="n">
        <v>52</v>
      </c>
    </row>
    <row r="49">
      <c r="A49" t="inlineStr">
        <is>
          <t>Base</t>
        </is>
      </c>
      <c r="B49" s="7" t="n">
        <v>18</v>
      </c>
      <c r="C49" s="7" t="n">
        <v>1</v>
      </c>
      <c r="D49" s="7" t="n">
        <v>1</v>
      </c>
      <c r="E49" s="7" t="n">
        <v>1</v>
      </c>
      <c r="F49" s="7" t="n">
        <v>8</v>
      </c>
      <c r="G49" s="7" t="n">
        <v>1</v>
      </c>
      <c r="H49" s="7" t="n">
        <v>36000</v>
      </c>
      <c r="I49" s="7" t="n">
        <v>64500</v>
      </c>
      <c r="J49" s="7" t="n">
        <v>100500</v>
      </c>
      <c r="K49" s="7" t="n">
        <v>100500</v>
      </c>
      <c r="L49" s="7" t="n">
        <v>66000</v>
      </c>
      <c r="M49" s="7" t="n">
        <v>18000</v>
      </c>
      <c r="N49" s="7" t="n">
        <v>13000</v>
      </c>
      <c r="O49" s="7" t="n">
        <v>8040</v>
      </c>
      <c r="P49" s="7" t="n">
        <v>5025</v>
      </c>
      <c r="Q49" s="7" t="n">
        <v>110065</v>
      </c>
      <c r="R49" s="7" t="n">
        <v>-9565</v>
      </c>
      <c r="S49" s="7" t="n">
        <v>-731205</v>
      </c>
      <c r="T49" s="7" t="n">
        <v>-22885</v>
      </c>
      <c r="U49" s="7" t="n">
        <v>120</v>
      </c>
      <c r="V49" s="7" t="n">
        <v>52</v>
      </c>
    </row>
    <row r="50">
      <c r="A50" t="inlineStr">
        <is>
          <t>Base</t>
        </is>
      </c>
      <c r="B50" s="7" t="n">
        <v>19</v>
      </c>
      <c r="C50" s="7" t="n">
        <v>0</v>
      </c>
      <c r="D50" s="7" t="n">
        <v>1</v>
      </c>
      <c r="E50" s="7" t="n">
        <v>0</v>
      </c>
      <c r="F50" s="7" t="n">
        <v>9</v>
      </c>
      <c r="G50" s="7" t="n">
        <v>1</v>
      </c>
      <c r="H50" s="7" t="n">
        <v>18000</v>
      </c>
      <c r="I50" s="7" t="n">
        <v>72000</v>
      </c>
      <c r="J50" s="7" t="n">
        <v>90000</v>
      </c>
      <c r="K50" s="7" t="n">
        <v>82500</v>
      </c>
      <c r="L50" s="7" t="n">
        <v>66000</v>
      </c>
      <c r="M50" s="7" t="n">
        <v>9000</v>
      </c>
      <c r="N50" s="7" t="n">
        <v>14500</v>
      </c>
      <c r="O50" s="7" t="n">
        <v>7200</v>
      </c>
      <c r="P50" s="7" t="n">
        <v>4125</v>
      </c>
      <c r="Q50" s="7" t="n">
        <v>100825</v>
      </c>
      <c r="R50" s="7" t="n">
        <v>-18325</v>
      </c>
      <c r="S50" s="7" t="n">
        <v>-749530</v>
      </c>
      <c r="T50" s="7" t="n">
        <v>-17860</v>
      </c>
      <c r="U50" s="7" t="n">
        <v>60</v>
      </c>
      <c r="V50" s="7" t="n">
        <v>58</v>
      </c>
    </row>
    <row r="51">
      <c r="A51" t="inlineStr">
        <is>
          <t>Base</t>
        </is>
      </c>
      <c r="B51" s="7" t="n">
        <v>20</v>
      </c>
      <c r="C51" s="7" t="n">
        <v>1</v>
      </c>
      <c r="D51" s="7" t="n">
        <v>1</v>
      </c>
      <c r="E51" s="7" t="n">
        <v>0</v>
      </c>
      <c r="F51" s="7" t="n">
        <v>10</v>
      </c>
      <c r="G51" s="7" t="n">
        <v>2</v>
      </c>
      <c r="H51" s="7" t="n">
        <v>18000</v>
      </c>
      <c r="I51" s="7" t="n">
        <v>84000</v>
      </c>
      <c r="J51" s="7" t="n">
        <v>102000</v>
      </c>
      <c r="K51" s="7" t="n">
        <v>90000</v>
      </c>
      <c r="L51" s="7" t="n">
        <v>66000</v>
      </c>
      <c r="M51" s="7" t="n">
        <v>9000</v>
      </c>
      <c r="N51" s="7" t="n">
        <v>17000</v>
      </c>
      <c r="O51" s="7" t="n">
        <v>8160</v>
      </c>
      <c r="P51" s="7" t="n">
        <v>4500</v>
      </c>
      <c r="Q51" s="7" t="n">
        <v>104660</v>
      </c>
      <c r="R51" s="7" t="n">
        <v>-14660</v>
      </c>
      <c r="S51" s="7" t="n">
        <v>-764190</v>
      </c>
      <c r="T51" s="7" t="n">
        <v>-9920</v>
      </c>
      <c r="U51" s="7" t="n">
        <v>60</v>
      </c>
      <c r="V51" s="7" t="n">
        <v>68</v>
      </c>
    </row>
    <row r="52">
      <c r="A52" t="inlineStr">
        <is>
          <t>Base</t>
        </is>
      </c>
      <c r="B52" s="7" t="n">
        <v>21</v>
      </c>
      <c r="C52" s="7" t="n">
        <v>1</v>
      </c>
      <c r="D52" s="7" t="n">
        <v>0</v>
      </c>
      <c r="E52" s="7" t="n">
        <v>0</v>
      </c>
      <c r="F52" s="7" t="n">
        <v>10</v>
      </c>
      <c r="G52" s="7" t="n">
        <v>2</v>
      </c>
      <c r="H52" s="7" t="n">
        <v>36000</v>
      </c>
      <c r="I52" s="7" t="n">
        <v>84000</v>
      </c>
      <c r="J52" s="7" t="n">
        <v>120000</v>
      </c>
      <c r="K52" s="7" t="n">
        <v>120000</v>
      </c>
      <c r="L52" s="7" t="n">
        <v>66000</v>
      </c>
      <c r="M52" s="7" t="n">
        <v>18000</v>
      </c>
      <c r="N52" s="7" t="n">
        <v>17000</v>
      </c>
      <c r="O52" s="7" t="n">
        <v>9600</v>
      </c>
      <c r="P52" s="7" t="n">
        <v>6000</v>
      </c>
      <c r="Q52" s="7" t="n">
        <v>116600</v>
      </c>
      <c r="R52" s="7" t="n">
        <v>3400</v>
      </c>
      <c r="S52" s="7" t="n">
        <v>-760790</v>
      </c>
      <c r="T52" s="7" t="n">
        <v>-9920</v>
      </c>
      <c r="U52" s="7" t="n">
        <v>120</v>
      </c>
      <c r="V52" s="7" t="n">
        <v>68</v>
      </c>
    </row>
    <row r="53">
      <c r="A53" t="inlineStr">
        <is>
          <t>Base</t>
        </is>
      </c>
      <c r="B53" s="7" t="n">
        <v>22</v>
      </c>
      <c r="C53" s="7" t="n">
        <v>1</v>
      </c>
      <c r="D53" s="7" t="n">
        <v>1</v>
      </c>
      <c r="E53" s="7" t="n">
        <v>0</v>
      </c>
      <c r="F53" s="7" t="n">
        <v>11</v>
      </c>
      <c r="G53" s="7" t="n">
        <v>2</v>
      </c>
      <c r="H53" s="7" t="n">
        <v>36000</v>
      </c>
      <c r="I53" s="7" t="n">
        <v>91500</v>
      </c>
      <c r="J53" s="7" t="n">
        <v>127500</v>
      </c>
      <c r="K53" s="7" t="n">
        <v>120000</v>
      </c>
      <c r="L53" s="7" t="n">
        <v>66000</v>
      </c>
      <c r="M53" s="7" t="n">
        <v>18000</v>
      </c>
      <c r="N53" s="7" t="n">
        <v>18500</v>
      </c>
      <c r="O53" s="7" t="n">
        <v>10200</v>
      </c>
      <c r="P53" s="7" t="n">
        <v>6000</v>
      </c>
      <c r="Q53" s="7" t="n">
        <v>118700</v>
      </c>
      <c r="R53" s="7" t="n">
        <v>1300</v>
      </c>
      <c r="S53" s="7" t="n">
        <v>-759490</v>
      </c>
      <c r="T53" s="7" t="n">
        <v>-4895</v>
      </c>
      <c r="U53" s="7" t="n">
        <v>120</v>
      </c>
      <c r="V53" s="7" t="n">
        <v>74</v>
      </c>
    </row>
    <row r="54">
      <c r="A54" t="inlineStr">
        <is>
          <t>Base</t>
        </is>
      </c>
      <c r="B54" s="7" t="n">
        <v>23</v>
      </c>
      <c r="C54" s="7" t="n">
        <v>0</v>
      </c>
      <c r="D54" s="7" t="n">
        <v>1</v>
      </c>
      <c r="E54" s="7" t="n">
        <v>1</v>
      </c>
      <c r="F54" s="7" t="n">
        <v>11</v>
      </c>
      <c r="G54" s="7" t="n">
        <v>2</v>
      </c>
      <c r="H54" s="7" t="n">
        <v>18000</v>
      </c>
      <c r="I54" s="7" t="n">
        <v>91500</v>
      </c>
      <c r="J54" s="7" t="n">
        <v>109500</v>
      </c>
      <c r="K54" s="7" t="n">
        <v>109500</v>
      </c>
      <c r="L54" s="7" t="n">
        <v>66000</v>
      </c>
      <c r="M54" s="7" t="n">
        <v>9000</v>
      </c>
      <c r="N54" s="7" t="n">
        <v>18500</v>
      </c>
      <c r="O54" s="7" t="n">
        <v>8760</v>
      </c>
      <c r="P54" s="7" t="n">
        <v>5475</v>
      </c>
      <c r="Q54" s="7" t="n">
        <v>107735</v>
      </c>
      <c r="R54" s="7" t="n">
        <v>1765</v>
      </c>
      <c r="S54" s="7" t="n">
        <v>-757725</v>
      </c>
      <c r="T54" s="7" t="n">
        <v>-4895</v>
      </c>
      <c r="U54" s="7" t="n">
        <v>60</v>
      </c>
      <c r="V54" s="7" t="n">
        <v>74</v>
      </c>
    </row>
    <row r="55">
      <c r="A55" t="inlineStr">
        <is>
          <t>Base</t>
        </is>
      </c>
      <c r="B55" s="7" t="n">
        <v>24</v>
      </c>
      <c r="C55" s="7" t="n">
        <v>0</v>
      </c>
      <c r="D55" s="7" t="n">
        <v>1</v>
      </c>
      <c r="E55" s="7" t="n">
        <v>0</v>
      </c>
      <c r="F55" s="7" t="n">
        <v>12</v>
      </c>
      <c r="G55" s="7" t="n">
        <v>2</v>
      </c>
      <c r="H55" s="7" t="n">
        <v>0</v>
      </c>
      <c r="I55" s="7" t="n">
        <v>99000</v>
      </c>
      <c r="J55" s="7" t="n">
        <v>99000</v>
      </c>
      <c r="K55" s="7" t="n">
        <v>91500</v>
      </c>
      <c r="L55" s="7" t="n">
        <v>66000</v>
      </c>
      <c r="M55" s="7" t="n">
        <v>0</v>
      </c>
      <c r="N55" s="7" t="n">
        <v>20000</v>
      </c>
      <c r="O55" s="7" t="n">
        <v>7920</v>
      </c>
      <c r="P55" s="7" t="n">
        <v>4575</v>
      </c>
      <c r="Q55" s="7" t="n">
        <v>98495</v>
      </c>
      <c r="R55" s="7" t="n">
        <v>-6995</v>
      </c>
      <c r="S55" s="7" t="n">
        <v>-764720</v>
      </c>
      <c r="T55" s="7" t="n">
        <v>130</v>
      </c>
      <c r="U55" s="7" t="n">
        <v>0</v>
      </c>
      <c r="V55" s="7" t="n">
        <v>80</v>
      </c>
    </row>
    <row r="56">
      <c r="A56" t="inlineStr">
        <is>
          <t>Expansao</t>
        </is>
      </c>
      <c r="B56" s="7" t="n">
        <v>1</v>
      </c>
      <c r="C56" s="7" t="n">
        <v>0</v>
      </c>
      <c r="D56" s="7" t="n">
        <v>0</v>
      </c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38000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38000</v>
      </c>
      <c r="R56" s="7" t="n">
        <v>-38000</v>
      </c>
      <c r="S56" s="7" t="n">
        <v>-212000</v>
      </c>
      <c r="T56" s="7" t="n">
        <v>-38000</v>
      </c>
      <c r="U56" s="7" t="n">
        <v>0</v>
      </c>
      <c r="V56" s="7" t="n">
        <v>0</v>
      </c>
    </row>
    <row r="57">
      <c r="A57" t="inlineStr">
        <is>
          <t>Expansao</t>
        </is>
      </c>
      <c r="B57" s="7" t="n">
        <v>2</v>
      </c>
      <c r="C57" s="7" t="n">
        <v>0</v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38000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38000</v>
      </c>
      <c r="R57" s="7" t="n">
        <v>-38000</v>
      </c>
      <c r="S57" s="7" t="n">
        <v>-250000</v>
      </c>
      <c r="T57" s="7" t="n">
        <v>-38000</v>
      </c>
      <c r="U57" s="7" t="n">
        <v>0</v>
      </c>
      <c r="V57" s="7" t="n">
        <v>0</v>
      </c>
    </row>
    <row r="58">
      <c r="A58" t="inlineStr">
        <is>
          <t>Expansao</t>
        </is>
      </c>
      <c r="B58" s="7" t="n">
        <v>3</v>
      </c>
      <c r="C58" s="7" t="n">
        <v>0</v>
      </c>
      <c r="D58" s="7" t="n">
        <v>0</v>
      </c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38000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38000</v>
      </c>
      <c r="R58" s="7" t="n">
        <v>-38000</v>
      </c>
      <c r="S58" s="7" t="n">
        <v>-288000</v>
      </c>
      <c r="T58" s="7" t="n">
        <v>-38000</v>
      </c>
      <c r="U58" s="7" t="n">
        <v>0</v>
      </c>
      <c r="V58" s="7" t="n">
        <v>0</v>
      </c>
    </row>
    <row r="59">
      <c r="A59" t="inlineStr">
        <is>
          <t>Expansao</t>
        </is>
      </c>
      <c r="B59" s="7" t="n">
        <v>4</v>
      </c>
      <c r="C59" s="7" t="n">
        <v>1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18000</v>
      </c>
      <c r="I59" s="7" t="n">
        <v>0</v>
      </c>
      <c r="J59" s="7" t="n">
        <v>18000</v>
      </c>
      <c r="K59" s="7" t="n">
        <v>18000</v>
      </c>
      <c r="L59" s="7" t="n">
        <v>38000</v>
      </c>
      <c r="M59" s="7" t="n">
        <v>9000</v>
      </c>
      <c r="N59" s="7" t="n">
        <v>0</v>
      </c>
      <c r="O59" s="7" t="n">
        <v>1440</v>
      </c>
      <c r="P59" s="7" t="n">
        <v>900</v>
      </c>
      <c r="Q59" s="7" t="n">
        <v>49340</v>
      </c>
      <c r="R59" s="7" t="n">
        <v>-31340</v>
      </c>
      <c r="S59" s="7" t="n">
        <v>-319340</v>
      </c>
      <c r="T59" s="7" t="n">
        <v>-38000</v>
      </c>
      <c r="U59" s="7" t="n">
        <v>60</v>
      </c>
      <c r="V59" s="7" t="n">
        <v>0</v>
      </c>
    </row>
    <row r="60">
      <c r="A60" t="inlineStr">
        <is>
          <t>Expansao</t>
        </is>
      </c>
      <c r="B60" s="7" t="n">
        <v>5</v>
      </c>
      <c r="C60" s="7" t="n">
        <v>1</v>
      </c>
      <c r="D60" s="7" t="n">
        <v>0</v>
      </c>
      <c r="E60" s="7" t="n">
        <v>0</v>
      </c>
      <c r="F60" s="7" t="n">
        <v>0</v>
      </c>
      <c r="G60" s="7" t="n">
        <v>0</v>
      </c>
      <c r="H60" s="7" t="n">
        <v>36000</v>
      </c>
      <c r="I60" s="7" t="n">
        <v>0</v>
      </c>
      <c r="J60" s="7" t="n">
        <v>36000</v>
      </c>
      <c r="K60" s="7" t="n">
        <v>36000</v>
      </c>
      <c r="L60" s="7" t="n">
        <v>38000</v>
      </c>
      <c r="M60" s="7" t="n">
        <v>18000</v>
      </c>
      <c r="N60" s="7" t="n">
        <v>0</v>
      </c>
      <c r="O60" s="7" t="n">
        <v>2880</v>
      </c>
      <c r="P60" s="7" t="n">
        <v>1800</v>
      </c>
      <c r="Q60" s="7" t="n">
        <v>60680</v>
      </c>
      <c r="R60" s="7" t="n">
        <v>-24680</v>
      </c>
      <c r="S60" s="7" t="n">
        <v>-344020</v>
      </c>
      <c r="T60" s="7" t="n">
        <v>-38000</v>
      </c>
      <c r="U60" s="7" t="n">
        <v>120</v>
      </c>
      <c r="V60" s="7" t="n">
        <v>0</v>
      </c>
    </row>
    <row r="61">
      <c r="A61" t="inlineStr">
        <is>
          <t>Expansao</t>
        </is>
      </c>
      <c r="B61" s="7" t="n">
        <v>6</v>
      </c>
      <c r="C61" s="7" t="n">
        <v>1</v>
      </c>
      <c r="D61" s="7" t="n">
        <v>1</v>
      </c>
      <c r="E61" s="7" t="n">
        <v>0</v>
      </c>
      <c r="F61" s="7" t="n">
        <v>1</v>
      </c>
      <c r="G61" s="7" t="n">
        <v>0</v>
      </c>
      <c r="H61" s="7" t="n">
        <v>36000</v>
      </c>
      <c r="I61" s="7" t="n">
        <v>7500</v>
      </c>
      <c r="J61" s="7" t="n">
        <v>43500</v>
      </c>
      <c r="K61" s="7" t="n">
        <v>36000</v>
      </c>
      <c r="L61" s="7" t="n">
        <v>38000</v>
      </c>
      <c r="M61" s="7" t="n">
        <v>18000</v>
      </c>
      <c r="N61" s="7" t="n">
        <v>1500</v>
      </c>
      <c r="O61" s="7" t="n">
        <v>3480</v>
      </c>
      <c r="P61" s="7" t="n">
        <v>1800</v>
      </c>
      <c r="Q61" s="7" t="n">
        <v>62780</v>
      </c>
      <c r="R61" s="7" t="n">
        <v>-26780</v>
      </c>
      <c r="S61" s="7" t="n">
        <v>-370800</v>
      </c>
      <c r="T61" s="7" t="n">
        <v>-32975</v>
      </c>
      <c r="U61" s="7" t="n">
        <v>120</v>
      </c>
      <c r="V61" s="7" t="n">
        <v>6</v>
      </c>
    </row>
    <row r="62">
      <c r="A62" t="inlineStr">
        <is>
          <t>Expansao</t>
        </is>
      </c>
      <c r="B62" s="7" t="n">
        <v>7</v>
      </c>
      <c r="C62" s="7" t="n">
        <v>1</v>
      </c>
      <c r="D62" s="7" t="n">
        <v>1</v>
      </c>
      <c r="E62" s="7" t="n">
        <v>0</v>
      </c>
      <c r="F62" s="7" t="n">
        <v>2</v>
      </c>
      <c r="G62" s="7" t="n">
        <v>0</v>
      </c>
      <c r="H62" s="7" t="n">
        <v>36000</v>
      </c>
      <c r="I62" s="7" t="n">
        <v>15000</v>
      </c>
      <c r="J62" s="7" t="n">
        <v>51000</v>
      </c>
      <c r="K62" s="7" t="n">
        <v>43500</v>
      </c>
      <c r="L62" s="7" t="n">
        <v>54000</v>
      </c>
      <c r="M62" s="7" t="n">
        <v>18000</v>
      </c>
      <c r="N62" s="7" t="n">
        <v>3000</v>
      </c>
      <c r="O62" s="7" t="n">
        <v>4080</v>
      </c>
      <c r="P62" s="7" t="n">
        <v>2175</v>
      </c>
      <c r="Q62" s="7" t="n">
        <v>81255</v>
      </c>
      <c r="R62" s="7" t="n">
        <v>-37755</v>
      </c>
      <c r="S62" s="7" t="n">
        <v>-408555</v>
      </c>
      <c r="T62" s="7" t="n">
        <v>-43950</v>
      </c>
      <c r="U62" s="7" t="n">
        <v>120</v>
      </c>
      <c r="V62" s="7" t="n">
        <v>12</v>
      </c>
    </row>
    <row r="63">
      <c r="A63" t="inlineStr">
        <is>
          <t>Expansao</t>
        </is>
      </c>
      <c r="B63" s="7" t="n">
        <v>8</v>
      </c>
      <c r="C63" s="7" t="n">
        <v>1</v>
      </c>
      <c r="D63" s="7" t="n">
        <v>0</v>
      </c>
      <c r="E63" s="7" t="n">
        <v>0</v>
      </c>
      <c r="F63" s="7" t="n">
        <v>2</v>
      </c>
      <c r="G63" s="7" t="n">
        <v>0</v>
      </c>
      <c r="H63" s="7" t="n">
        <v>36000</v>
      </c>
      <c r="I63" s="7" t="n">
        <v>15000</v>
      </c>
      <c r="J63" s="7" t="n">
        <v>51000</v>
      </c>
      <c r="K63" s="7" t="n">
        <v>51000</v>
      </c>
      <c r="L63" s="7" t="n">
        <v>54000</v>
      </c>
      <c r="M63" s="7" t="n">
        <v>18000</v>
      </c>
      <c r="N63" s="7" t="n">
        <v>3000</v>
      </c>
      <c r="O63" s="7" t="n">
        <v>4080</v>
      </c>
      <c r="P63" s="7" t="n">
        <v>2550</v>
      </c>
      <c r="Q63" s="7" t="n">
        <v>81630</v>
      </c>
      <c r="R63" s="7" t="n">
        <v>-30630</v>
      </c>
      <c r="S63" s="7" t="n">
        <v>-439185</v>
      </c>
      <c r="T63" s="7" t="n">
        <v>-43950</v>
      </c>
      <c r="U63" s="7" t="n">
        <v>120</v>
      </c>
      <c r="V63" s="7" t="n">
        <v>12</v>
      </c>
    </row>
    <row r="64">
      <c r="A64" t="inlineStr">
        <is>
          <t>Expansao</t>
        </is>
      </c>
      <c r="B64" s="7" t="n">
        <v>9</v>
      </c>
      <c r="C64" s="7" t="n">
        <v>1</v>
      </c>
      <c r="D64" s="7" t="n">
        <v>1</v>
      </c>
      <c r="E64" s="7" t="n">
        <v>0</v>
      </c>
      <c r="F64" s="7" t="n">
        <v>3</v>
      </c>
      <c r="G64" s="7" t="n">
        <v>1</v>
      </c>
      <c r="H64" s="7" t="n">
        <v>36000</v>
      </c>
      <c r="I64" s="7" t="n">
        <v>27000</v>
      </c>
      <c r="J64" s="7" t="n">
        <v>63000</v>
      </c>
      <c r="K64" s="7" t="n">
        <v>51000</v>
      </c>
      <c r="L64" s="7" t="n">
        <v>54000</v>
      </c>
      <c r="M64" s="7" t="n">
        <v>18000</v>
      </c>
      <c r="N64" s="7" t="n">
        <v>5500</v>
      </c>
      <c r="O64" s="7" t="n">
        <v>5040</v>
      </c>
      <c r="P64" s="7" t="n">
        <v>2550</v>
      </c>
      <c r="Q64" s="7" t="n">
        <v>85090</v>
      </c>
      <c r="R64" s="7" t="n">
        <v>-34090</v>
      </c>
      <c r="S64" s="7" t="n">
        <v>-473275</v>
      </c>
      <c r="T64" s="7" t="n">
        <v>-36010</v>
      </c>
      <c r="U64" s="7" t="n">
        <v>120</v>
      </c>
      <c r="V64" s="7" t="n">
        <v>22</v>
      </c>
    </row>
    <row r="65">
      <c r="A65" t="inlineStr">
        <is>
          <t>Expansao</t>
        </is>
      </c>
      <c r="B65" s="7" t="n">
        <v>10</v>
      </c>
      <c r="C65" s="7" t="n">
        <v>1</v>
      </c>
      <c r="D65" s="7" t="n">
        <v>1</v>
      </c>
      <c r="E65" s="7" t="n">
        <v>0</v>
      </c>
      <c r="F65" s="7" t="n">
        <v>4</v>
      </c>
      <c r="G65" s="7" t="n">
        <v>1</v>
      </c>
      <c r="H65" s="7" t="n">
        <v>36000</v>
      </c>
      <c r="I65" s="7" t="n">
        <v>34500</v>
      </c>
      <c r="J65" s="7" t="n">
        <v>70500</v>
      </c>
      <c r="K65" s="7" t="n">
        <v>63000</v>
      </c>
      <c r="L65" s="7" t="n">
        <v>54000</v>
      </c>
      <c r="M65" s="7" t="n">
        <v>18000</v>
      </c>
      <c r="N65" s="7" t="n">
        <v>7000</v>
      </c>
      <c r="O65" s="7" t="n">
        <v>5640</v>
      </c>
      <c r="P65" s="7" t="n">
        <v>3150</v>
      </c>
      <c r="Q65" s="7" t="n">
        <v>87790</v>
      </c>
      <c r="R65" s="7" t="n">
        <v>-24790</v>
      </c>
      <c r="S65" s="7" t="n">
        <v>-498065</v>
      </c>
      <c r="T65" s="7" t="n">
        <v>-30985</v>
      </c>
      <c r="U65" s="7" t="n">
        <v>120</v>
      </c>
      <c r="V65" s="7" t="n">
        <v>28</v>
      </c>
    </row>
    <row r="66">
      <c r="A66" t="inlineStr">
        <is>
          <t>Expansao</t>
        </is>
      </c>
      <c r="B66" s="7" t="n">
        <v>11</v>
      </c>
      <c r="C66" s="7" t="n">
        <v>1</v>
      </c>
      <c r="D66" s="7" t="n">
        <v>1</v>
      </c>
      <c r="E66" s="7" t="n">
        <v>0</v>
      </c>
      <c r="F66" s="7" t="n">
        <v>5</v>
      </c>
      <c r="G66" s="7" t="n">
        <v>2</v>
      </c>
      <c r="H66" s="7" t="n">
        <v>36000</v>
      </c>
      <c r="I66" s="7" t="n">
        <v>46500</v>
      </c>
      <c r="J66" s="7" t="n">
        <v>82500</v>
      </c>
      <c r="K66" s="7" t="n">
        <v>70500</v>
      </c>
      <c r="L66" s="7" t="n">
        <v>54000</v>
      </c>
      <c r="M66" s="7" t="n">
        <v>18000</v>
      </c>
      <c r="N66" s="7" t="n">
        <v>9500</v>
      </c>
      <c r="O66" s="7" t="n">
        <v>6600</v>
      </c>
      <c r="P66" s="7" t="n">
        <v>3525</v>
      </c>
      <c r="Q66" s="7" t="n">
        <v>91625</v>
      </c>
      <c r="R66" s="7" t="n">
        <v>-21125</v>
      </c>
      <c r="S66" s="7" t="n">
        <v>-519190</v>
      </c>
      <c r="T66" s="7" t="n">
        <v>-23045</v>
      </c>
      <c r="U66" s="7" t="n">
        <v>120</v>
      </c>
      <c r="V66" s="7" t="n">
        <v>38</v>
      </c>
    </row>
    <row r="67">
      <c r="A67" t="inlineStr">
        <is>
          <t>Expansao</t>
        </is>
      </c>
      <c r="B67" s="7" t="n">
        <v>12</v>
      </c>
      <c r="C67" s="7" t="n">
        <v>1</v>
      </c>
      <c r="D67" s="7" t="n">
        <v>1</v>
      </c>
      <c r="E67" s="7" t="n">
        <v>0</v>
      </c>
      <c r="F67" s="7" t="n">
        <v>6</v>
      </c>
      <c r="G67" s="7" t="n">
        <v>2</v>
      </c>
      <c r="H67" s="7" t="n">
        <v>36000</v>
      </c>
      <c r="I67" s="7" t="n">
        <v>54000</v>
      </c>
      <c r="J67" s="7" t="n">
        <v>90000</v>
      </c>
      <c r="K67" s="7" t="n">
        <v>82500</v>
      </c>
      <c r="L67" s="7" t="n">
        <v>54000</v>
      </c>
      <c r="M67" s="7" t="n">
        <v>18000</v>
      </c>
      <c r="N67" s="7" t="n">
        <v>11000</v>
      </c>
      <c r="O67" s="7" t="n">
        <v>7200</v>
      </c>
      <c r="P67" s="7" t="n">
        <v>4125</v>
      </c>
      <c r="Q67" s="7" t="n">
        <v>94325</v>
      </c>
      <c r="R67" s="7" t="n">
        <v>-11825</v>
      </c>
      <c r="S67" s="7" t="n">
        <v>-531015</v>
      </c>
      <c r="T67" s="7" t="n">
        <v>-18020</v>
      </c>
      <c r="U67" s="7" t="n">
        <v>120</v>
      </c>
      <c r="V67" s="7" t="n">
        <v>44</v>
      </c>
    </row>
    <row r="68">
      <c r="A68" t="inlineStr">
        <is>
          <t>Expansao</t>
        </is>
      </c>
      <c r="B68" s="7" t="n">
        <v>13</v>
      </c>
      <c r="C68" s="7" t="n">
        <v>1</v>
      </c>
      <c r="D68" s="7" t="n">
        <v>1</v>
      </c>
      <c r="E68" s="7" t="n">
        <v>0</v>
      </c>
      <c r="F68" s="7" t="n">
        <v>7</v>
      </c>
      <c r="G68" s="7" t="n">
        <v>2</v>
      </c>
      <c r="H68" s="7" t="n">
        <v>36000</v>
      </c>
      <c r="I68" s="7" t="n">
        <v>61500</v>
      </c>
      <c r="J68" s="7" t="n">
        <v>97500</v>
      </c>
      <c r="K68" s="7" t="n">
        <v>90000</v>
      </c>
      <c r="L68" s="7" t="n">
        <v>66000</v>
      </c>
      <c r="M68" s="7" t="n">
        <v>18000</v>
      </c>
      <c r="N68" s="7" t="n">
        <v>12500</v>
      </c>
      <c r="O68" s="7" t="n">
        <v>7800</v>
      </c>
      <c r="P68" s="7" t="n">
        <v>4500</v>
      </c>
      <c r="Q68" s="7" t="n">
        <v>108800</v>
      </c>
      <c r="R68" s="7" t="n">
        <v>-18800</v>
      </c>
      <c r="S68" s="7" t="n">
        <v>-549815</v>
      </c>
      <c r="T68" s="7" t="n">
        <v>-24995</v>
      </c>
      <c r="U68" s="7" t="n">
        <v>120</v>
      </c>
      <c r="V68" s="7" t="n">
        <v>50</v>
      </c>
    </row>
    <row r="69">
      <c r="A69" t="inlineStr">
        <is>
          <t>Expansao</t>
        </is>
      </c>
      <c r="B69" s="7" t="n">
        <v>14</v>
      </c>
      <c r="C69" s="7" t="n">
        <v>1</v>
      </c>
      <c r="D69" s="7" t="n">
        <v>1</v>
      </c>
      <c r="E69" s="7" t="n">
        <v>0</v>
      </c>
      <c r="F69" s="7" t="n">
        <v>8</v>
      </c>
      <c r="G69" s="7" t="n">
        <v>3</v>
      </c>
      <c r="H69" s="7" t="n">
        <v>36000</v>
      </c>
      <c r="I69" s="7" t="n">
        <v>73500</v>
      </c>
      <c r="J69" s="7" t="n">
        <v>109500</v>
      </c>
      <c r="K69" s="7" t="n">
        <v>97500</v>
      </c>
      <c r="L69" s="7" t="n">
        <v>66000</v>
      </c>
      <c r="M69" s="7" t="n">
        <v>18000</v>
      </c>
      <c r="N69" s="7" t="n">
        <v>15000</v>
      </c>
      <c r="O69" s="7" t="n">
        <v>8760</v>
      </c>
      <c r="P69" s="7" t="n">
        <v>4875</v>
      </c>
      <c r="Q69" s="7" t="n">
        <v>112635</v>
      </c>
      <c r="R69" s="7" t="n">
        <v>-15135</v>
      </c>
      <c r="S69" s="7" t="n">
        <v>-564950</v>
      </c>
      <c r="T69" s="7" t="n">
        <v>-17055</v>
      </c>
      <c r="U69" s="7" t="n">
        <v>120</v>
      </c>
      <c r="V69" s="7" t="n">
        <v>60</v>
      </c>
    </row>
    <row r="70">
      <c r="A70" t="inlineStr">
        <is>
          <t>Expansao</t>
        </is>
      </c>
      <c r="B70" s="7" t="n">
        <v>15</v>
      </c>
      <c r="C70" s="7" t="n">
        <v>1</v>
      </c>
      <c r="D70" s="7" t="n">
        <v>1</v>
      </c>
      <c r="E70" s="7" t="n">
        <v>0</v>
      </c>
      <c r="F70" s="7" t="n">
        <v>9</v>
      </c>
      <c r="G70" s="7" t="n">
        <v>3</v>
      </c>
      <c r="H70" s="7" t="n">
        <v>36000</v>
      </c>
      <c r="I70" s="7" t="n">
        <v>81000</v>
      </c>
      <c r="J70" s="7" t="n">
        <v>117000</v>
      </c>
      <c r="K70" s="7" t="n">
        <v>109500</v>
      </c>
      <c r="L70" s="7" t="n">
        <v>66000</v>
      </c>
      <c r="M70" s="7" t="n">
        <v>18000</v>
      </c>
      <c r="N70" s="7" t="n">
        <v>16500</v>
      </c>
      <c r="O70" s="7" t="n">
        <v>9360</v>
      </c>
      <c r="P70" s="7" t="n">
        <v>5475</v>
      </c>
      <c r="Q70" s="7" t="n">
        <v>115335</v>
      </c>
      <c r="R70" s="7" t="n">
        <v>-5835</v>
      </c>
      <c r="S70" s="7" t="n">
        <v>-570785</v>
      </c>
      <c r="T70" s="7" t="n">
        <v>-12030</v>
      </c>
      <c r="U70" s="7" t="n">
        <v>120</v>
      </c>
      <c r="V70" s="7" t="n">
        <v>66</v>
      </c>
    </row>
    <row r="71">
      <c r="A71" t="inlineStr">
        <is>
          <t>Expansao</t>
        </is>
      </c>
      <c r="B71" s="7" t="n">
        <v>16</v>
      </c>
      <c r="C71" s="7" t="n">
        <v>1</v>
      </c>
      <c r="D71" s="7" t="n">
        <v>0</v>
      </c>
      <c r="E71" s="7" t="n">
        <v>0</v>
      </c>
      <c r="F71" s="7" t="n">
        <v>9</v>
      </c>
      <c r="G71" s="7" t="n">
        <v>3</v>
      </c>
      <c r="H71" s="7" t="n">
        <v>36000</v>
      </c>
      <c r="I71" s="7" t="n">
        <v>81000</v>
      </c>
      <c r="J71" s="7" t="n">
        <v>117000</v>
      </c>
      <c r="K71" s="7" t="n">
        <v>117000</v>
      </c>
      <c r="L71" s="7" t="n">
        <v>66000</v>
      </c>
      <c r="M71" s="7" t="n">
        <v>18000</v>
      </c>
      <c r="N71" s="7" t="n">
        <v>16500</v>
      </c>
      <c r="O71" s="7" t="n">
        <v>9360</v>
      </c>
      <c r="P71" s="7" t="n">
        <v>5850</v>
      </c>
      <c r="Q71" s="7" t="n">
        <v>115710</v>
      </c>
      <c r="R71" s="7" t="n">
        <v>1290</v>
      </c>
      <c r="S71" s="7" t="n">
        <v>-569495</v>
      </c>
      <c r="T71" s="7" t="n">
        <v>-12030</v>
      </c>
      <c r="U71" s="7" t="n">
        <v>120</v>
      </c>
      <c r="V71" s="7" t="n">
        <v>66</v>
      </c>
    </row>
    <row r="72">
      <c r="A72" t="inlineStr">
        <is>
          <t>Expansao</t>
        </is>
      </c>
      <c r="B72" s="7" t="n">
        <v>17</v>
      </c>
      <c r="C72" s="7" t="n">
        <v>1</v>
      </c>
      <c r="D72" s="7" t="n">
        <v>1</v>
      </c>
      <c r="E72" s="7" t="n">
        <v>0</v>
      </c>
      <c r="F72" s="7" t="n">
        <v>10</v>
      </c>
      <c r="G72" s="7" t="n">
        <v>4</v>
      </c>
      <c r="H72" s="7" t="n">
        <v>36000</v>
      </c>
      <c r="I72" s="7" t="n">
        <v>93000</v>
      </c>
      <c r="J72" s="7" t="n">
        <v>129000</v>
      </c>
      <c r="K72" s="7" t="n">
        <v>117000</v>
      </c>
      <c r="L72" s="7" t="n">
        <v>66000</v>
      </c>
      <c r="M72" s="7" t="n">
        <v>18000</v>
      </c>
      <c r="N72" s="7" t="n">
        <v>19000</v>
      </c>
      <c r="O72" s="7" t="n">
        <v>10320</v>
      </c>
      <c r="P72" s="7" t="n">
        <v>5850</v>
      </c>
      <c r="Q72" s="7" t="n">
        <v>119170</v>
      </c>
      <c r="R72" s="7" t="n">
        <v>-2170</v>
      </c>
      <c r="S72" s="7" t="n">
        <v>-571665</v>
      </c>
      <c r="T72" s="7" t="n">
        <v>-4090</v>
      </c>
      <c r="U72" s="7" t="n">
        <v>120</v>
      </c>
      <c r="V72" s="7" t="n">
        <v>76</v>
      </c>
    </row>
    <row r="73">
      <c r="A73" t="inlineStr">
        <is>
          <t>Expansao</t>
        </is>
      </c>
      <c r="B73" s="7" t="n">
        <v>18</v>
      </c>
      <c r="C73" s="7" t="n">
        <v>1</v>
      </c>
      <c r="D73" s="7" t="n">
        <v>1</v>
      </c>
      <c r="E73" s="7" t="n">
        <v>0</v>
      </c>
      <c r="F73" s="7" t="n">
        <v>11</v>
      </c>
      <c r="G73" s="7" t="n">
        <v>4</v>
      </c>
      <c r="H73" s="7" t="n">
        <v>36000</v>
      </c>
      <c r="I73" s="7" t="n">
        <v>100500</v>
      </c>
      <c r="J73" s="7" t="n">
        <v>136500</v>
      </c>
      <c r="K73" s="7" t="n">
        <v>129000</v>
      </c>
      <c r="L73" s="7" t="n">
        <v>66000</v>
      </c>
      <c r="M73" s="7" t="n">
        <v>18000</v>
      </c>
      <c r="N73" s="7" t="n">
        <v>20500</v>
      </c>
      <c r="O73" s="7" t="n">
        <v>10920</v>
      </c>
      <c r="P73" s="7" t="n">
        <v>6450</v>
      </c>
      <c r="Q73" s="7" t="n">
        <v>121870</v>
      </c>
      <c r="R73" s="7" t="n">
        <v>7130</v>
      </c>
      <c r="S73" s="7" t="n">
        <v>-564535</v>
      </c>
      <c r="T73" s="7" t="n">
        <v>935</v>
      </c>
      <c r="U73" s="7" t="n">
        <v>120</v>
      </c>
      <c r="V73" s="7" t="n">
        <v>82</v>
      </c>
    </row>
    <row r="74">
      <c r="A74" t="inlineStr">
        <is>
          <t>Expansao</t>
        </is>
      </c>
      <c r="B74" s="7" t="n">
        <v>19</v>
      </c>
      <c r="C74" s="7" t="n">
        <v>1</v>
      </c>
      <c r="D74" s="7" t="n">
        <v>1</v>
      </c>
      <c r="E74" s="7" t="n">
        <v>0</v>
      </c>
      <c r="F74" s="7" t="n">
        <v>12</v>
      </c>
      <c r="G74" s="7" t="n">
        <v>4</v>
      </c>
      <c r="H74" s="7" t="n">
        <v>36000</v>
      </c>
      <c r="I74" s="7" t="n">
        <v>108000</v>
      </c>
      <c r="J74" s="7" t="n">
        <v>144000</v>
      </c>
      <c r="K74" s="7" t="n">
        <v>136500</v>
      </c>
      <c r="L74" s="7" t="n">
        <v>66000</v>
      </c>
      <c r="M74" s="7" t="n">
        <v>18000</v>
      </c>
      <c r="N74" s="7" t="n">
        <v>22000</v>
      </c>
      <c r="O74" s="7" t="n">
        <v>11520</v>
      </c>
      <c r="P74" s="7" t="n">
        <v>6825</v>
      </c>
      <c r="Q74" s="7" t="n">
        <v>124345</v>
      </c>
      <c r="R74" s="7" t="n">
        <v>12155</v>
      </c>
      <c r="S74" s="7" t="n">
        <v>-552380</v>
      </c>
      <c r="T74" s="7" t="n">
        <v>5960</v>
      </c>
      <c r="U74" s="7" t="n">
        <v>120</v>
      </c>
      <c r="V74" s="7" t="n">
        <v>88</v>
      </c>
    </row>
    <row r="75">
      <c r="A75" t="inlineStr">
        <is>
          <t>Expansao</t>
        </is>
      </c>
      <c r="B75" s="7" t="n">
        <v>20</v>
      </c>
      <c r="C75" s="7" t="n">
        <v>1</v>
      </c>
      <c r="D75" s="7" t="n">
        <v>1</v>
      </c>
      <c r="E75" s="7" t="n">
        <v>1</v>
      </c>
      <c r="F75" s="7" t="n">
        <v>12</v>
      </c>
      <c r="G75" s="7" t="n">
        <v>4</v>
      </c>
      <c r="H75" s="7" t="n">
        <v>36000</v>
      </c>
      <c r="I75" s="7" t="n">
        <v>108000</v>
      </c>
      <c r="J75" s="7" t="n">
        <v>144000</v>
      </c>
      <c r="K75" s="7" t="n">
        <v>144000</v>
      </c>
      <c r="L75" s="7" t="n">
        <v>66000</v>
      </c>
      <c r="M75" s="7" t="n">
        <v>18000</v>
      </c>
      <c r="N75" s="7" t="n">
        <v>22000</v>
      </c>
      <c r="O75" s="7" t="n">
        <v>11520</v>
      </c>
      <c r="P75" s="7" t="n">
        <v>7200</v>
      </c>
      <c r="Q75" s="7" t="n">
        <v>124720</v>
      </c>
      <c r="R75" s="7" t="n">
        <v>19280</v>
      </c>
      <c r="S75" s="7" t="n">
        <v>-533100</v>
      </c>
      <c r="T75" s="7" t="n">
        <v>5960</v>
      </c>
      <c r="U75" s="7" t="n">
        <v>120</v>
      </c>
      <c r="V75" s="7" t="n">
        <v>88</v>
      </c>
    </row>
    <row r="76">
      <c r="A76" t="inlineStr">
        <is>
          <t>Expansao</t>
        </is>
      </c>
      <c r="B76" s="7" t="n">
        <v>21</v>
      </c>
      <c r="C76" s="7" t="n">
        <v>1</v>
      </c>
      <c r="D76" s="7" t="n">
        <v>1</v>
      </c>
      <c r="E76" s="7" t="n">
        <v>0</v>
      </c>
      <c r="F76" s="7" t="n">
        <v>13</v>
      </c>
      <c r="G76" s="7" t="n">
        <v>5</v>
      </c>
      <c r="H76" s="7" t="n">
        <v>36000</v>
      </c>
      <c r="I76" s="7" t="n">
        <v>120000</v>
      </c>
      <c r="J76" s="7" t="n">
        <v>156000</v>
      </c>
      <c r="K76" s="7" t="n">
        <v>144000</v>
      </c>
      <c r="L76" s="7" t="n">
        <v>66000</v>
      </c>
      <c r="M76" s="7" t="n">
        <v>18000</v>
      </c>
      <c r="N76" s="7" t="n">
        <v>24500</v>
      </c>
      <c r="O76" s="7" t="n">
        <v>12480</v>
      </c>
      <c r="P76" s="7" t="n">
        <v>7200</v>
      </c>
      <c r="Q76" s="7" t="n">
        <v>128180</v>
      </c>
      <c r="R76" s="7" t="n">
        <v>15820</v>
      </c>
      <c r="S76" s="7" t="n">
        <v>-517280</v>
      </c>
      <c r="T76" s="7" t="n">
        <v>13900</v>
      </c>
      <c r="U76" s="7" t="n">
        <v>120</v>
      </c>
      <c r="V76" s="7" t="n">
        <v>98</v>
      </c>
    </row>
    <row r="77">
      <c r="A77" t="inlineStr">
        <is>
          <t>Expansao</t>
        </is>
      </c>
      <c r="B77" s="7" t="n">
        <v>22</v>
      </c>
      <c r="C77" s="7" t="n">
        <v>1</v>
      </c>
      <c r="D77" s="7" t="n">
        <v>1</v>
      </c>
      <c r="E77" s="7" t="n">
        <v>0</v>
      </c>
      <c r="F77" s="7" t="n">
        <v>14</v>
      </c>
      <c r="G77" s="7" t="n">
        <v>5</v>
      </c>
      <c r="H77" s="7" t="n">
        <v>36000</v>
      </c>
      <c r="I77" s="7" t="n">
        <v>127500</v>
      </c>
      <c r="J77" s="7" t="n">
        <v>163500</v>
      </c>
      <c r="K77" s="7" t="n">
        <v>156000</v>
      </c>
      <c r="L77" s="7" t="n">
        <v>66000</v>
      </c>
      <c r="M77" s="7" t="n">
        <v>18000</v>
      </c>
      <c r="N77" s="7" t="n">
        <v>26000</v>
      </c>
      <c r="O77" s="7" t="n">
        <v>13080</v>
      </c>
      <c r="P77" s="7" t="n">
        <v>7800</v>
      </c>
      <c r="Q77" s="7" t="n">
        <v>130880</v>
      </c>
      <c r="R77" s="7" t="n">
        <v>25120</v>
      </c>
      <c r="S77" s="7" t="n">
        <v>-492160</v>
      </c>
      <c r="T77" s="7" t="n">
        <v>18925</v>
      </c>
      <c r="U77" s="7" t="n">
        <v>120</v>
      </c>
      <c r="V77" s="7" t="n">
        <v>104</v>
      </c>
    </row>
    <row r="78">
      <c r="A78" t="inlineStr">
        <is>
          <t>Expansao</t>
        </is>
      </c>
      <c r="B78" s="7" t="n">
        <v>23</v>
      </c>
      <c r="C78" s="7" t="n">
        <v>1</v>
      </c>
      <c r="D78" s="7" t="n">
        <v>1</v>
      </c>
      <c r="E78" s="7" t="n">
        <v>0</v>
      </c>
      <c r="F78" s="7" t="n">
        <v>15</v>
      </c>
      <c r="G78" s="7" t="n">
        <v>6</v>
      </c>
      <c r="H78" s="7" t="n">
        <v>36000</v>
      </c>
      <c r="I78" s="7" t="n">
        <v>139500</v>
      </c>
      <c r="J78" s="7" t="n">
        <v>175500</v>
      </c>
      <c r="K78" s="7" t="n">
        <v>163500</v>
      </c>
      <c r="L78" s="7" t="n">
        <v>66000</v>
      </c>
      <c r="M78" s="7" t="n">
        <v>18000</v>
      </c>
      <c r="N78" s="7" t="n">
        <v>28500</v>
      </c>
      <c r="O78" s="7" t="n">
        <v>14040</v>
      </c>
      <c r="P78" s="7" t="n">
        <v>8175</v>
      </c>
      <c r="Q78" s="7" t="n">
        <v>134715</v>
      </c>
      <c r="R78" s="7" t="n">
        <v>28785</v>
      </c>
      <c r="S78" s="7" t="n">
        <v>-463375</v>
      </c>
      <c r="T78" s="7" t="n">
        <v>26865</v>
      </c>
      <c r="U78" s="7" t="n">
        <v>120</v>
      </c>
      <c r="V78" s="7" t="n">
        <v>114</v>
      </c>
    </row>
    <row r="79">
      <c r="A79" t="inlineStr">
        <is>
          <t>Expansao</t>
        </is>
      </c>
      <c r="B79" s="7" t="n">
        <v>24</v>
      </c>
      <c r="C79" s="7" t="n">
        <v>1</v>
      </c>
      <c r="D79" s="7" t="n">
        <v>1</v>
      </c>
      <c r="E79" s="7" t="n">
        <v>0</v>
      </c>
      <c r="F79" s="7" t="n">
        <v>16</v>
      </c>
      <c r="G79" s="7" t="n">
        <v>6</v>
      </c>
      <c r="H79" s="7" t="n">
        <v>36000</v>
      </c>
      <c r="I79" s="7" t="n">
        <v>147000</v>
      </c>
      <c r="J79" s="7" t="n">
        <v>183000</v>
      </c>
      <c r="K79" s="7" t="n">
        <v>175500</v>
      </c>
      <c r="L79" s="7" t="n">
        <v>66000</v>
      </c>
      <c r="M79" s="7" t="n">
        <v>18000</v>
      </c>
      <c r="N79" s="7" t="n">
        <v>30000</v>
      </c>
      <c r="O79" s="7" t="n">
        <v>14640</v>
      </c>
      <c r="P79" s="7" t="n">
        <v>8775</v>
      </c>
      <c r="Q79" s="7" t="n">
        <v>137415</v>
      </c>
      <c r="R79" s="7" t="n">
        <v>38085</v>
      </c>
      <c r="S79" s="7" t="n">
        <v>-425290</v>
      </c>
      <c r="T79" s="7" t="n">
        <v>31890</v>
      </c>
      <c r="U79" s="7" t="n">
        <v>120</v>
      </c>
      <c r="V79" s="7" t="n">
        <v>120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" customWidth="1" min="1" max="1"/>
    <col width="100" customWidth="1" min="2" max="2"/>
    <col width="85" customWidth="1" min="3" max="3"/>
  </cols>
  <sheetData>
    <row r="1" ht="32" customHeight="1">
      <c r="A1" s="3" t="inlineStr">
        <is>
          <t>Fonte</t>
        </is>
      </c>
      <c r="B1" s="3" t="inlineStr">
        <is>
          <t>URL</t>
        </is>
      </c>
      <c r="C1" s="3" t="inlineStr">
        <is>
          <t>Status/data</t>
        </is>
      </c>
    </row>
    <row r="2">
      <c r="A2" t="inlineStr">
        <is>
          <t>NVIDIA hardware</t>
        </is>
      </c>
      <c r="B2" t="inlineStr">
        <is>
          <t>https://docs.nvidia.com/dgx/dgx-spark/hardware.html</t>
        </is>
      </c>
      <c r="C2" t="inlineStr">
        <is>
          <t>Documentação 10/09/2026; consultada 01/10/2026</t>
        </is>
      </c>
    </row>
    <row r="3">
      <c r="A3" t="inlineStr">
        <is>
          <t>NVIDIA Brasil</t>
        </is>
      </c>
      <c r="B3" t="inlineStr">
        <is>
          <t>https://www.nvidia.com/pt-br/products/workstations/dgx-spark/</t>
        </is>
      </c>
      <c r="C3" t="inlineStr">
        <is>
          <t>Consulta 01/10/2026; preço BR não confirmado</t>
        </is>
      </c>
    </row>
    <row r="4">
      <c r="A4" t="inlineStr">
        <is>
          <t>MCP OpenAI</t>
        </is>
      </c>
      <c r="B4" t="inlineStr">
        <is>
          <t>https://developers.openai.com/plugins/concepts/mcp-server</t>
        </is>
      </c>
      <c r="C4" t="inlineStr">
        <is>
          <t>Consulta nesta pesquisa; compatibilidade por cliente/plano</t>
        </is>
      </c>
    </row>
    <row r="5">
      <c r="A5" t="inlineStr">
        <is>
          <t>Pesquisa anterior</t>
        </is>
      </c>
      <c r="B5" t="inlineStr">
        <is>
          <t>Pesquisa documental de apoio; fontes primárias listadas em plano-completo.html.</t>
        </is>
      </c>
      <c r="C5" t="inlineStr">
        <is>
          <t>Base documental; este BP atualiza o foco comercial para uso estratégico</t>
        </is>
      </c>
    </row>
    <row r="6">
      <c r="A6" t="inlineStr">
        <is>
          <t>Preço DGX no orçamento</t>
        </is>
      </c>
      <c r="B6" t="inlineStr">
        <is>
          <t>Sem cotação válida de fornecedor</t>
        </is>
      </c>
      <c r="C6" t="inlineStr">
        <is>
          <t>R$65.000/unidade é premissa, NÃO preço verificado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05" customWidth="1" min="2" max="2"/>
  </cols>
  <sheetData>
    <row r="1">
      <c r="A1" t="inlineStr">
        <is>
          <t>Topologic — publicação pública</t>
        </is>
      </c>
      <c r="B1" t="inlineStr">
        <is>
          <t>Base financeira preservada</t>
        </is>
      </c>
    </row>
    <row r="2">
      <c r="A2" t="inlineStr">
        <is>
          <t>AUMI</t>
        </is>
      </c>
      <c r="B2" t="inlineStr">
        <is>
          <t>50% — Marcos, Luciana e João conjuntamente; divisão interna não informada.</t>
        </is>
      </c>
    </row>
    <row r="3">
      <c r="A3" t="inlineStr">
        <is>
          <t>Dani</t>
        </is>
      </c>
      <c r="B3" t="inlineStr">
        <is>
          <t>50% — investidora; aporte e condições não definidos.</t>
        </is>
      </c>
    </row>
    <row r="4">
      <c r="A4" t="inlineStr">
        <is>
          <t>Oferta-alvo</t>
        </is>
      </c>
      <c r="B4" t="inlineStr">
        <is>
          <t>R$200 mil por contrato, hipótese não incorporada aos cenários.</t>
        </is>
      </c>
    </row>
    <row r="5">
      <c r="A5" t="inlineStr">
        <is>
          <t>Capital-base</t>
        </is>
      </c>
      <c r="B5" t="inlineStr">
        <is>
          <t>R$970 mil de planejamento, não obrigação da Dani nem valuation.</t>
        </is>
      </c>
    </row>
    <row r="6">
      <c r="A6" t="inlineStr">
        <is>
          <t>Leitura</t>
        </is>
      </c>
      <c r="B6" t="inlineStr">
        <is>
          <t>Verificado e CSV são snapshots estáticos; fórmulas exigem recálculo no Excel/LibreOffice.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2026-10-01T21:07:13Z</dcterms:created>
  <dcterms:modified xmlns:dcterms="http://purl.org/dc/terms/" xmlns:xsi="http://www.w3.org/2001/XMLSchema-instance" xsi:type="dcterms:W3CDTF">2026-10-01T22:29:14Z</dcterms:modified>
</cp:coreProperties>
</file>