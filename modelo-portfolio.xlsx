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 primeiro" sheetId="1" r:id="rId1"/>
    <sheet name="Premissas" sheetId="2" r:id="rId2"/>
    <sheet name="Economia" sheetId="3" r:id="rId3"/>
    <sheet name="Conservador" sheetId="4" r:id="rId4"/>
    <sheet name="Base" sheetId="5" r:id="rId5"/>
    <sheet name="Escala24" sheetId="6" r:id="rId6"/>
    <sheet name="CAC15" sheetId="7" r:id="rId7"/>
    <sheet name="FX4,5" sheetId="8" r:id="rId8"/>
    <sheet name="Resumo" sheetId="9" r:id="rId9"/>
    <sheet name="Capital" sheetId="10" r:id="rId10"/>
    <sheet name="Escala" sheetId="11" r:id="rId11"/>
    <sheet name="Gates" sheetId="12" r:id="rId12"/>
    <sheet name="Fontes" sheetId="13" r:id="rId13"/>
  </sheets>
  <definedNames>
    <definedName name="_xlnm._FilterDatabase" localSheetId="4" hidden="1">Base!$A$4:$AD$28</definedName>
    <definedName name="_xlnm._FilterDatabase" localSheetId="6" hidden="1">CAC15!$A$4:$AD$28</definedName>
    <definedName name="_xlnm._FilterDatabase" localSheetId="3" hidden="1">Conservador!$A$4:$AD$28</definedName>
    <definedName name="_xlnm._FilterDatabase" localSheetId="5" hidden="1">Escala24!$A$4:$AD$28</definedName>
    <definedName name="_xlnm._FilterDatabase" localSheetId="7" hidden="1">'FX4,5'!$A$4:$AD$28</definedName>
    <definedName name="_xlnm.Print_Area" localSheetId="4">Base!$A$1:$AD$28</definedName>
    <definedName name="_xlnm.Print_Area" localSheetId="6">CAC15!$A$1:$AD$28</definedName>
    <definedName name="_xlnm.Print_Area" localSheetId="3">Conservador!$A$1:$AD$28</definedName>
    <definedName name="_xlnm.Print_Area" localSheetId="5">Escala24!$A$1:$AD$28</definedName>
    <definedName name="_xlnm.Print_Area" localSheetId="7">'FX4,5'!$A$1:$AD$28</definedName>
    <definedName name="_xlnm.Print_Titles" localSheetId="4">Base!$1:$4</definedName>
    <definedName name="_xlnm.Print_Titles" localSheetId="6">CAC15!$1:$4</definedName>
    <definedName name="_xlnm.Print_Titles" localSheetId="9">Capital!$1:$4</definedName>
    <definedName name="_xlnm.Print_Titles" localSheetId="3">Conservador!$1:$4</definedName>
    <definedName name="_xlnm.Print_Titles" localSheetId="2">Economia!$1:$4</definedName>
    <definedName name="_xlnm.Print_Titles" localSheetId="10">Escala!$1:$4</definedName>
    <definedName name="_xlnm.Print_Titles" localSheetId="5">Escala24!$1:$4</definedName>
    <definedName name="_xlnm.Print_Titles" localSheetId="12">Fontes!$1:$4</definedName>
    <definedName name="_xlnm.Print_Titles" localSheetId="7">'FX4,5'!$1:$4</definedName>
    <definedName name="_xlnm.Print_Titles" localSheetId="11">Gates!$1:$4</definedName>
    <definedName name="_xlnm.Print_Titles" localSheetId="0">'Leia primeiro'!$1:$4</definedName>
    <definedName name="_xlnm.Print_Titles" localSheetId="1">Premissas!$1:$4</definedName>
    <definedName name="_xlnm.Print_Titles" localSheetId="8">Resumo!$1:$4</definedName>
  </definedNames>
  <calcPr calcId="124519" fullCalcOnLoad="1"/>
</workbook>
</file>

<file path=xl/sharedStrings.xml><?xml version="1.0" encoding="utf-8"?>
<sst xmlns="http://schemas.openxmlformats.org/spreadsheetml/2006/main" count="447" uniqueCount="266">
  <si>
    <t>AUMI | Portfólio: loja LATAM + mapa de TI</t>
  </si>
  <si>
    <t>PROPOSTA EM 02/10/2026 — Nichos ainda serão escolhidos por validação. Não há catálogo ou pipeline comprovado. Esta planilha não inclui a oferta Topologic empresarial de R$200 mil + R$12 mil/mês.</t>
  </si>
  <si>
    <t>Como usar: leia Resumo e Capital; examine Economia e Escala; edite células azuis em Premissas e agendas de pedidos/mapas nas três abas mensais. Fórmulas têm resultados em cache para leitura sem Excel; após editar, abra em aplicativo com recálculo de fórmulas.</t>
  </si>
  <si>
    <t>Unidade: BRL salvo indicação USD, pedidos, visitas, horas ou mês. Receita após estornos não é caixa. Loja recebe líquido da plataforma em M+1. Mapa recebe 50% no mês e 50% no seguinte. Tributos provisionados no mês da venda/fatura; comercial TI sobre caixa recebido.</t>
  </si>
  <si>
    <t>Capital exigido = pico do déficit acumulado incluindo M0 + três meses de fixo do ano 2, arredondado para cima em R$10 mil. Caixa acumulado exclui aportes, juros e dividendos. Os cenários pressupõem financiamento completo, sem interrupção por insolvência.</t>
  </si>
  <si>
    <t>Sociedade confirmada: Dani 50%; AUMI 50% conjunto (Marcos, Luciana e João; divisão interna indefinida). Aporte, cargos, remunerações, política de distribuição e instrumento societário não acordados.</t>
  </si>
  <si>
    <t>Dani: exemplo exclusivamente hipotético de financiadora única de todo capital requerido; 50% do excedente acumulado positivo do projeto. Não é dividendo automaticamente disponível, nem payout acordado. Sem tributos pessoais e sem reinvestimento. Não somar excedentes acumulados de meses diferentes.</t>
  </si>
  <si>
    <t>Sensibilidades CAC15 e FX4,5 usam exatamente as agendas do cenário Base. Custos, tributos, câmbio, preços, conversão e prazos são hipóteses. Taxa Hotmart: tabela/FAQ USD &gt;15, 9,9% + USD1, efetiva em 21/09/2026; confirmar condições da conta.</t>
  </si>
  <si>
    <t>Volume operacional importa: todas as vendas suportam CAC, inclusive as que seriam orgânicas. Visitas usam conversão hipotética de 2%. Horas TI são horas diretas de entrega, além da equipe fixa. Escala é estado estacionário, não fluxo de lançamento.</t>
  </si>
  <si>
    <t>Navegação: Premissas → Economia → Conservador/Base/Escala24 → Resumo → Capital → Escala → CAC15/FX4,5 → Gates → Fontes. Dados e séries: pitch-data.json, revisão 2026-10-02.</t>
  </si>
  <si>
    <t>Premissas editáveis | azul = entrada</t>
  </si>
  <si>
    <t>Premissa</t>
  </si>
  <si>
    <t>Valor</t>
  </si>
  <si>
    <t>Unidade / status</t>
  </si>
  <si>
    <t>Significado e limites</t>
  </si>
  <si>
    <t>Ticket loja</t>
  </si>
  <si>
    <t>USD/pedido</t>
  </si>
  <si>
    <t>Preço hipotético antes dos tributos do comprador</t>
  </si>
  <si>
    <t>Câmbio</t>
  </si>
  <si>
    <t>BRL/USD</t>
  </si>
  <si>
    <t>Hipótese; não é cotação</t>
  </si>
  <si>
    <t>Estornos</t>
  </si>
  <si>
    <t>% bruto</t>
  </si>
  <si>
    <t>Estornos sobre pedidos aprovados</t>
  </si>
  <si>
    <t>Plataforma variável</t>
  </si>
  <si>
    <t>% após estorno</t>
  </si>
  <si>
    <t>Hotmart tabela/FAQ; não sobre pedidos reembolsados</t>
  </si>
  <si>
    <t>Plataforma fixa</t>
  </si>
  <si>
    <t>USD não reembolsado</t>
  </si>
  <si>
    <t>USD1 efetivo 21/09/2026; confirmar condições da conta</t>
  </si>
  <si>
    <t>Provisão tributária</t>
  </si>
  <si>
    <t>% após estorno / fatura TI</t>
  </si>
  <si>
    <t>15% novo portfólio; não 12% do modelo antigo. Confirmar regime.</t>
  </si>
  <si>
    <t>Meios / câmbio</t>
  </si>
  <si>
    <t>Reserva adicional hipotética; não tarifa citada</t>
  </si>
  <si>
    <t>Aquisição / CAC</t>
  </si>
  <si>
    <t>USD/pedido aprovado</t>
  </si>
  <si>
    <t>Inclui todos os pedidos, inclusive reembolsados</t>
  </si>
  <si>
    <t>Suporte loja</t>
  </si>
  <si>
    <t>Custo variável, sem duplicar equipe fixa</t>
  </si>
  <si>
    <t>Conversão em pedidos</t>
  </si>
  <si>
    <t>% visitas qualificadas</t>
  </si>
  <si>
    <t>Hipótese, não medição</t>
  </si>
  <si>
    <t>Preço mapa TI</t>
  </si>
  <si>
    <t>BRL/projeto</t>
  </si>
  <si>
    <t>Oferta proposta; escopo limitado, validar com comprador</t>
  </si>
  <si>
    <t>Horas diretas mapa</t>
  </si>
  <si>
    <t>horas/projeto</t>
  </si>
  <si>
    <t>80h diretas, além de P&amp;D fixo</t>
  </si>
  <si>
    <t>Custo hora direta</t>
  </si>
  <si>
    <t>BRL/h</t>
  </si>
  <si>
    <t>Hipótese de custo de entrega</t>
  </si>
  <si>
    <t>Comercial TI</t>
  </si>
  <si>
    <t>% caixa recebido</t>
  </si>
  <si>
    <t>Caixa sobre recebimentos; competência sobre faturamento</t>
  </si>
  <si>
    <t>Entrada mapa</t>
  </si>
  <si>
    <t>% corrente</t>
  </si>
  <si>
    <t>Restante no mês seguinte</t>
  </si>
  <si>
    <t>Liquidação loja</t>
  </si>
  <si>
    <t>meses inteiros</t>
  </si>
  <si>
    <t>1 mês no cenário; taxa plataforma já retida</t>
  </si>
  <si>
    <t>Infraestrutura M0</t>
  </si>
  <si>
    <t>BRL</t>
  </si>
  <si>
    <t>DGX65k + proteção4k + rede2k + backup3k + periféricos2k; sem cotação</t>
  </si>
  <si>
    <t>Pré-operação M0</t>
  </si>
  <si>
    <t>Jurídico12k + segurança12k; provisões</t>
  </si>
  <si>
    <t>Investimento M0</t>
  </si>
  <si>
    <t>BRL calculado</t>
  </si>
  <si>
    <t>Infraestrutura + pré-operação; sem autorização de compra</t>
  </si>
  <si>
    <t>Fixo mensal ano 1</t>
  </si>
  <si>
    <t>BRL/mês</t>
  </si>
  <si>
    <t>Envelopes operacionais, não salários pesquisados</t>
  </si>
  <si>
    <t>Fixo mensal ano 2</t>
  </si>
  <si>
    <t>Hipótese de ampliação da equipe/custos</t>
  </si>
  <si>
    <t>Reserva de segurança</t>
  </si>
  <si>
    <t>meses de fixo ano 2</t>
  </si>
  <si>
    <t>Além do pico de déficit</t>
  </si>
  <si>
    <t>Arredondamento capital</t>
  </si>
  <si>
    <t>Arredondar para cima em múltiplos deste valor</t>
  </si>
  <si>
    <t>Participação Dani</t>
  </si>
  <si>
    <t>%</t>
  </si>
  <si>
    <t>50% confirmado; payout não acordado</t>
  </si>
  <si>
    <t>CAC sensibilizado</t>
  </si>
  <si>
    <t>Apenas sensibilidade, mesma agenda Base</t>
  </si>
  <si>
    <t>Câmbio sensibilizado</t>
  </si>
  <si>
    <t>Economia unitária | contribuição não é lucro</t>
  </si>
  <si>
    <t>Loja por pedido aprovado</t>
  </si>
  <si>
    <t>USD</t>
  </si>
  <si>
    <t>Base de incidência</t>
  </si>
  <si>
    <t>Status</t>
  </si>
  <si>
    <t>Venda bruta</t>
  </si>
  <si>
    <t>Pedido aprovado</t>
  </si>
  <si>
    <t>Hipótese / fonte em Fontes</t>
  </si>
  <si>
    <t>8% bruto</t>
  </si>
  <si>
    <t>Receita após estorno</t>
  </si>
  <si>
    <t>Receita reconhecida</t>
  </si>
  <si>
    <t>Plataforma</t>
  </si>
  <si>
    <t>Somente concluídos sem estorno</t>
  </si>
  <si>
    <t>Tributos provisionados</t>
  </si>
  <si>
    <t>Após estorno</t>
  </si>
  <si>
    <t>Reserva meios/câmbio</t>
  </si>
  <si>
    <t>CAC</t>
  </si>
  <si>
    <t>Todos os pedidos aprovados</t>
  </si>
  <si>
    <t>Suporte</t>
  </si>
  <si>
    <t>Contribuição loja</t>
  </si>
  <si>
    <t>Antes de fixo / M0</t>
  </si>
  <si>
    <t>Mapa de TI por projeto</t>
  </si>
  <si>
    <t>Cálculo</t>
  </si>
  <si>
    <t>Escopo</t>
  </si>
  <si>
    <t>Preço</t>
  </si>
  <si>
    <t>Entrega direta</t>
  </si>
  <si>
    <t>Tributos</t>
  </si>
  <si>
    <t>Comercial</t>
  </si>
  <si>
    <t>Contribuição mapa</t>
  </si>
  <si>
    <t>Pedidos/mês para cobrir fixo ano 2, sem mapas</t>
  </si>
  <si>
    <t>CAC que zera contribuição unitária (USD)</t>
  </si>
  <si>
    <t>Unitário preserva 6 casas; nos fluxos mensais cada componente monetário é arredondado a 2 casas. Contribuição não inclui fixo, M0 ou capital de giro.</t>
  </si>
  <si>
    <t>Conservador | fluxo mensal em BRL, salvo indicação</t>
  </si>
  <si>
    <t>Agenda editável em azul. Cenário hipotético; não previsão. | M0 separado: -R$100 mil nas premissas. Acumulado exclui aportes/distribuição.</t>
  </si>
  <si>
    <t>Mês</t>
  </si>
  <si>
    <t>Pedidos aprovados</t>
  </si>
  <si>
    <t>Visitas qualificadas</t>
  </si>
  <si>
    <t>Mapas faturados</t>
  </si>
  <si>
    <t>Horas diretas TI</t>
  </si>
  <si>
    <t>Loja bruta USD</t>
  </si>
  <si>
    <t>Loja bruta BRL</t>
  </si>
  <si>
    <t>Estornos BRL</t>
  </si>
  <si>
    <t>Loja após estornos BRL</t>
  </si>
  <si>
    <t>Taxa plataforma BRL</t>
  </si>
  <si>
    <t>Liquidação gerada BRL</t>
  </si>
  <si>
    <t>Loja recebida BRL</t>
  </si>
  <si>
    <t>Tributos loja BRL</t>
  </si>
  <si>
    <t>Reserva meios/FX BRL</t>
  </si>
  <si>
    <t>Aquisição / mídia BRL</t>
  </si>
  <si>
    <t>Suporte loja BRL</t>
  </si>
  <si>
    <t>Fatura TI BRL</t>
  </si>
  <si>
    <t>Recebimentos TI BRL</t>
  </si>
  <si>
    <t>Entrega TI BRL</t>
  </si>
  <si>
    <t>Tributos TI BRL</t>
  </si>
  <si>
    <t>Comercial TI caixa BRL</t>
  </si>
  <si>
    <t>Fixo BRL</t>
  </si>
  <si>
    <t>Vendas brutas BRL</t>
  </si>
  <si>
    <t>Receita após estornos BRL</t>
  </si>
  <si>
    <t>Recebimentos BRL</t>
  </si>
  <si>
    <t>Saídas caixa BRL</t>
  </si>
  <si>
    <t>Fluxo líquido BRL</t>
  </si>
  <si>
    <t>Acumulado sem aporte BRL</t>
  </si>
  <si>
    <t>Resultado competência BRL</t>
  </si>
  <si>
    <t>A receber BRL</t>
  </si>
  <si>
    <t>50% excedente positivo BRL</t>
  </si>
  <si>
    <t>Mês elegível payback projeto</t>
  </si>
  <si>
    <t>Mês elegível Dani hipotético</t>
  </si>
  <si>
    <t>Saldo com 100k</t>
  </si>
  <si>
    <t>Saldo com 150k</t>
  </si>
  <si>
    <t>Saldo com 200k</t>
  </si>
  <si>
    <t>Base | fluxo mensal em BRL, salvo indicação</t>
  </si>
  <si>
    <t>Escala24 | fluxo mensal em BRL, salvo indicação</t>
  </si>
  <si>
    <t>CAC15 | fluxo mensal em BRL, salvo indicação</t>
  </si>
  <si>
    <t>Agenda vinculada à Base; nenhum aumento de vendas. CAC de USD10 para USD15, demais premissas iguais | M0 separado: -R$100 mil nas premissas. Acumulado exclui aportes/distribuição.</t>
  </si>
  <si>
    <t>FX4,5 | fluxo mensal em BRL, salvo indicação</t>
  </si>
  <si>
    <t>Agenda vinculada à Base; nenhum aumento de vendas. Câmbio de R$5 para R$4,50 por USD, demais premissas iguais | M0 separado: -R$100 mil nas premissas. Acumulado exclui aportes/distribuição.</t>
  </si>
  <si>
    <t>Resumo | financiamento integral condiciona todos os cenários</t>
  </si>
  <si>
    <t>Cenário</t>
  </si>
  <si>
    <t>M0 BRL</t>
  </si>
  <si>
    <t>Pico déficit BRL</t>
  </si>
  <si>
    <t>Reserva BRL</t>
  </si>
  <si>
    <t>Capital total BRL</t>
  </si>
  <si>
    <t>Payback projeto mês</t>
  </si>
  <si>
    <t>Dani hipotético mês</t>
  </si>
  <si>
    <t>Vendas brutas ano 1</t>
  </si>
  <si>
    <t>Vendas brutas ano 2</t>
  </si>
  <si>
    <t>Receita líquida ano 1</t>
  </si>
  <si>
    <t>Receita líquida ano 2</t>
  </si>
  <si>
    <t>Recebimentos ano 1</t>
  </si>
  <si>
    <t>Recebimentos ano 2</t>
  </si>
  <si>
    <t>Acumulado M24 BRL</t>
  </si>
  <si>
    <t>A receber M24 BRL</t>
  </si>
  <si>
    <t>Conservador</t>
  </si>
  <si>
    <t>Base</t>
  </si>
  <si>
    <t>Escala24</t>
  </si>
  <si>
    <t>CAC15</t>
  </si>
  <si>
    <t>FX4,5</t>
  </si>
  <si>
    <t>Receita líquida aqui significa após estornos, antes de tributos e demais custos. Recebimentos da loja já vêm líquidos da plataforma. Não somar receita e recebimentos.</t>
  </si>
  <si>
    <t>ALERTA: CAC USD10 → USD15 eleva capital-base a R$830 mil e elimina retorno em 24 meses. Nenhuma sensibilidade aumenta a agenda de vendas.</t>
  </si>
  <si>
    <t>Payback do projeto ≠ retorno de Dani. Coluna G: hipótese de Dani aportar SOZINHA todo capital de E e receber 50% do excedente positivo acumulado. Não há aporte/payout acordado nem lucro distribuível garantido.</t>
  </si>
  <si>
    <t>Cheques iniciais | déficits NÃO financiados</t>
  </si>
  <si>
    <t>Cheque inicial BRL</t>
  </si>
  <si>
    <t>Após M0 BRL</t>
  </si>
  <si>
    <t>Meses sem vendas</t>
  </si>
  <si>
    <t>Falta até capital-base</t>
  </si>
  <si>
    <t>Primeiro mês negativo Base</t>
  </si>
  <si>
    <t>Pior saldo Base BRL</t>
  </si>
  <si>
    <t>Déficit caixa a cobrir BRL</t>
  </si>
  <si>
    <t>Saldo M24 Base BRL</t>
  </si>
  <si>
    <t>Insuficiente; não é plano financiável</t>
  </si>
  <si>
    <t>As três colunas finais de cada aba mensal mostram saldos com cheques de R$100/150/200 mil. Continuar calculando depois de saldo negativo é apenas diagnóstico do déficit: execução real requer caixa adicional.</t>
  </si>
  <si>
    <t>Falta até capital-base inclui reserva de segurança e arredondamento; déficit a cobrir não inclui reserva. Meses sem vendas = saldo após M0 / fixo ano 1; não é runway real com vendas e custos variáveis.</t>
  </si>
  <si>
    <t>Escala mensal estabilizada | não inclui rampa nem M0</t>
  </si>
  <si>
    <t>Pedidos/mês</t>
  </si>
  <si>
    <t>Mapas/mês</t>
  </si>
  <si>
    <t>Mídia BRL</t>
  </si>
  <si>
    <t>Resultado operacional BRL</t>
  </si>
  <si>
    <t>Receita loja em USD; total convertido a câmbio hipotético. Resultado usa contribuição de ambas as frentes menos fixo ano 2. Não é caixa de lançamento nem dividendo. Escala exige mídia, visitas, capacidade de entrega e validação fiscal.</t>
  </si>
  <si>
    <t>Financiamento por marcos | decisão humana, não autorização</t>
  </si>
  <si>
    <t>Marco</t>
  </si>
  <si>
    <t>Condição / meta proposta</t>
  </si>
  <si>
    <t>Antes de comprar</t>
  </si>
  <si>
    <t>Confirmar tese, disponibilidade de financiamento completo, acordo societário, cotação brasileira da DGX e limites de aprovação. Uma DGX desde o início é hipótese, não compra autorizada.</t>
  </si>
  <si>
    <t>Dias 1–30</t>
  </si>
  <si>
    <t>Meta: entrevistar 10 potenciais compradores de nichos e 5 contatos TI. Selecionar até 3 nichos por dor verificável, disposição de pagar, entrega demonstrável e baixo risco regulatório.</t>
  </si>
  <si>
    <t>Dias 31–60</t>
  </si>
  <si>
    <t>Meta: até 3 ofertas testáveis; validar checkout, entrega, idioma, dados, direitos autorais e revisão humana. Não construir marketplace próprio antes de vender.</t>
  </si>
  <si>
    <t>Dias 61–90</t>
  </si>
  <si>
    <t>Alvo condicional: 50 vendas loja e 1 mapa pago. Metas de cenário, não pipeline existente. Liberação por marcos requer critérios formais ainda a acordar.</t>
  </si>
  <si>
    <t>M6 / M12 Base</t>
  </si>
  <si>
    <t>M6: 500 vendas/mês e 2 mapas acumulados. M12: 2.000 vendas/mês e 8 mapas acumulados. Acompanhar estornos, CAC, contribuição, horas, caixa e qualidade.</t>
  </si>
  <si>
    <t>Parar perdas</t>
  </si>
  <si>
    <t>Se CAC, reembolso ou entrega invalidarem contribuição e caixa, suspender expansão e revisar oferta. Sem limites numéricos de aprovação já acordados; não confundir teto teórico de CAC com meta sustentável.</t>
  </si>
  <si>
    <t>Gestão e controles</t>
  </si>
  <si>
    <t>Proposta a implantar: agentes reconciliam checkout, banco, ads, CRM e projetos com autorização. Sócios têm leitura; diário operacional, reunião semanal e prestação mensal. Humanos aprovam pagamentos, contratos, publicação e compras.</t>
  </si>
  <si>
    <t>Decisão conjunta</t>
  </si>
  <si>
    <t>AUMI + Dani aprovam orçamento e despesas relevantes, limites a formalizar. Permissões mínimas, logs, fontes e separação de dados. Agentes não têm acesso financeiro irrestrito.</t>
  </si>
  <si>
    <t>Infraestrutura</t>
  </si>
  <si>
    <t>M0: DGX65k + proteção4k + rede2k + backup3k + periféricos2k =76k; jurídico12k + segurança12k =24k. Cloud, aplicação, checkout e backup separados. Uma máquina sem redundância.</t>
  </si>
  <si>
    <t>Fixo ano 1</t>
  </si>
  <si>
    <t>Produto8k + engenharia18k + especialistas6k + cloud1k + ferramentas1k + prospecção1,5k + administração1k + energia0,5k =37k. Ano 2:42k. Envelopes, não cargos/salários pesquisados.</t>
  </si>
  <si>
    <t>Mapa delimitado</t>
  </si>
  <si>
    <t>R$30 mil propostos; 80h diretas; 2–4 semanas após acesso/contrato; um domínio, até40 componentes e80 relações, duas fontes autorizadas e duas validações. Sem pentest, alteração produtiva ou garantia de economia.</t>
  </si>
  <si>
    <t>Pendências societárias</t>
  </si>
  <si>
    <t>Dani50%; AUMI50% conjunto. Divisão Marcos/Luciana/João, aporte individual, cargos, remuneração, veículo jurídico, propriedade intelectual, impasse e saída a formalizar.</t>
  </si>
  <si>
    <t>Fontes, status e limites de leitura</t>
  </si>
  <si>
    <t>Fonte</t>
  </si>
  <si>
    <t>Data informada</t>
  </si>
  <si>
    <t>URL clicável</t>
  </si>
  <si>
    <t>O que sustenta</t>
  </si>
  <si>
    <t>Limite</t>
  </si>
  <si>
    <t>hotmart-market</t>
  </si>
  <si>
    <t>2024-03-21</t>
  </si>
  <si>
    <t>https://press.hotmart.com/hotmart-company-announces-record-breaking-10-billion-in-global-creator-earnings</t>
  </si>
  <si>
    <t>Hotmart/Teachable:21 milhões de consumidores compraram nos12 meses anteriores; global, autorrelatado. GMV de criadores LATAM exceto Brasil cresceu50% entre2022 e2023. Não é nosso TAM nem demanda validada.</t>
  </si>
  <si>
    <t>Evidência contextual/técnica; não valida nossa demanda, preço, CAC, câmbio ou regime fiscal.</t>
  </si>
  <si>
    <t>hotmart-fees</t>
  </si>
  <si>
    <t>2026-09-18; tarifa efetiva2026-09-21</t>
  </si>
  <si>
    <t>https://suportehotmart.zendesk.com/hc/en-us/articles/208298448-What-are-the-fees-charged-by-Hotmart</t>
  </si>
  <si>
    <t>Tabela USD&gt;15 e FAQ:9,9%+USD1,00 por venda concluída. Um parágrafo antigo ainda cita0,50; adotado1,00 conforme tabela/FAQ atualizados. Tributos/cartão não incluídos; reembolso cancela taxa.</t>
  </si>
  <si>
    <t>flexera</t>
  </si>
  <si>
    <t>2025-03-19</t>
  </si>
  <si>
    <t>https://www.flexera.com/about-us/press-center/new-flexera-report-finds-84-percent-of-organizations-struggle-to-manage-cloud-spend</t>
  </si>
  <si>
    <t>84% dos respondentes identificaram gestão do gasto cloud como principal desafio; pesquisa global com mais de750 profissionais. Não demonstra compra do nosso mapa.</t>
  </si>
  <si>
    <t>gsma</t>
  </si>
  <si>
    <t>2026-05-13</t>
  </si>
  <si>
    <t>https://www.gsma.com/about-us/regions/latin-america-and-the-caribbean/gsma_resources/the-mobile-economy-latin-america-2026/</t>
  </si>
  <si>
    <t>Contexto regional de expansão digital, cloud,IA e segurança; não usar PIB mobile como TAM de infoprodutos.</t>
  </si>
  <si>
    <t>nvidia</t>
  </si>
  <si>
    <t>2026-09-10</t>
  </si>
  <si>
    <t>https://docs.nvidia.com/dgx/dgx-spark/hardware.html</t>
  </si>
  <si>
    <t>GB10/Grace Blackwell,20 núcleos ARM,128GB unificados,1TB ou4TB NVMe,10GbE,fonte240W. Escolha4TB no orçamento. R$65k é provisão sem cotação brasileira.</t>
  </si>
  <si>
    <t>Todas as vendas, conversões,preços,CAC,reembolsos,câmbio e prazos são hipóteses não validadas.</t>
  </si>
  <si>
    <t>R$37k/mês no ano1 e42k no ano2; trabalho de entrega TI e suporte da loja estão nos variáveis, sem dupla contagem de P&amp;D.</t>
  </si>
  <si>
    <t>Simulação exige capital suficiente. Cheques100/150/200k não sustentam o fluxo-base de530k.</t>
  </si>
  <si>
    <t>Payback do projeto: primeiro mês em que fluxo acumulado sem aportes após M0 deixa de ser negativo; antes de dividendos, juros e tributos pessoais.</t>
  </si>
  <si>
    <t>Hipótese Dani exclusivamente ilustrativa: ela financia todo o capital requerido e recebe50% do excedente acumulado positivo após recuperação do projeto, sem reinvestimento; aporte/política não definidos e distribuição depende de lucro legalmente disponível.</t>
  </si>
  <si>
    <t>Tributos15% são provisão gerencial, não enquadramento tributário. Crescimento acima dos limites de regime exige contador; checkout pode cobrar tributos do comprador além do preço.</t>
  </si>
  <si>
    <t>A DGX é ferramenta de produção/inferência, não gargalo de cada download. Demanda/comercial/suporte exigem validação própria.</t>
  </si>
  <si>
    <t>Topologic empresarial200k+12k/mês e receitas adjacentes não entram no novo fluxo.</t>
  </si>
  <si>
    <t>Autoridade numérica: pitch-data.json, revisão 2026-10-02. Séries mensais e caches preservados. As fórmulas referenciam entradas e células; não incorporam projeções da oferta empresarial antiga. Nenhuma pesquisa adicional de taxa ou cotação feita na geração.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</si>
</sst>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0.0%"/>
    <numFmt numFmtId="166" formatCode="#,##0.00;[Red](#,##0.00)"/>
    <numFmt numFmtId="167" formatCode="0.000000"/>
    <numFmt numFmtId="168" formatCode="#,##0;[Red](#,##0)"/>
  </numFmts>
  <fonts count="6">
    <font>
      <sz val="11"/>
      <color theme="1"/>
      <name val="Calibri"/>
      <family val="2"/>
      <scheme val="minor"/>
    </font>
    <font>
      <b/>
      <sz val="19"/>
      <color rgb="FFFFFFFF"/>
      <name val="Calibri"/>
      <family val="2"/>
      <scheme val="minor"/>
    </font>
    <font>
      <sz val="11"/>
      <color rgb="FF804B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458BA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01B38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25466A"/>
        <bgColor indexed="64"/>
      </patternFill>
    </fill>
    <fill>
      <patternFill patternType="solid">
        <fgColor rgb="FFEAF3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wrapText="1"/>
    </xf>
    <xf numFmtId="0" fontId="0" fillId="0" borderId="0" xfId="0" applyAlignment="1">
      <alignment vertical="top" wrapText="1"/>
    </xf>
    <xf numFmtId="164" fontId="4" fillId="5" borderId="0" xfId="0" applyNumberFormat="1" applyFont="1" applyFill="1"/>
    <xf numFmtId="165" fontId="4" fillId="5" borderId="0" xfId="0" applyNumberFormat="1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4" fillId="5" borderId="0" xfId="0" applyNumberFormat="1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color rgb="FF804B00"/>
      </font>
      <fill>
        <patternFill>
          <bgColor rgb="FFFFF1D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Caixa acumulado do projeto — sem aportes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Conservador</c:v>
          </c:tx>
          <c:marker>
            <c:symbol val="none"/>
          </c:marker>
          <c:cat>
            <c:numRef>
              <c:f>Conservador!$A$5:$A$28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Conservador!$AB$5:$AB$28</c:f>
              <c:numCache>
                <c:formatCode>General</c:formatCode>
                <c:ptCount val="24"/>
                <c:pt idx="0">
                  <c:v>-137000</c:v>
                </c:pt>
                <c:pt idx="1">
                  <c:v>-174000</c:v>
                </c:pt>
                <c:pt idx="2">
                  <c:v>-212580.24</c:v>
                </c:pt>
                <c:pt idx="3">
                  <c:v>-250428.85</c:v>
                </c:pt>
                <c:pt idx="4">
                  <c:v>-293776.07</c:v>
                </c:pt>
                <c:pt idx="5">
                  <c:v>-316760.04</c:v>
                </c:pt>
                <c:pt idx="6">
                  <c:v>-354110.99</c:v>
                </c:pt>
                <c:pt idx="7">
                  <c:v>-390057.18</c:v>
                </c:pt>
                <c:pt idx="8">
                  <c:v>-426512.43</c:v>
                </c:pt>
                <c:pt idx="9">
                  <c:v>-442238.61</c:v>
                </c:pt>
                <c:pt idx="10">
                  <c:v>-470385.72</c:v>
                </c:pt>
                <c:pt idx="11">
                  <c:v>-496703.76</c:v>
                </c:pt>
                <c:pt idx="12">
                  <c:v>-530842.73</c:v>
                </c:pt>
                <c:pt idx="13">
                  <c:v>-541882.27</c:v>
                </c:pt>
                <c:pt idx="14">
                  <c:v>-566440.18</c:v>
                </c:pt>
                <c:pt idx="15">
                  <c:v>-590266.46</c:v>
                </c:pt>
                <c:pt idx="16">
                  <c:v>-618011.12</c:v>
                </c:pt>
                <c:pt idx="17">
                  <c:v>-626124.15</c:v>
                </c:pt>
                <c:pt idx="18">
                  <c:v>-647755.55</c:v>
                </c:pt>
                <c:pt idx="19">
                  <c:v>-668655.32</c:v>
                </c:pt>
                <c:pt idx="20">
                  <c:v>-693473.46</c:v>
                </c:pt>
                <c:pt idx="21">
                  <c:v>-698659.98</c:v>
                </c:pt>
                <c:pt idx="22">
                  <c:v>-717364.87</c:v>
                </c:pt>
                <c:pt idx="23">
                  <c:v>-737708.49</c:v>
                </c:pt>
              </c:numCache>
            </c:numRef>
          </c:val>
        </c:ser>
        <c:ser>
          <c:idx val="1"/>
          <c:order val="1"/>
          <c:tx>
            <c:v>Base</c:v>
          </c:tx>
          <c:marker>
            <c:symbol val="none"/>
          </c:marker>
          <c:cat>
            <c:numRef>
              <c:f>Base!$A$5:$A$28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Base!$AB$5:$AB$28</c:f>
              <c:numCache>
                <c:formatCode>General</c:formatCode>
                <c:ptCount val="24"/>
                <c:pt idx="0">
                  <c:v>-137000</c:v>
                </c:pt>
                <c:pt idx="1">
                  <c:v>-174000</c:v>
                </c:pt>
                <c:pt idx="2">
                  <c:v>-219600.6</c:v>
                </c:pt>
                <c:pt idx="3">
                  <c:v>-248422.73</c:v>
                </c:pt>
                <c:pt idx="4">
                  <c:v>-296437.32</c:v>
                </c:pt>
                <c:pt idx="5">
                  <c:v>-324015.3</c:v>
                </c:pt>
                <c:pt idx="6">
                  <c:v>-367127.6</c:v>
                </c:pt>
                <c:pt idx="7">
                  <c:v>-386844.55</c:v>
                </c:pt>
                <c:pt idx="8">
                  <c:v>-397416.15</c:v>
                </c:pt>
                <c:pt idx="9">
                  <c:v>-398842.4</c:v>
                </c:pt>
                <c:pt idx="10">
                  <c:v>-391123.3</c:v>
                </c:pt>
                <c:pt idx="11">
                  <c:v>-374258.85</c:v>
                </c:pt>
                <c:pt idx="12">
                  <c:v>-353948.45</c:v>
                </c:pt>
                <c:pt idx="13">
                  <c:v>-312071.77</c:v>
                </c:pt>
                <c:pt idx="14">
                  <c:v>-262878.81</c:v>
                </c:pt>
                <c:pt idx="15">
                  <c:v>-206369.57</c:v>
                </c:pt>
                <c:pt idx="16">
                  <c:v>-142544.05</c:v>
                </c:pt>
                <c:pt idx="17">
                  <c:v>-55599.85</c:v>
                </c:pt>
                <c:pt idx="18">
                  <c:v>31344.35</c:v>
                </c:pt>
                <c:pt idx="19">
                  <c:v>118288.55</c:v>
                </c:pt>
                <c:pt idx="20">
                  <c:v>205232.75</c:v>
                </c:pt>
                <c:pt idx="21">
                  <c:v>292176.95</c:v>
                </c:pt>
                <c:pt idx="22">
                  <c:v>379121.15</c:v>
                </c:pt>
                <c:pt idx="23">
                  <c:v>466065.35</c:v>
                </c:pt>
              </c:numCache>
            </c:numRef>
          </c:val>
        </c:ser>
        <c:ser>
          <c:idx val="2"/>
          <c:order val="2"/>
          <c:tx>
            <c:v>Escala24</c:v>
          </c:tx>
          <c:marker>
            <c:symbol val="none"/>
          </c:marker>
          <c:cat>
            <c:numRef>
              <c:f>Escala24!$A$5:$A$28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Escala24!$AB$5:$AB$28</c:f>
              <c:numCache>
                <c:formatCode>General</c:formatCode>
                <c:ptCount val="24"/>
                <c:pt idx="0">
                  <c:v>-137000</c:v>
                </c:pt>
                <c:pt idx="1">
                  <c:v>-174000</c:v>
                </c:pt>
                <c:pt idx="2">
                  <c:v>-223551.2</c:v>
                </c:pt>
                <c:pt idx="3">
                  <c:v>-263095.46</c:v>
                </c:pt>
                <c:pt idx="4">
                  <c:v>-303224.64</c:v>
                </c:pt>
                <c:pt idx="5">
                  <c:v>-344930.6</c:v>
                </c:pt>
                <c:pt idx="6">
                  <c:v>-365655.2</c:v>
                </c:pt>
                <c:pt idx="7">
                  <c:v>-383891.5</c:v>
                </c:pt>
                <c:pt idx="8">
                  <c:v>-384422.02</c:v>
                </c:pt>
                <c:pt idx="9">
                  <c:v>-336633.82</c:v>
                </c:pt>
                <c:pt idx="10">
                  <c:v>-256304.92</c:v>
                </c:pt>
                <c:pt idx="11">
                  <c:v>-157685.32</c:v>
                </c:pt>
                <c:pt idx="12">
                  <c:v>-45775.02</c:v>
                </c:pt>
                <c:pt idx="13">
                  <c:v>123931.98</c:v>
                </c:pt>
                <c:pt idx="14">
                  <c:v>293638.98</c:v>
                </c:pt>
                <c:pt idx="15">
                  <c:v>463345.98</c:v>
                </c:pt>
                <c:pt idx="16">
                  <c:v>633052.98</c:v>
                </c:pt>
                <c:pt idx="17">
                  <c:v>802759.98</c:v>
                </c:pt>
                <c:pt idx="18">
                  <c:v>972466.98</c:v>
                </c:pt>
                <c:pt idx="19">
                  <c:v>1142173.98</c:v>
                </c:pt>
                <c:pt idx="20">
                  <c:v>1311880.98</c:v>
                </c:pt>
                <c:pt idx="21">
                  <c:v>1481587.98</c:v>
                </c:pt>
                <c:pt idx="22">
                  <c:v>1651294.98</c:v>
                </c:pt>
                <c:pt idx="23">
                  <c:v>1821001.98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BRL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685800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press.hotmart.com/hotmart-company-announces-record-breaking-10-billion-in-global-creator-earnings" TargetMode="External"/><Relationship Id="rId2" Type="http://schemas.openxmlformats.org/officeDocument/2006/relationships/hyperlink" Target="https://suportehotmart.zendesk.com/hc/en-us/articles/208298448-What-are-the-fees-charged-by-Hotmart" TargetMode="External"/><Relationship Id="rId3" Type="http://schemas.openxmlformats.org/officeDocument/2006/relationships/hyperlink" Target="https://www.flexera.com/about-us/press-center/new-flexera-report-finds-84-percent-of-organizations-struggle-to-manage-cloud-spend" TargetMode="External"/><Relationship Id="rId4" Type="http://schemas.openxmlformats.org/officeDocument/2006/relationships/hyperlink" Target="https://www.gsma.com/about-us/regions/latin-america-and-the-caribbean/gsma_resources/the-mobile-economy-latin-america-2026/" TargetMode="External"/><Relationship Id="rId5" Type="http://schemas.openxmlformats.org/officeDocument/2006/relationships/hyperlink" Target="https://docs.nvidia.com/dgx/dgx-spark/hardwar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9" width="16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4" spans="1:9" ht="57" customHeight="1">
      <c r="A4" s="2" t="s">
        <v>1</v>
      </c>
      <c r="B4" s="2"/>
      <c r="C4" s="2"/>
      <c r="D4" s="2"/>
      <c r="E4" s="2"/>
      <c r="F4" s="2"/>
      <c r="G4" s="2"/>
      <c r="H4" s="2"/>
      <c r="I4" s="2"/>
    </row>
    <row r="6" spans="1:9" ht="57" customHeight="1">
      <c r="A6" s="2" t="s">
        <v>2</v>
      </c>
      <c r="B6" s="2"/>
      <c r="C6" s="2"/>
      <c r="D6" s="2"/>
      <c r="E6" s="2"/>
      <c r="F6" s="2"/>
      <c r="G6" s="2"/>
      <c r="H6" s="2"/>
      <c r="I6" s="2"/>
    </row>
    <row r="8" spans="1:9" ht="57" customHeight="1">
      <c r="A8" s="2" t="s">
        <v>3</v>
      </c>
      <c r="B8" s="2"/>
      <c r="C8" s="2"/>
      <c r="D8" s="2"/>
      <c r="E8" s="2"/>
      <c r="F8" s="2"/>
      <c r="G8" s="2"/>
      <c r="H8" s="2"/>
      <c r="I8" s="2"/>
    </row>
    <row r="10" spans="1:9" ht="57" customHeight="1">
      <c r="A10" s="2" t="s">
        <v>4</v>
      </c>
      <c r="B10" s="2"/>
      <c r="C10" s="2"/>
      <c r="D10" s="2"/>
      <c r="E10" s="2"/>
      <c r="F10" s="2"/>
      <c r="G10" s="2"/>
      <c r="H10" s="2"/>
      <c r="I10" s="2"/>
    </row>
    <row r="12" spans="1:9" ht="57" customHeight="1">
      <c r="A12" s="2" t="s">
        <v>5</v>
      </c>
      <c r="B12" s="2"/>
      <c r="C12" s="2"/>
      <c r="D12" s="2"/>
      <c r="E12" s="2"/>
      <c r="F12" s="2"/>
      <c r="G12" s="2"/>
      <c r="H12" s="2"/>
      <c r="I12" s="2"/>
    </row>
    <row r="14" spans="1:9" ht="57" customHeight="1">
      <c r="A14" s="2" t="s">
        <v>6</v>
      </c>
      <c r="B14" s="2"/>
      <c r="C14" s="2"/>
      <c r="D14" s="2"/>
      <c r="E14" s="2"/>
      <c r="F14" s="2"/>
      <c r="G14" s="2"/>
      <c r="H14" s="2"/>
      <c r="I14" s="2"/>
    </row>
    <row r="16" spans="1:9" ht="57" customHeight="1">
      <c r="A16" s="2" t="s">
        <v>7</v>
      </c>
      <c r="B16" s="2"/>
      <c r="C16" s="2"/>
      <c r="D16" s="2"/>
      <c r="E16" s="2"/>
      <c r="F16" s="2"/>
      <c r="G16" s="2"/>
      <c r="H16" s="2"/>
      <c r="I16" s="2"/>
    </row>
    <row r="18" spans="1:9" ht="57" customHeight="1">
      <c r="A18" s="2" t="s">
        <v>8</v>
      </c>
      <c r="B18" s="2"/>
      <c r="C18" s="2"/>
      <c r="D18" s="2"/>
      <c r="E18" s="2"/>
      <c r="F18" s="2"/>
      <c r="G18" s="2"/>
      <c r="H18" s="2"/>
      <c r="I18" s="2"/>
    </row>
    <row r="20" spans="1:9" ht="57" customHeight="1">
      <c r="A20" s="2" t="s">
        <v>9</v>
      </c>
      <c r="B20" s="2"/>
      <c r="C20" s="2"/>
      <c r="D20" s="2"/>
      <c r="E20" s="2"/>
      <c r="F20" s="2"/>
      <c r="G20" s="2"/>
      <c r="H20" s="2"/>
      <c r="I20" s="2"/>
    </row>
  </sheetData>
  <mergeCells count="10">
    <mergeCell ref="A1:I1"/>
    <mergeCell ref="A4:I4"/>
    <mergeCell ref="A6:I6"/>
    <mergeCell ref="A8:I8"/>
    <mergeCell ref="A10:I10"/>
    <mergeCell ref="A12:I12"/>
    <mergeCell ref="A14:I14"/>
    <mergeCell ref="A16:I16"/>
    <mergeCell ref="A18:I18"/>
    <mergeCell ref="A20:I20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9.7109375" customWidth="1"/>
    <col min="3" max="3" width="24.7109375" customWidth="1"/>
    <col min="4" max="4" width="86.7109375" customWidth="1"/>
  </cols>
  <sheetData>
    <row r="1" spans="1:4" ht="32" customHeight="1">
      <c r="A1" s="1" t="s">
        <v>10</v>
      </c>
      <c r="B1" s="1"/>
      <c r="C1" s="1"/>
      <c r="D1" s="1"/>
    </row>
    <row r="4" spans="1:4" ht="48" customHeight="1">
      <c r="A4" s="3" t="s">
        <v>11</v>
      </c>
      <c r="B4" s="3" t="s">
        <v>12</v>
      </c>
      <c r="C4" s="3" t="s">
        <v>13</v>
      </c>
      <c r="D4" s="3" t="s">
        <v>14</v>
      </c>
    </row>
    <row r="5" spans="1:4" ht="33" customHeight="1">
      <c r="A5" s="4" t="s">
        <v>15</v>
      </c>
      <c r="B5" s="5">
        <v>29</v>
      </c>
      <c r="C5" s="4" t="s">
        <v>16</v>
      </c>
      <c r="D5" s="4" t="s">
        <v>17</v>
      </c>
    </row>
    <row r="6" spans="1:4" ht="33" customHeight="1">
      <c r="A6" s="4" t="s">
        <v>18</v>
      </c>
      <c r="B6" s="5">
        <v>5</v>
      </c>
      <c r="C6" s="4" t="s">
        <v>19</v>
      </c>
      <c r="D6" s="4" t="s">
        <v>20</v>
      </c>
    </row>
    <row r="7" spans="1:4" ht="33" customHeight="1">
      <c r="A7" s="4" t="s">
        <v>21</v>
      </c>
      <c r="B7" s="6">
        <v>0.08</v>
      </c>
      <c r="C7" s="4" t="s">
        <v>22</v>
      </c>
      <c r="D7" s="4" t="s">
        <v>23</v>
      </c>
    </row>
    <row r="8" spans="1:4" ht="33" customHeight="1">
      <c r="A8" s="4" t="s">
        <v>24</v>
      </c>
      <c r="B8" s="6">
        <v>0.099</v>
      </c>
      <c r="C8" s="4" t="s">
        <v>25</v>
      </c>
      <c r="D8" s="4" t="s">
        <v>26</v>
      </c>
    </row>
    <row r="9" spans="1:4" ht="33" customHeight="1">
      <c r="A9" s="4" t="s">
        <v>27</v>
      </c>
      <c r="B9" s="5">
        <v>1</v>
      </c>
      <c r="C9" s="4" t="s">
        <v>28</v>
      </c>
      <c r="D9" s="4" t="s">
        <v>29</v>
      </c>
    </row>
    <row r="10" spans="1:4" ht="33" customHeight="1">
      <c r="A10" s="4" t="s">
        <v>30</v>
      </c>
      <c r="B10" s="6">
        <v>0.15</v>
      </c>
      <c r="C10" s="4" t="s">
        <v>31</v>
      </c>
      <c r="D10" s="4" t="s">
        <v>32</v>
      </c>
    </row>
    <row r="11" spans="1:4" ht="33" customHeight="1">
      <c r="A11" s="4" t="s">
        <v>33</v>
      </c>
      <c r="B11" s="6">
        <v>0.03</v>
      </c>
      <c r="C11" s="4" t="s">
        <v>25</v>
      </c>
      <c r="D11" s="4" t="s">
        <v>34</v>
      </c>
    </row>
    <row r="12" spans="1:4" ht="33" customHeight="1">
      <c r="A12" s="4" t="s">
        <v>35</v>
      </c>
      <c r="B12" s="5">
        <v>10</v>
      </c>
      <c r="C12" s="4" t="s">
        <v>36</v>
      </c>
      <c r="D12" s="4" t="s">
        <v>37</v>
      </c>
    </row>
    <row r="13" spans="1:4" ht="33" customHeight="1">
      <c r="A13" s="4" t="s">
        <v>38</v>
      </c>
      <c r="B13" s="5">
        <v>1</v>
      </c>
      <c r="C13" s="4" t="s">
        <v>36</v>
      </c>
      <c r="D13" s="4" t="s">
        <v>39</v>
      </c>
    </row>
    <row r="14" spans="1:4" ht="33" customHeight="1">
      <c r="A14" s="4" t="s">
        <v>40</v>
      </c>
      <c r="B14" s="6">
        <v>0.02</v>
      </c>
      <c r="C14" s="4" t="s">
        <v>41</v>
      </c>
      <c r="D14" s="4" t="s">
        <v>42</v>
      </c>
    </row>
    <row r="15" spans="1:4" ht="33" customHeight="1">
      <c r="A15" s="4" t="s">
        <v>43</v>
      </c>
      <c r="B15" s="5">
        <v>30000</v>
      </c>
      <c r="C15" s="4" t="s">
        <v>44</v>
      </c>
      <c r="D15" s="4" t="s">
        <v>45</v>
      </c>
    </row>
    <row r="16" spans="1:4" ht="33" customHeight="1">
      <c r="A16" s="4" t="s">
        <v>46</v>
      </c>
      <c r="B16" s="5">
        <v>80</v>
      </c>
      <c r="C16" s="4" t="s">
        <v>47</v>
      </c>
      <c r="D16" s="4" t="s">
        <v>48</v>
      </c>
    </row>
    <row r="17" spans="1:4" ht="33" customHeight="1">
      <c r="A17" s="4" t="s">
        <v>49</v>
      </c>
      <c r="B17" s="5">
        <v>180</v>
      </c>
      <c r="C17" s="4" t="s">
        <v>50</v>
      </c>
      <c r="D17" s="4" t="s">
        <v>51</v>
      </c>
    </row>
    <row r="18" spans="1:4" ht="33" customHeight="1">
      <c r="A18" s="4" t="s">
        <v>52</v>
      </c>
      <c r="B18" s="6">
        <v>0.05</v>
      </c>
      <c r="C18" s="4" t="s">
        <v>53</v>
      </c>
      <c r="D18" s="4" t="s">
        <v>54</v>
      </c>
    </row>
    <row r="19" spans="1:4" ht="33" customHeight="1">
      <c r="A19" s="4" t="s">
        <v>55</v>
      </c>
      <c r="B19" s="6">
        <v>0.5</v>
      </c>
      <c r="C19" s="4" t="s">
        <v>56</v>
      </c>
      <c r="D19" s="4" t="s">
        <v>57</v>
      </c>
    </row>
    <row r="20" spans="1:4" ht="33" customHeight="1">
      <c r="A20" s="4" t="s">
        <v>58</v>
      </c>
      <c r="B20" s="5">
        <v>1</v>
      </c>
      <c r="C20" s="4" t="s">
        <v>59</v>
      </c>
      <c r="D20" s="4" t="s">
        <v>60</v>
      </c>
    </row>
    <row r="21" spans="1:4" ht="33" customHeight="1">
      <c r="A21" s="4" t="s">
        <v>61</v>
      </c>
      <c r="B21" s="5">
        <v>76000</v>
      </c>
      <c r="C21" s="4" t="s">
        <v>62</v>
      </c>
      <c r="D21" s="4" t="s">
        <v>63</v>
      </c>
    </row>
    <row r="22" spans="1:4" ht="33" customHeight="1">
      <c r="A22" s="4" t="s">
        <v>64</v>
      </c>
      <c r="B22" s="5">
        <v>24000</v>
      </c>
      <c r="C22" s="4" t="s">
        <v>62</v>
      </c>
      <c r="D22" s="4" t="s">
        <v>65</v>
      </c>
    </row>
    <row r="23" spans="1:4" ht="33" customHeight="1">
      <c r="A23" s="4" t="s">
        <v>66</v>
      </c>
      <c r="B23" s="7">
        <f>'Premissas'!$B$21+'Premissas'!$B$22</f>
        <v>100000</v>
      </c>
      <c r="C23" s="4" t="s">
        <v>67</v>
      </c>
      <c r="D23" s="4" t="s">
        <v>68</v>
      </c>
    </row>
    <row r="24" spans="1:4" ht="33" customHeight="1">
      <c r="A24" s="4" t="s">
        <v>69</v>
      </c>
      <c r="B24" s="5">
        <v>37000</v>
      </c>
      <c r="C24" s="4" t="s">
        <v>70</v>
      </c>
      <c r="D24" s="4" t="s">
        <v>71</v>
      </c>
    </row>
    <row r="25" spans="1:4" ht="33" customHeight="1">
      <c r="A25" s="4" t="s">
        <v>72</v>
      </c>
      <c r="B25" s="5">
        <v>42000</v>
      </c>
      <c r="C25" s="4" t="s">
        <v>70</v>
      </c>
      <c r="D25" s="4" t="s">
        <v>73</v>
      </c>
    </row>
    <row r="26" spans="1:4" ht="33" customHeight="1">
      <c r="A26" s="4" t="s">
        <v>74</v>
      </c>
      <c r="B26" s="5">
        <v>3</v>
      </c>
      <c r="C26" s="4" t="s">
        <v>75</v>
      </c>
      <c r="D26" s="4" t="s">
        <v>76</v>
      </c>
    </row>
    <row r="27" spans="1:4" ht="33" customHeight="1">
      <c r="A27" s="4" t="s">
        <v>77</v>
      </c>
      <c r="B27" s="5">
        <v>10000</v>
      </c>
      <c r="C27" s="4" t="s">
        <v>62</v>
      </c>
      <c r="D27" s="4" t="s">
        <v>78</v>
      </c>
    </row>
    <row r="28" spans="1:4" ht="33" customHeight="1">
      <c r="A28" s="4" t="s">
        <v>79</v>
      </c>
      <c r="B28" s="6">
        <v>0.5</v>
      </c>
      <c r="C28" s="4" t="s">
        <v>80</v>
      </c>
      <c r="D28" s="4" t="s">
        <v>81</v>
      </c>
    </row>
    <row r="29" spans="1:4" ht="33" customHeight="1">
      <c r="A29" s="4" t="s">
        <v>82</v>
      </c>
      <c r="B29" s="5">
        <v>15</v>
      </c>
      <c r="C29" s="4" t="s">
        <v>16</v>
      </c>
      <c r="D29" s="4" t="s">
        <v>83</v>
      </c>
    </row>
    <row r="30" spans="1:4" ht="33" customHeight="1">
      <c r="A30" s="4" t="s">
        <v>84</v>
      </c>
      <c r="B30" s="5">
        <v>4.5</v>
      </c>
      <c r="C30" s="4" t="s">
        <v>19</v>
      </c>
      <c r="D30" s="4" t="s">
        <v>83</v>
      </c>
    </row>
  </sheetData>
  <mergeCells count="1">
    <mergeCell ref="A1:D1"/>
  </mergeCells>
  <dataValidations count="25">
    <dataValidation type="decimal" operator="greaterThan" allowBlank="1" showInputMessage="1" showErrorMessage="1" sqref="B5">
      <formula1>0</formula1>
    </dataValidation>
    <dataValidation type="decimal" operator="greaterThan" allowBlank="1" showInputMessage="1" showErrorMessage="1" sqref="B6">
      <formula1>0</formula1>
    </dataValidation>
    <dataValidation type="decimal" allowBlank="1" showInputMessage="1" showErrorMessage="1" sqref="B7">
      <formula1>0</formula1>
      <formula2>1</formula2>
    </dataValidation>
    <dataValidation type="decimal" allowBlank="1" showInputMessage="1" showErrorMessage="1" sqref="B8">
      <formula1>0</formula1>
      <formula2>1</formula2>
    </dataValidation>
    <dataValidation type="decimal" operator="greaterThan" allowBlank="1" showInputMessage="1" showErrorMessage="1" sqref="B9">
      <formula1>0</formula1>
    </dataValidation>
    <dataValidation type="decimal" allowBlank="1" showInputMessage="1" showErrorMessage="1" sqref="B10">
      <formula1>0</formula1>
      <formula2>1</formula2>
    </dataValidation>
    <dataValidation type="decimal" allowBlank="1" showInputMessage="1" showErrorMessage="1" sqref="B11">
      <formula1>0</formula1>
      <formula2>1</formula2>
    </dataValidation>
    <dataValidation type="decimal" operator="greaterThan" allowBlank="1" showInputMessage="1" showErrorMessage="1" sqref="B12">
      <formula1>0</formula1>
    </dataValidation>
    <dataValidation type="decimal" operator="greaterThan" allowBlank="1" showInputMessage="1" showErrorMessage="1" sqref="B13">
      <formula1>0</formula1>
    </dataValidation>
    <dataValidation type="decimal" allowBlank="1" showInputMessage="1" showErrorMessage="1" sqref="B14">
      <formula1>0</formula1>
      <formula2>1</formula2>
    </dataValidation>
    <dataValidation type="decimal" operator="greaterThan" allowBlank="1" showInputMessage="1" showErrorMessage="1" sqref="B15">
      <formula1>0</formula1>
    </dataValidation>
    <dataValidation type="decimal" operator="greaterThan" allowBlank="1" showInputMessage="1" showErrorMessage="1" sqref="B16">
      <formula1>0</formula1>
    </dataValidation>
    <dataValidation type="decimal" operator="greaterThan" allowBlank="1" showInputMessage="1" showErrorMessage="1" sqref="B17">
      <formula1>0</formula1>
    </dataValidation>
    <dataValidation type="decimal" allowBlank="1" showInputMessage="1" showErrorMessage="1" sqref="B18">
      <formula1>0</formula1>
      <formula2>1</formula2>
    </dataValidation>
    <dataValidation type="decimal" allowBlank="1" showInputMessage="1" showErrorMessage="1" sqref="B19">
      <formula1>0</formula1>
      <formula2>1</formula2>
    </dataValidation>
    <dataValidation type="whole" allowBlank="1" showInputMessage="1" showErrorMessage="1" sqref="B20">
      <formula1>0</formula1>
      <formula2>24</formula2>
    </dataValidation>
    <dataValidation type="decimal" operator="greaterThan" allowBlank="1" showInputMessage="1" showErrorMessage="1" sqref="B21">
      <formula1>0</formula1>
    </dataValidation>
    <dataValidation type="decimal" operator="greaterThan" allowBlank="1" showInputMessage="1" showErrorMessage="1" sqref="B22">
      <formula1>0</formula1>
    </dataValidation>
    <dataValidation type="decimal" operator="greaterThan" allowBlank="1" showInputMessage="1" showErrorMessage="1" sqref="B24">
      <formula1>0</formula1>
    </dataValidation>
    <dataValidation type="decimal" operator="greaterThan" allowBlank="1" showInputMessage="1" showErrorMessage="1" sqref="B25">
      <formula1>0</formula1>
    </dataValidation>
    <dataValidation type="decimal" operator="greaterThan" allowBlank="1" showInputMessage="1" showErrorMessage="1" sqref="B26">
      <formula1>0</formula1>
    </dataValidation>
    <dataValidation type="decimal" operator="greaterThan" allowBlank="1" showInputMessage="1" showErrorMessage="1" sqref="B27">
      <formula1>0</formula1>
    </dataValidation>
    <dataValidation type="decimal" allowBlank="1" showInputMessage="1" showErrorMessage="1" sqref="B28">
      <formula1>0</formula1>
      <formula2>1</formula2>
    </dataValidation>
    <dataValidation type="decimal" operator="greaterThan" allowBlank="1" showInputMessage="1" showErrorMessage="1" sqref="B29">
      <formula1>0</formula1>
    </dataValidation>
    <dataValidation type="decimal" operator="greaterThan" allowBlank="1" showInputMessage="1" showErrorMessage="1" sqref="B30">
      <formula1>0</formula1>
    </dataValidation>
  </dataValidation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4.7109375" customWidth="1"/>
    <col min="2" max="3" width="23.7109375" customWidth="1"/>
    <col min="4" max="5" width="36.7109375" customWidth="1"/>
  </cols>
  <sheetData>
    <row r="1" spans="1:5" ht="32" customHeight="1">
      <c r="A1" s="1" t="s">
        <v>85</v>
      </c>
      <c r="B1" s="1"/>
      <c r="C1" s="1"/>
      <c r="D1" s="1"/>
      <c r="E1" s="1"/>
    </row>
    <row r="4" spans="1:5" ht="48" customHeight="1">
      <c r="A4" s="3" t="s">
        <v>86</v>
      </c>
      <c r="B4" s="3" t="s">
        <v>87</v>
      </c>
      <c r="C4" s="3" t="s">
        <v>62</v>
      </c>
      <c r="D4" s="3" t="s">
        <v>88</v>
      </c>
      <c r="E4" s="3" t="s">
        <v>89</v>
      </c>
    </row>
    <row r="5" spans="1:5">
      <c r="A5" t="s">
        <v>90</v>
      </c>
      <c r="B5" s="8">
        <f>'Premissas'!$B$5</f>
        <v>29</v>
      </c>
      <c r="C5" s="8">
        <f>B5*'Premissas'!$B$6</f>
        <v>145</v>
      </c>
      <c r="D5" s="4" t="s">
        <v>91</v>
      </c>
      <c r="E5" s="4" t="s">
        <v>92</v>
      </c>
    </row>
    <row r="6" spans="1:5">
      <c r="A6" t="s">
        <v>21</v>
      </c>
      <c r="B6" s="8">
        <f>B5*'Premissas'!$B$7</f>
        <v>2.32</v>
      </c>
      <c r="C6" s="8">
        <f>B6*'Premissas'!$B$6</f>
        <v>11.6</v>
      </c>
      <c r="D6" s="4" t="s">
        <v>93</v>
      </c>
      <c r="E6" s="4" t="s">
        <v>92</v>
      </c>
    </row>
    <row r="7" spans="1:5">
      <c r="A7" t="s">
        <v>94</v>
      </c>
      <c r="B7" s="8">
        <f>B5-B6</f>
        <v>26.68</v>
      </c>
      <c r="C7" s="8">
        <f>B7*'Premissas'!$B$6</f>
        <v>133.4</v>
      </c>
      <c r="D7" s="4" t="s">
        <v>95</v>
      </c>
      <c r="E7" s="4" t="s">
        <v>92</v>
      </c>
    </row>
    <row r="8" spans="1:5">
      <c r="A8" t="s">
        <v>96</v>
      </c>
      <c r="B8" s="8">
        <f>B7*'Premissas'!$B$8+(1-'Premissas'!$B$7)*'Premissas'!$B$9</f>
        <v>3.56132</v>
      </c>
      <c r="C8" s="8">
        <f>B8*'Premissas'!$B$6</f>
        <v>17.8066</v>
      </c>
      <c r="D8" s="4" t="s">
        <v>97</v>
      </c>
      <c r="E8" s="4" t="s">
        <v>92</v>
      </c>
    </row>
    <row r="9" spans="1:5">
      <c r="A9" t="s">
        <v>98</v>
      </c>
      <c r="B9" s="8">
        <f>B7*'Premissas'!$B$10</f>
        <v>4.002</v>
      </c>
      <c r="C9" s="8">
        <f>B9*'Premissas'!$B$6</f>
        <v>20.009999999999998</v>
      </c>
      <c r="D9" s="4" t="s">
        <v>99</v>
      </c>
      <c r="E9" s="4" t="s">
        <v>92</v>
      </c>
    </row>
    <row r="10" spans="1:5">
      <c r="A10" t="s">
        <v>100</v>
      </c>
      <c r="B10" s="8">
        <f>B7*'Premissas'!$B$11</f>
        <v>0.8004</v>
      </c>
      <c r="C10" s="8">
        <f>B10*'Premissas'!$B$6</f>
        <v>4.002</v>
      </c>
      <c r="D10" s="4" t="s">
        <v>99</v>
      </c>
      <c r="E10" s="4" t="s">
        <v>92</v>
      </c>
    </row>
    <row r="11" spans="1:5">
      <c r="A11" t="s">
        <v>101</v>
      </c>
      <c r="B11" s="8">
        <f>'Premissas'!$B$12</f>
        <v>10</v>
      </c>
      <c r="C11" s="8">
        <f>B11*'Premissas'!$B$6</f>
        <v>50</v>
      </c>
      <c r="D11" s="4" t="s">
        <v>102</v>
      </c>
      <c r="E11" s="4" t="s">
        <v>92</v>
      </c>
    </row>
    <row r="12" spans="1:5">
      <c r="A12" t="s">
        <v>103</v>
      </c>
      <c r="B12" s="8">
        <f>'Premissas'!$B$13</f>
        <v>1</v>
      </c>
      <c r="C12" s="8">
        <f>B12*'Premissas'!$B$6</f>
        <v>5</v>
      </c>
      <c r="D12" s="4" t="s">
        <v>102</v>
      </c>
      <c r="E12" s="4" t="s">
        <v>92</v>
      </c>
    </row>
    <row r="13" spans="1:5">
      <c r="A13" t="s">
        <v>104</v>
      </c>
      <c r="B13" s="8">
        <f>B7-SUM(B8:B12)</f>
        <v>7.316279999999999</v>
      </c>
      <c r="C13" s="8">
        <f>B13*'Premissas'!$B$6</f>
        <v>36.581399999999995</v>
      </c>
      <c r="D13" s="4" t="s">
        <v>105</v>
      </c>
      <c r="E13" s="4" t="s">
        <v>92</v>
      </c>
    </row>
    <row r="16" spans="1:5" ht="48" customHeight="1">
      <c r="A16" s="3" t="s">
        <v>106</v>
      </c>
      <c r="B16" s="3" t="s">
        <v>62</v>
      </c>
      <c r="C16" s="3" t="s">
        <v>107</v>
      </c>
      <c r="D16" s="3" t="s">
        <v>108</v>
      </c>
      <c r="E16" s="3" t="s">
        <v>89</v>
      </c>
    </row>
    <row r="17" spans="1:5">
      <c r="A17" t="s">
        <v>109</v>
      </c>
      <c r="B17" s="7">
        <f>'Premissas'!$B$15</f>
        <v>30000</v>
      </c>
    </row>
    <row r="18" spans="1:5">
      <c r="A18" t="s">
        <v>110</v>
      </c>
      <c r="B18" s="7">
        <f>'Premissas'!$B$16*'Premissas'!$B$17</f>
        <v>14400</v>
      </c>
    </row>
    <row r="19" spans="1:5">
      <c r="A19" t="s">
        <v>111</v>
      </c>
      <c r="B19" s="7">
        <f>B17*'Premissas'!$B$10</f>
        <v>4500</v>
      </c>
    </row>
    <row r="20" spans="1:5">
      <c r="A20" t="s">
        <v>112</v>
      </c>
      <c r="B20" s="7">
        <f>B17*'Premissas'!$B$18</f>
        <v>1500</v>
      </c>
    </row>
    <row r="21" spans="1:5">
      <c r="A21" t="s">
        <v>113</v>
      </c>
      <c r="B21" s="7">
        <f>B17-SUM(B18:B20)</f>
        <v>9600</v>
      </c>
    </row>
    <row r="24" spans="1:5">
      <c r="A24" s="4" t="s">
        <v>114</v>
      </c>
      <c r="B24" s="9">
        <f>ROUNDUP('Premissas'!$B$25/C13,0)</f>
        <v>1149</v>
      </c>
    </row>
    <row r="25" spans="1:5">
      <c r="A25" s="4" t="s">
        <v>115</v>
      </c>
      <c r="B25" s="8">
        <f>B13+'Premissas'!$B$12</f>
        <v>17.31628</v>
      </c>
    </row>
    <row r="28" spans="1:5" ht="42" customHeight="1">
      <c r="A28" s="2" t="s">
        <v>116</v>
      </c>
      <c r="B28" s="2"/>
      <c r="C28" s="2"/>
      <c r="D28" s="2"/>
      <c r="E28" s="2"/>
    </row>
  </sheetData>
  <mergeCells count="2">
    <mergeCell ref="A1:E1"/>
    <mergeCell ref="A28:E28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36" width="18.7109375" customWidth="1"/>
  </cols>
  <sheetData>
    <row r="1" spans="1:36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spans="1:36" ht="48" customHeight="1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  <c r="O4" s="3" t="s">
        <v>133</v>
      </c>
      <c r="P4" s="3" t="s">
        <v>134</v>
      </c>
      <c r="Q4" s="3" t="s">
        <v>135</v>
      </c>
      <c r="R4" s="3" t="s">
        <v>136</v>
      </c>
      <c r="S4" s="3" t="s">
        <v>137</v>
      </c>
      <c r="T4" s="3" t="s">
        <v>138</v>
      </c>
      <c r="U4" s="3" t="s">
        <v>139</v>
      </c>
      <c r="V4" s="3" t="s">
        <v>140</v>
      </c>
      <c r="W4" s="3" t="s">
        <v>141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146</v>
      </c>
      <c r="AC4" s="3" t="s">
        <v>147</v>
      </c>
      <c r="AD4" s="3" t="s">
        <v>148</v>
      </c>
      <c r="AE4" s="3" t="s">
        <v>149</v>
      </c>
      <c r="AF4" s="3" t="s">
        <v>150</v>
      </c>
      <c r="AG4" s="3" t="s">
        <v>151</v>
      </c>
      <c r="AH4" s="3" t="s">
        <v>152</v>
      </c>
      <c r="AI4" s="3" t="s">
        <v>153</v>
      </c>
      <c r="AJ4" s="3" t="s">
        <v>154</v>
      </c>
    </row>
    <row r="5" spans="1:36">
      <c r="A5" s="9">
        <v>1</v>
      </c>
      <c r="B5" s="10">
        <v>0</v>
      </c>
      <c r="C5" s="9">
        <f>ROUNDUP(B5/'Premissas'!$B$14,0)</f>
        <v>0</v>
      </c>
      <c r="D5" s="10">
        <v>0</v>
      </c>
      <c r="E5" s="9">
        <f>D5*'Premissas'!$B$16</f>
        <v>0</v>
      </c>
      <c r="F5" s="7">
        <f>ROUND(B5*'Premissas'!$B$5,2)</f>
        <v>0</v>
      </c>
      <c r="G5" s="7">
        <f>ROUND(F5*'Premissas'!$B$6,2)</f>
        <v>0</v>
      </c>
      <c r="H5" s="7">
        <f>ROUND(G5*'Premissas'!$B$7,2)</f>
        <v>0</v>
      </c>
      <c r="I5" s="7">
        <f>ROUND(G5-H5,2)</f>
        <v>0</v>
      </c>
      <c r="J5" s="7">
        <f>ROUND(I5*'Premissas'!$B$8+B5*(1-'Premissas'!$B$7)*'Premissas'!$B$9*'Premissas'!$B$6,2)</f>
        <v>0</v>
      </c>
      <c r="K5" s="7">
        <f>ROUND(I5-J5,2)</f>
        <v>0</v>
      </c>
      <c r="L5" s="7">
        <f>IF(A5&gt;'Premissas'!$B$20,INDEX($K$5:$K$28,MAX(1,A5-'Premissas'!$B$20)),0)</f>
        <v>0</v>
      </c>
      <c r="M5" s="7">
        <f>ROUND(I5*'Premissas'!$B$10,2)</f>
        <v>0</v>
      </c>
      <c r="N5" s="7">
        <f>ROUND(I5*'Premissas'!$B$11,2)</f>
        <v>0</v>
      </c>
      <c r="O5" s="7">
        <f>ROUND(B5*'Premissas'!$B$12*'Premissas'!$B$6,2)</f>
        <v>0</v>
      </c>
      <c r="P5" s="7">
        <f>ROUND(B5*'Premissas'!$B$13*'Premissas'!$B$6,2)</f>
        <v>0</v>
      </c>
      <c r="Q5" s="7">
        <f>ROUND(D5*'Premissas'!$B$15,2)</f>
        <v>0</v>
      </c>
      <c r="R5" s="7">
        <f>ROUND(Q5*'Premissas'!$B$19+0*(1-'Premissas'!$B$19),2)</f>
        <v>0</v>
      </c>
      <c r="S5" s="7">
        <f>ROUND(E5*'Premissas'!$B$17,2)</f>
        <v>0</v>
      </c>
      <c r="T5" s="7">
        <f>ROUND(Q5*'Premissas'!$B$10,2)</f>
        <v>0</v>
      </c>
      <c r="U5" s="7">
        <f>ROUND(R5*'Premissas'!$B$18,2)</f>
        <v>0</v>
      </c>
      <c r="V5" s="7">
        <f>IF(A5&lt;=12,'Premissas'!$B$24,'Premissas'!$B$25)</f>
        <v>37000</v>
      </c>
      <c r="W5" s="7">
        <f>ROUND(G5+Q5,2)</f>
        <v>0</v>
      </c>
      <c r="X5" s="7">
        <f>ROUND(I5+Q5,2)</f>
        <v>0</v>
      </c>
      <c r="Y5" s="7">
        <f>ROUND(L5+R5,2)</f>
        <v>0</v>
      </c>
      <c r="Z5" s="7">
        <f>ROUND(SUM(M5:P5)+SUM(S5:V5),2)</f>
        <v>37000</v>
      </c>
      <c r="AA5" s="7">
        <f>ROUND(Y5-Z5,2)</f>
        <v>-37000</v>
      </c>
      <c r="AB5" s="7">
        <f>ROUND(-'Premissas'!$B$23+AA5,2)</f>
        <v>-137000</v>
      </c>
      <c r="AC5" s="7">
        <f>ROUND(X5-J5-SUM(M5:P5)-S5-T5-ROUND(Q5*'Premissas'!$B$18,2)-V5,2)</f>
        <v>-37000</v>
      </c>
      <c r="AD5" s="7">
        <f>ROUND(SUM($K$5:K5)-SUM($L$5:L5)+SUM($Q$5:Q5)-SUM($R$5:R5),2)</f>
        <v>0</v>
      </c>
      <c r="AE5" s="7">
        <f>MAX(0,AB5)*'Premissas'!$B$28</f>
        <v>0.0</v>
      </c>
      <c r="AF5" s="9">
        <f>IF(AB5&gt;=0,A5,999)</f>
        <v>999</v>
      </c>
      <c r="AG5" s="9">
        <f>IF(AE5&gt;=Resumo!$E$5,A5,999)</f>
        <v>999</v>
      </c>
      <c r="AH5" s="7">
        <f>AB5+Capital!$A$5</f>
        <v>-37000</v>
      </c>
      <c r="AI5" s="7">
        <f>AB5+Capital!$A$6</f>
        <v>13000</v>
      </c>
      <c r="AJ5" s="7">
        <f>AB5+Capital!$A$7</f>
        <v>63000</v>
      </c>
    </row>
    <row r="6" spans="1:36">
      <c r="A6" s="9">
        <v>2</v>
      </c>
      <c r="B6" s="10">
        <v>0</v>
      </c>
      <c r="C6" s="9">
        <f>ROUNDUP(B6/'Premissas'!$B$14,0)</f>
        <v>0</v>
      </c>
      <c r="D6" s="10">
        <v>0</v>
      </c>
      <c r="E6" s="9">
        <f>D6*'Premissas'!$B$16</f>
        <v>0</v>
      </c>
      <c r="F6" s="7">
        <f>ROUND(B6*'Premissas'!$B$5,2)</f>
        <v>0</v>
      </c>
      <c r="G6" s="7">
        <f>ROUND(F6*'Premissas'!$B$6,2)</f>
        <v>0</v>
      </c>
      <c r="H6" s="7">
        <f>ROUND(G6*'Premissas'!$B$7,2)</f>
        <v>0</v>
      </c>
      <c r="I6" s="7">
        <f>ROUND(G6-H6,2)</f>
        <v>0</v>
      </c>
      <c r="J6" s="7">
        <f>ROUND(I6*'Premissas'!$B$8+B6*(1-'Premissas'!$B$7)*'Premissas'!$B$9*'Premissas'!$B$6,2)</f>
        <v>0</v>
      </c>
      <c r="K6" s="7">
        <f>ROUND(I6-J6,2)</f>
        <v>0</v>
      </c>
      <c r="L6" s="7">
        <f>IF(A6&gt;'Premissas'!$B$20,INDEX($K$5:$K$28,MAX(1,A6-'Premissas'!$B$20)),0)</f>
        <v>0</v>
      </c>
      <c r="M6" s="7">
        <f>ROUND(I6*'Premissas'!$B$10,2)</f>
        <v>0</v>
      </c>
      <c r="N6" s="7">
        <f>ROUND(I6*'Premissas'!$B$11,2)</f>
        <v>0</v>
      </c>
      <c r="O6" s="7">
        <f>ROUND(B6*'Premissas'!$B$12*'Premissas'!$B$6,2)</f>
        <v>0</v>
      </c>
      <c r="P6" s="7">
        <f>ROUND(B6*'Premissas'!$B$13*'Premissas'!$B$6,2)</f>
        <v>0</v>
      </c>
      <c r="Q6" s="7">
        <f>ROUND(D6*'Premissas'!$B$15,2)</f>
        <v>0</v>
      </c>
      <c r="R6" s="7">
        <f>ROUND(Q6*'Premissas'!$B$19+Q5*(1-'Premissas'!$B$19),2)</f>
        <v>0</v>
      </c>
      <c r="S6" s="7">
        <f>ROUND(E6*'Premissas'!$B$17,2)</f>
        <v>0</v>
      </c>
      <c r="T6" s="7">
        <f>ROUND(Q6*'Premissas'!$B$10,2)</f>
        <v>0</v>
      </c>
      <c r="U6" s="7">
        <f>ROUND(R6*'Premissas'!$B$18,2)</f>
        <v>0</v>
      </c>
      <c r="V6" s="7">
        <f>IF(A6&lt;=12,'Premissas'!$B$24,'Premissas'!$B$25)</f>
        <v>37000</v>
      </c>
      <c r="W6" s="7">
        <f>ROUND(G6+Q6,2)</f>
        <v>0</v>
      </c>
      <c r="X6" s="7">
        <f>ROUND(I6+Q6,2)</f>
        <v>0</v>
      </c>
      <c r="Y6" s="7">
        <f>ROUND(L6+R6,2)</f>
        <v>0</v>
      </c>
      <c r="Z6" s="7">
        <f>ROUND(SUM(M6:P6)+SUM(S6:V6),2)</f>
        <v>37000</v>
      </c>
      <c r="AA6" s="7">
        <f>ROUND(Y6-Z6,2)</f>
        <v>-37000</v>
      </c>
      <c r="AB6" s="7">
        <f>ROUND(AB5+AA6,2)</f>
        <v>-174000</v>
      </c>
      <c r="AC6" s="7">
        <f>ROUND(X6-J6-SUM(M6:P6)-S6-T6-ROUND(Q6*'Premissas'!$B$18,2)-V6,2)</f>
        <v>-37000</v>
      </c>
      <c r="AD6" s="7">
        <f>ROUND(SUM($K$5:K6)-SUM($L$5:L6)+SUM($Q$5:Q6)-SUM($R$5:R6),2)</f>
        <v>0</v>
      </c>
      <c r="AE6" s="7">
        <f>MAX(0,AB6)*'Premissas'!$B$28</f>
        <v>0.0</v>
      </c>
      <c r="AF6" s="9">
        <f>IF(AB6&gt;=0,A6,999)</f>
        <v>999</v>
      </c>
      <c r="AG6" s="9">
        <f>IF(AE6&gt;=Resumo!$E$5,A6,999)</f>
        <v>999</v>
      </c>
      <c r="AH6" s="7">
        <f>AB6+Capital!$A$5</f>
        <v>-74000</v>
      </c>
      <c r="AI6" s="7">
        <f>AB6+Capital!$A$6</f>
        <v>-24000</v>
      </c>
      <c r="AJ6" s="7">
        <f>AB6+Capital!$A$7</f>
        <v>26000</v>
      </c>
    </row>
    <row r="7" spans="1:36">
      <c r="A7" s="9">
        <v>3</v>
      </c>
      <c r="B7" s="10">
        <v>20</v>
      </c>
      <c r="C7" s="9">
        <f>ROUNDUP(B7/'Premissas'!$B$14,0)</f>
        <v>1000</v>
      </c>
      <c r="D7" s="10">
        <v>0</v>
      </c>
      <c r="E7" s="9">
        <f>D7*'Premissas'!$B$16</f>
        <v>0</v>
      </c>
      <c r="F7" s="7">
        <f>ROUND(B7*'Premissas'!$B$5,2)</f>
        <v>580</v>
      </c>
      <c r="G7" s="7">
        <f>ROUND(F7*'Premissas'!$B$6,2)</f>
        <v>2900</v>
      </c>
      <c r="H7" s="7">
        <f>ROUND(G7*'Premissas'!$B$7,2)</f>
        <v>232</v>
      </c>
      <c r="I7" s="7">
        <f>ROUND(G7-H7,2)</f>
        <v>2668</v>
      </c>
      <c r="J7" s="7">
        <f>ROUND(I7*'Premissas'!$B$8+B7*(1-'Premissas'!$B$7)*'Premissas'!$B$9*'Premissas'!$B$6,2)</f>
        <v>356.13</v>
      </c>
      <c r="K7" s="7">
        <f>ROUND(I7-J7,2)</f>
        <v>2311.87</v>
      </c>
      <c r="L7" s="7">
        <f>IF(A7&gt;'Premissas'!$B$20,INDEX($K$5:$K$28,MAX(1,A7-'Premissas'!$B$20)),0)</f>
        <v>0</v>
      </c>
      <c r="M7" s="7">
        <f>ROUND(I7*'Premissas'!$B$10,2)</f>
        <v>400.2</v>
      </c>
      <c r="N7" s="7">
        <f>ROUND(I7*'Premissas'!$B$11,2)</f>
        <v>80.04</v>
      </c>
      <c r="O7" s="7">
        <f>ROUND(B7*'Premissas'!$B$12*'Premissas'!$B$6,2)</f>
        <v>1000</v>
      </c>
      <c r="P7" s="7">
        <f>ROUND(B7*'Premissas'!$B$13*'Premissas'!$B$6,2)</f>
        <v>100</v>
      </c>
      <c r="Q7" s="7">
        <f>ROUND(D7*'Premissas'!$B$15,2)</f>
        <v>0</v>
      </c>
      <c r="R7" s="7">
        <f>ROUND(Q7*'Premissas'!$B$19+Q6*(1-'Premissas'!$B$19),2)</f>
        <v>0</v>
      </c>
      <c r="S7" s="7">
        <f>ROUND(E7*'Premissas'!$B$17,2)</f>
        <v>0</v>
      </c>
      <c r="T7" s="7">
        <f>ROUND(Q7*'Premissas'!$B$10,2)</f>
        <v>0</v>
      </c>
      <c r="U7" s="7">
        <f>ROUND(R7*'Premissas'!$B$18,2)</f>
        <v>0</v>
      </c>
      <c r="V7" s="7">
        <f>IF(A7&lt;=12,'Premissas'!$B$24,'Premissas'!$B$25)</f>
        <v>37000</v>
      </c>
      <c r="W7" s="7">
        <f>ROUND(G7+Q7,2)</f>
        <v>2900</v>
      </c>
      <c r="X7" s="7">
        <f>ROUND(I7+Q7,2)</f>
        <v>2668</v>
      </c>
      <c r="Y7" s="7">
        <f>ROUND(L7+R7,2)</f>
        <v>0</v>
      </c>
      <c r="Z7" s="7">
        <f>ROUND(SUM(M7:P7)+SUM(S7:V7),2)</f>
        <v>38580.24</v>
      </c>
      <c r="AA7" s="7">
        <f>ROUND(Y7-Z7,2)</f>
        <v>-38580.24</v>
      </c>
      <c r="AB7" s="7">
        <f>ROUND(AB6+AA7,2)</f>
        <v>-212580.24</v>
      </c>
      <c r="AC7" s="7">
        <f>ROUND(X7-J7-SUM(M7:P7)-S7-T7-ROUND(Q7*'Premissas'!$B$18,2)-V7,2)</f>
        <v>-36268.37</v>
      </c>
      <c r="AD7" s="7">
        <f>ROUND(SUM($K$5:K7)-SUM($L$5:L7)+SUM($Q$5:Q7)-SUM($R$5:R7),2)</f>
        <v>2311.87</v>
      </c>
      <c r="AE7" s="7">
        <f>MAX(0,AB7)*'Premissas'!$B$28</f>
        <v>0.0</v>
      </c>
      <c r="AF7" s="9">
        <f>IF(AB7&gt;=0,A7,999)</f>
        <v>999</v>
      </c>
      <c r="AG7" s="9">
        <f>IF(AE7&gt;=Resumo!$E$5,A7,999)</f>
        <v>999</v>
      </c>
      <c r="AH7" s="7">
        <f>AB7+Capital!$A$5</f>
        <v>-112580.23999999999</v>
      </c>
      <c r="AI7" s="7">
        <f>AB7+Capital!$A$6</f>
        <v>-62580.23999999999</v>
      </c>
      <c r="AJ7" s="7">
        <f>AB7+Capital!$A$7</f>
        <v>-12580.23999999999</v>
      </c>
    </row>
    <row r="8" spans="1:36">
      <c r="A8" s="9">
        <v>4</v>
      </c>
      <c r="B8" s="10">
        <v>40</v>
      </c>
      <c r="C8" s="9">
        <f>ROUNDUP(B8/'Premissas'!$B$14,0)</f>
        <v>2000</v>
      </c>
      <c r="D8" s="10">
        <v>0</v>
      </c>
      <c r="E8" s="9">
        <f>D8*'Premissas'!$B$16</f>
        <v>0</v>
      </c>
      <c r="F8" s="7">
        <f>ROUND(B8*'Premissas'!$B$5,2)</f>
        <v>1160</v>
      </c>
      <c r="G8" s="7">
        <f>ROUND(F8*'Premissas'!$B$6,2)</f>
        <v>5800</v>
      </c>
      <c r="H8" s="7">
        <f>ROUND(G8*'Premissas'!$B$7,2)</f>
        <v>464</v>
      </c>
      <c r="I8" s="7">
        <f>ROUND(G8-H8,2)</f>
        <v>5336</v>
      </c>
      <c r="J8" s="7">
        <f>ROUND(I8*'Premissas'!$B$8+B8*(1-'Premissas'!$B$7)*'Premissas'!$B$9*'Premissas'!$B$6,2)</f>
        <v>712.26</v>
      </c>
      <c r="K8" s="7">
        <f>ROUND(I8-J8,2)</f>
        <v>4623.74</v>
      </c>
      <c r="L8" s="7">
        <f>IF(A8&gt;'Premissas'!$B$20,INDEX($K$5:$K$28,MAX(1,A8-'Premissas'!$B$20)),0)</f>
        <v>2311.87</v>
      </c>
      <c r="M8" s="7">
        <f>ROUND(I8*'Premissas'!$B$10,2)</f>
        <v>800.4</v>
      </c>
      <c r="N8" s="7">
        <f>ROUND(I8*'Premissas'!$B$11,2)</f>
        <v>160.08</v>
      </c>
      <c r="O8" s="7">
        <f>ROUND(B8*'Premissas'!$B$12*'Premissas'!$B$6,2)</f>
        <v>2000</v>
      </c>
      <c r="P8" s="7">
        <f>ROUND(B8*'Premissas'!$B$13*'Premissas'!$B$6,2)</f>
        <v>200</v>
      </c>
      <c r="Q8" s="7">
        <f>ROUND(D8*'Premissas'!$B$15,2)</f>
        <v>0</v>
      </c>
      <c r="R8" s="7">
        <f>ROUND(Q8*'Premissas'!$B$19+Q7*(1-'Premissas'!$B$19),2)</f>
        <v>0</v>
      </c>
      <c r="S8" s="7">
        <f>ROUND(E8*'Premissas'!$B$17,2)</f>
        <v>0</v>
      </c>
      <c r="T8" s="7">
        <f>ROUND(Q8*'Premissas'!$B$10,2)</f>
        <v>0</v>
      </c>
      <c r="U8" s="7">
        <f>ROUND(R8*'Premissas'!$B$18,2)</f>
        <v>0</v>
      </c>
      <c r="V8" s="7">
        <f>IF(A8&lt;=12,'Premissas'!$B$24,'Premissas'!$B$25)</f>
        <v>37000</v>
      </c>
      <c r="W8" s="7">
        <f>ROUND(G8+Q8,2)</f>
        <v>5800</v>
      </c>
      <c r="X8" s="7">
        <f>ROUND(I8+Q8,2)</f>
        <v>5336</v>
      </c>
      <c r="Y8" s="7">
        <f>ROUND(L8+R8,2)</f>
        <v>2311.87</v>
      </c>
      <c r="Z8" s="7">
        <f>ROUND(SUM(M8:P8)+SUM(S8:V8),2)</f>
        <v>40160.48</v>
      </c>
      <c r="AA8" s="7">
        <f>ROUND(Y8-Z8,2)</f>
        <v>-37848.61</v>
      </c>
      <c r="AB8" s="7">
        <f>ROUND(AB7+AA8,2)</f>
        <v>-250428.85</v>
      </c>
      <c r="AC8" s="7">
        <f>ROUND(X8-J8-SUM(M8:P8)-S8-T8-ROUND(Q8*'Premissas'!$B$18,2)-V8,2)</f>
        <v>-35536.74</v>
      </c>
      <c r="AD8" s="7">
        <f>ROUND(SUM($K$5:K8)-SUM($L$5:L8)+SUM($Q$5:Q8)-SUM($R$5:R8),2)</f>
        <v>4623.74</v>
      </c>
      <c r="AE8" s="7">
        <f>MAX(0,AB8)*'Premissas'!$B$28</f>
        <v>0.0</v>
      </c>
      <c r="AF8" s="9">
        <f>IF(AB8&gt;=0,A8,999)</f>
        <v>999</v>
      </c>
      <c r="AG8" s="9">
        <f>IF(AE8&gt;=Resumo!$E$5,A8,999)</f>
        <v>999</v>
      </c>
      <c r="AH8" s="7">
        <f>AB8+Capital!$A$5</f>
        <v>-150428.85</v>
      </c>
      <c r="AI8" s="7">
        <f>AB8+Capital!$A$6</f>
        <v>-100428.85</v>
      </c>
      <c r="AJ8" s="7">
        <f>AB8+Capital!$A$7</f>
        <v>-50428.850000000006</v>
      </c>
    </row>
    <row r="9" spans="1:36">
      <c r="A9" s="9">
        <v>5</v>
      </c>
      <c r="B9" s="10">
        <v>80</v>
      </c>
      <c r="C9" s="9">
        <f>ROUNDUP(B9/'Premissas'!$B$14,0)</f>
        <v>4000</v>
      </c>
      <c r="D9" s="10">
        <v>1</v>
      </c>
      <c r="E9" s="9">
        <f>D9*'Premissas'!$B$16</f>
        <v>80</v>
      </c>
      <c r="F9" s="7">
        <f>ROUND(B9*'Premissas'!$B$5,2)</f>
        <v>2320</v>
      </c>
      <c r="G9" s="7">
        <f>ROUND(F9*'Premissas'!$B$6,2)</f>
        <v>11600</v>
      </c>
      <c r="H9" s="7">
        <f>ROUND(G9*'Premissas'!$B$7,2)</f>
        <v>928</v>
      </c>
      <c r="I9" s="7">
        <f>ROUND(G9-H9,2)</f>
        <v>10672</v>
      </c>
      <c r="J9" s="7">
        <f>ROUND(I9*'Premissas'!$B$8+B9*(1-'Premissas'!$B$7)*'Premissas'!$B$9*'Premissas'!$B$6,2)</f>
        <v>1424.53</v>
      </c>
      <c r="K9" s="7">
        <f>ROUND(I9-J9,2)</f>
        <v>9247.47</v>
      </c>
      <c r="L9" s="7">
        <f>IF(A9&gt;'Premissas'!$B$20,INDEX($K$5:$K$28,MAX(1,A9-'Premissas'!$B$20)),0)</f>
        <v>4623.74</v>
      </c>
      <c r="M9" s="7">
        <f>ROUND(I9*'Premissas'!$B$10,2)</f>
        <v>1600.8</v>
      </c>
      <c r="N9" s="7">
        <f>ROUND(I9*'Premissas'!$B$11,2)</f>
        <v>320.16</v>
      </c>
      <c r="O9" s="7">
        <f>ROUND(B9*'Premissas'!$B$12*'Premissas'!$B$6,2)</f>
        <v>4000</v>
      </c>
      <c r="P9" s="7">
        <f>ROUND(B9*'Premissas'!$B$13*'Premissas'!$B$6,2)</f>
        <v>400</v>
      </c>
      <c r="Q9" s="7">
        <f>ROUND(D9*'Premissas'!$B$15,2)</f>
        <v>30000</v>
      </c>
      <c r="R9" s="7">
        <f>ROUND(Q9*'Premissas'!$B$19+Q8*(1-'Premissas'!$B$19),2)</f>
        <v>15000</v>
      </c>
      <c r="S9" s="7">
        <f>ROUND(E9*'Premissas'!$B$17,2)</f>
        <v>14400</v>
      </c>
      <c r="T9" s="7">
        <f>ROUND(Q9*'Premissas'!$B$10,2)</f>
        <v>4500</v>
      </c>
      <c r="U9" s="7">
        <f>ROUND(R9*'Premissas'!$B$18,2)</f>
        <v>750</v>
      </c>
      <c r="V9" s="7">
        <f>IF(A9&lt;=12,'Premissas'!$B$24,'Premissas'!$B$25)</f>
        <v>37000</v>
      </c>
      <c r="W9" s="7">
        <f>ROUND(G9+Q9,2)</f>
        <v>41600</v>
      </c>
      <c r="X9" s="7">
        <f>ROUND(I9+Q9,2)</f>
        <v>40672</v>
      </c>
      <c r="Y9" s="7">
        <f>ROUND(L9+R9,2)</f>
        <v>19623.74</v>
      </c>
      <c r="Z9" s="7">
        <f>ROUND(SUM(M9:P9)+SUM(S9:V9),2)</f>
        <v>62970.96</v>
      </c>
      <c r="AA9" s="7">
        <f>ROUND(Y9-Z9,2)</f>
        <v>-43347.22</v>
      </c>
      <c r="AB9" s="7">
        <f>ROUND(AB8+AA9,2)</f>
        <v>-293776.07</v>
      </c>
      <c r="AC9" s="7">
        <f>ROUND(X9-J9-SUM(M9:P9)-S9-T9-ROUND(Q9*'Premissas'!$B$18,2)-V9,2)</f>
        <v>-24473.49</v>
      </c>
      <c r="AD9" s="7">
        <f>ROUND(SUM($K$5:K9)-SUM($L$5:L9)+SUM($Q$5:Q9)-SUM($R$5:R9),2)</f>
        <v>24247.47</v>
      </c>
      <c r="AE9" s="7">
        <f>MAX(0,AB9)*'Premissas'!$B$28</f>
        <v>0.0</v>
      </c>
      <c r="AF9" s="9">
        <f>IF(AB9&gt;=0,A9,999)</f>
        <v>999</v>
      </c>
      <c r="AG9" s="9">
        <f>IF(AE9&gt;=Resumo!$E$5,A9,999)</f>
        <v>999</v>
      </c>
      <c r="AH9" s="7">
        <f>AB9+Capital!$A$5</f>
        <v>-193776.07</v>
      </c>
      <c r="AI9" s="7">
        <f>AB9+Capital!$A$6</f>
        <v>-143776.07</v>
      </c>
      <c r="AJ9" s="7">
        <f>AB9+Capital!$A$7</f>
        <v>-93776.07</v>
      </c>
    </row>
    <row r="10" spans="1:36">
      <c r="A10" s="9">
        <v>6</v>
      </c>
      <c r="B10" s="10">
        <v>120</v>
      </c>
      <c r="C10" s="9">
        <f>ROUNDUP(B10/'Premissas'!$B$14,0)</f>
        <v>6000</v>
      </c>
      <c r="D10" s="10">
        <v>0</v>
      </c>
      <c r="E10" s="9">
        <f>D10*'Premissas'!$B$16</f>
        <v>0</v>
      </c>
      <c r="F10" s="7">
        <f>ROUND(B10*'Premissas'!$B$5,2)</f>
        <v>3480</v>
      </c>
      <c r="G10" s="7">
        <f>ROUND(F10*'Premissas'!$B$6,2)</f>
        <v>17400</v>
      </c>
      <c r="H10" s="7">
        <f>ROUND(G10*'Premissas'!$B$7,2)</f>
        <v>1392</v>
      </c>
      <c r="I10" s="7">
        <f>ROUND(G10-H10,2)</f>
        <v>16008</v>
      </c>
      <c r="J10" s="7">
        <f>ROUND(I10*'Premissas'!$B$8+B10*(1-'Premissas'!$B$7)*'Premissas'!$B$9*'Premissas'!$B$6,2)</f>
        <v>2136.79</v>
      </c>
      <c r="K10" s="7">
        <f>ROUND(I10-J10,2)</f>
        <v>13871.21</v>
      </c>
      <c r="L10" s="7">
        <f>IF(A10&gt;'Premissas'!$B$20,INDEX($K$5:$K$28,MAX(1,A10-'Premissas'!$B$20)),0)</f>
        <v>9247.47</v>
      </c>
      <c r="M10" s="7">
        <f>ROUND(I10*'Premissas'!$B$10,2)</f>
        <v>2401.2</v>
      </c>
      <c r="N10" s="7">
        <f>ROUND(I10*'Premissas'!$B$11,2)</f>
        <v>480.24</v>
      </c>
      <c r="O10" s="7">
        <f>ROUND(B10*'Premissas'!$B$12*'Premissas'!$B$6,2)</f>
        <v>6000</v>
      </c>
      <c r="P10" s="7">
        <f>ROUND(B10*'Premissas'!$B$13*'Premissas'!$B$6,2)</f>
        <v>600</v>
      </c>
      <c r="Q10" s="7">
        <f>ROUND(D10*'Premissas'!$B$15,2)</f>
        <v>0</v>
      </c>
      <c r="R10" s="7">
        <f>ROUND(Q10*'Premissas'!$B$19+Q9*(1-'Premissas'!$B$19),2)</f>
        <v>15000</v>
      </c>
      <c r="S10" s="7">
        <f>ROUND(E10*'Premissas'!$B$17,2)</f>
        <v>0</v>
      </c>
      <c r="T10" s="7">
        <f>ROUND(Q10*'Premissas'!$B$10,2)</f>
        <v>0</v>
      </c>
      <c r="U10" s="7">
        <f>ROUND(R10*'Premissas'!$B$18,2)</f>
        <v>750</v>
      </c>
      <c r="V10" s="7">
        <f>IF(A10&lt;=12,'Premissas'!$B$24,'Premissas'!$B$25)</f>
        <v>37000</v>
      </c>
      <c r="W10" s="7">
        <f>ROUND(G10+Q10,2)</f>
        <v>17400</v>
      </c>
      <c r="X10" s="7">
        <f>ROUND(I10+Q10,2)</f>
        <v>16008</v>
      </c>
      <c r="Y10" s="7">
        <f>ROUND(L10+R10,2)</f>
        <v>24247.47</v>
      </c>
      <c r="Z10" s="7">
        <f>ROUND(SUM(M10:P10)+SUM(S10:V10),2)</f>
        <v>47231.44</v>
      </c>
      <c r="AA10" s="7">
        <f>ROUND(Y10-Z10,2)</f>
        <v>-22983.97</v>
      </c>
      <c r="AB10" s="7">
        <f>ROUND(AB9+AA10,2)</f>
        <v>-316760.04</v>
      </c>
      <c r="AC10" s="7">
        <f>ROUND(X10-J10-SUM(M10:P10)-S10-T10-ROUND(Q10*'Premissas'!$B$18,2)-V10,2)</f>
        <v>-32610.23</v>
      </c>
      <c r="AD10" s="7">
        <f>ROUND(SUM($K$5:K10)-SUM($L$5:L10)+SUM($Q$5:Q10)-SUM($R$5:R10),2)</f>
        <v>13871.21</v>
      </c>
      <c r="AE10" s="7">
        <f>MAX(0,AB10)*'Premissas'!$B$28</f>
        <v>0.0</v>
      </c>
      <c r="AF10" s="9">
        <f>IF(AB10&gt;=0,A10,999)</f>
        <v>999</v>
      </c>
      <c r="AG10" s="9">
        <f>IF(AE10&gt;=Resumo!$E$5,A10,999)</f>
        <v>999</v>
      </c>
      <c r="AH10" s="7">
        <f>AB10+Capital!$A$5</f>
        <v>-216760.03999999998</v>
      </c>
      <c r="AI10" s="7">
        <f>AB10+Capital!$A$6</f>
        <v>-166760.03999999998</v>
      </c>
      <c r="AJ10" s="7">
        <f>AB10+Capital!$A$7</f>
        <v>-116760.03999999998</v>
      </c>
    </row>
    <row r="11" spans="1:36">
      <c r="A11" s="9">
        <v>7</v>
      </c>
      <c r="B11" s="10">
        <v>180</v>
      </c>
      <c r="C11" s="9">
        <f>ROUNDUP(B11/'Premissas'!$B$14,0)</f>
        <v>9000</v>
      </c>
      <c r="D11" s="10">
        <v>0</v>
      </c>
      <c r="E11" s="9">
        <f>D11*'Premissas'!$B$16</f>
        <v>0</v>
      </c>
      <c r="F11" s="7">
        <f>ROUND(B11*'Premissas'!$B$5,2)</f>
        <v>5220</v>
      </c>
      <c r="G11" s="7">
        <f>ROUND(F11*'Premissas'!$B$6,2)</f>
        <v>26100</v>
      </c>
      <c r="H11" s="7">
        <f>ROUND(G11*'Premissas'!$B$7,2)</f>
        <v>2088</v>
      </c>
      <c r="I11" s="7">
        <f>ROUND(G11-H11,2)</f>
        <v>24012</v>
      </c>
      <c r="J11" s="7">
        <f>ROUND(I11*'Premissas'!$B$8+B11*(1-'Premissas'!$B$7)*'Premissas'!$B$9*'Premissas'!$B$6,2)</f>
        <v>3205.19</v>
      </c>
      <c r="K11" s="7">
        <f>ROUND(I11-J11,2)</f>
        <v>20806.81</v>
      </c>
      <c r="L11" s="7">
        <f>IF(A11&gt;'Premissas'!$B$20,INDEX($K$5:$K$28,MAX(1,A11-'Premissas'!$B$20)),0)</f>
        <v>13871.21</v>
      </c>
      <c r="M11" s="7">
        <f>ROUND(I11*'Premissas'!$B$10,2)</f>
        <v>3601.8</v>
      </c>
      <c r="N11" s="7">
        <f>ROUND(I11*'Premissas'!$B$11,2)</f>
        <v>720.36</v>
      </c>
      <c r="O11" s="7">
        <f>ROUND(B11*'Premissas'!$B$12*'Premissas'!$B$6,2)</f>
        <v>9000</v>
      </c>
      <c r="P11" s="7">
        <f>ROUND(B11*'Premissas'!$B$13*'Premissas'!$B$6,2)</f>
        <v>900</v>
      </c>
      <c r="Q11" s="7">
        <f>ROUND(D11*'Premissas'!$B$15,2)</f>
        <v>0</v>
      </c>
      <c r="R11" s="7">
        <f>ROUND(Q11*'Premissas'!$B$19+Q10*(1-'Premissas'!$B$19),2)</f>
        <v>0</v>
      </c>
      <c r="S11" s="7">
        <f>ROUND(E11*'Premissas'!$B$17,2)</f>
        <v>0</v>
      </c>
      <c r="T11" s="7">
        <f>ROUND(Q11*'Premissas'!$B$10,2)</f>
        <v>0</v>
      </c>
      <c r="U11" s="7">
        <f>ROUND(R11*'Premissas'!$B$18,2)</f>
        <v>0</v>
      </c>
      <c r="V11" s="7">
        <f>IF(A11&lt;=12,'Premissas'!$B$24,'Premissas'!$B$25)</f>
        <v>37000</v>
      </c>
      <c r="W11" s="7">
        <f>ROUND(G11+Q11,2)</f>
        <v>26100</v>
      </c>
      <c r="X11" s="7">
        <f>ROUND(I11+Q11,2)</f>
        <v>24012</v>
      </c>
      <c r="Y11" s="7">
        <f>ROUND(L11+R11,2)</f>
        <v>13871.21</v>
      </c>
      <c r="Z11" s="7">
        <f>ROUND(SUM(M11:P11)+SUM(S11:V11),2)</f>
        <v>51222.16</v>
      </c>
      <c r="AA11" s="7">
        <f>ROUND(Y11-Z11,2)</f>
        <v>-37350.95</v>
      </c>
      <c r="AB11" s="7">
        <f>ROUND(AB10+AA11,2)</f>
        <v>-354110.99</v>
      </c>
      <c r="AC11" s="7">
        <f>ROUND(X11-J11-SUM(M11:P11)-S11-T11-ROUND(Q11*'Premissas'!$B$18,2)-V11,2)</f>
        <v>-30415.35</v>
      </c>
      <c r="AD11" s="7">
        <f>ROUND(SUM($K$5:K11)-SUM($L$5:L11)+SUM($Q$5:Q11)-SUM($R$5:R11),2)</f>
        <v>20806.81</v>
      </c>
      <c r="AE11" s="7">
        <f>MAX(0,AB11)*'Premissas'!$B$28</f>
        <v>0.0</v>
      </c>
      <c r="AF11" s="9">
        <f>IF(AB11&gt;=0,A11,999)</f>
        <v>999</v>
      </c>
      <c r="AG11" s="9">
        <f>IF(AE11&gt;=Resumo!$E$5,A11,999)</f>
        <v>999</v>
      </c>
      <c r="AH11" s="7">
        <f>AB11+Capital!$A$5</f>
        <v>-254110.99</v>
      </c>
      <c r="AI11" s="7">
        <f>AB11+Capital!$A$6</f>
        <v>-204110.99</v>
      </c>
      <c r="AJ11" s="7">
        <f>AB11+Capital!$A$7</f>
        <v>-154110.99</v>
      </c>
    </row>
    <row r="12" spans="1:36">
      <c r="A12" s="9">
        <v>8</v>
      </c>
      <c r="B12" s="10">
        <v>250</v>
      </c>
      <c r="C12" s="9">
        <f>ROUNDUP(B12/'Premissas'!$B$14,0)</f>
        <v>12500</v>
      </c>
      <c r="D12" s="10">
        <v>0</v>
      </c>
      <c r="E12" s="9">
        <f>D12*'Premissas'!$B$16</f>
        <v>0</v>
      </c>
      <c r="F12" s="7">
        <f>ROUND(B12*'Premissas'!$B$5,2)</f>
        <v>7250</v>
      </c>
      <c r="G12" s="7">
        <f>ROUND(F12*'Premissas'!$B$6,2)</f>
        <v>36250</v>
      </c>
      <c r="H12" s="7">
        <f>ROUND(G12*'Premissas'!$B$7,2)</f>
        <v>2900</v>
      </c>
      <c r="I12" s="7">
        <f>ROUND(G12-H12,2)</f>
        <v>33350</v>
      </c>
      <c r="J12" s="7">
        <f>ROUND(I12*'Premissas'!$B$8+B12*(1-'Premissas'!$B$7)*'Premissas'!$B$9*'Premissas'!$B$6,2)</f>
        <v>4451.65</v>
      </c>
      <c r="K12" s="7">
        <f>ROUND(I12-J12,2)</f>
        <v>28898.35</v>
      </c>
      <c r="L12" s="7">
        <f>IF(A12&gt;'Premissas'!$B$20,INDEX($K$5:$K$28,MAX(1,A12-'Premissas'!$B$20)),0)</f>
        <v>20806.81</v>
      </c>
      <c r="M12" s="7">
        <f>ROUND(I12*'Premissas'!$B$10,2)</f>
        <v>5002.5</v>
      </c>
      <c r="N12" s="7">
        <f>ROUND(I12*'Premissas'!$B$11,2)</f>
        <v>1000.5</v>
      </c>
      <c r="O12" s="7">
        <f>ROUND(B12*'Premissas'!$B$12*'Premissas'!$B$6,2)</f>
        <v>12500</v>
      </c>
      <c r="P12" s="7">
        <f>ROUND(B12*'Premissas'!$B$13*'Premissas'!$B$6,2)</f>
        <v>1250</v>
      </c>
      <c r="Q12" s="7">
        <f>ROUND(D12*'Premissas'!$B$15,2)</f>
        <v>0</v>
      </c>
      <c r="R12" s="7">
        <f>ROUND(Q12*'Premissas'!$B$19+Q11*(1-'Premissas'!$B$19),2)</f>
        <v>0</v>
      </c>
      <c r="S12" s="7">
        <f>ROUND(E12*'Premissas'!$B$17,2)</f>
        <v>0</v>
      </c>
      <c r="T12" s="7">
        <f>ROUND(Q12*'Premissas'!$B$10,2)</f>
        <v>0</v>
      </c>
      <c r="U12" s="7">
        <f>ROUND(R12*'Premissas'!$B$18,2)</f>
        <v>0</v>
      </c>
      <c r="V12" s="7">
        <f>IF(A12&lt;=12,'Premissas'!$B$24,'Premissas'!$B$25)</f>
        <v>37000</v>
      </c>
      <c r="W12" s="7">
        <f>ROUND(G12+Q12,2)</f>
        <v>36250</v>
      </c>
      <c r="X12" s="7">
        <f>ROUND(I12+Q12,2)</f>
        <v>33350</v>
      </c>
      <c r="Y12" s="7">
        <f>ROUND(L12+R12,2)</f>
        <v>20806.81</v>
      </c>
      <c r="Z12" s="7">
        <f>ROUND(SUM(M12:P12)+SUM(S12:V12),2)</f>
        <v>56753</v>
      </c>
      <c r="AA12" s="7">
        <f>ROUND(Y12-Z12,2)</f>
        <v>-35946.19</v>
      </c>
      <c r="AB12" s="7">
        <f>ROUND(AB11+AA12,2)</f>
        <v>-390057.18</v>
      </c>
      <c r="AC12" s="7">
        <f>ROUND(X12-J12-SUM(M12:P12)-S12-T12-ROUND(Q12*'Premissas'!$B$18,2)-V12,2)</f>
        <v>-27854.65</v>
      </c>
      <c r="AD12" s="7">
        <f>ROUND(SUM($K$5:K12)-SUM($L$5:L12)+SUM($Q$5:Q12)-SUM($R$5:R12),2)</f>
        <v>28898.35</v>
      </c>
      <c r="AE12" s="7">
        <f>MAX(0,AB12)*'Premissas'!$B$28</f>
        <v>0.0</v>
      </c>
      <c r="AF12" s="9">
        <f>IF(AB12&gt;=0,A12,999)</f>
        <v>999</v>
      </c>
      <c r="AG12" s="9">
        <f>IF(AE12&gt;=Resumo!$E$5,A12,999)</f>
        <v>999</v>
      </c>
      <c r="AH12" s="7">
        <f>AB12+Capital!$A$5</f>
        <v>-290057.18</v>
      </c>
      <c r="AI12" s="7">
        <f>AB12+Capital!$A$6</f>
        <v>-240057.18</v>
      </c>
      <c r="AJ12" s="7">
        <f>AB12+Capital!$A$7</f>
        <v>-190057.18</v>
      </c>
    </row>
    <row r="13" spans="1:36">
      <c r="A13" s="9">
        <v>9</v>
      </c>
      <c r="B13" s="10">
        <v>300</v>
      </c>
      <c r="C13" s="9">
        <f>ROUNDUP(B13/'Premissas'!$B$14,0)</f>
        <v>15000</v>
      </c>
      <c r="D13" s="10">
        <v>1</v>
      </c>
      <c r="E13" s="9">
        <f>D13*'Premissas'!$B$16</f>
        <v>80</v>
      </c>
      <c r="F13" s="7">
        <f>ROUND(B13*'Premissas'!$B$5,2)</f>
        <v>8700</v>
      </c>
      <c r="G13" s="7">
        <f>ROUND(F13*'Premissas'!$B$6,2)</f>
        <v>43500</v>
      </c>
      <c r="H13" s="7">
        <f>ROUND(G13*'Premissas'!$B$7,2)</f>
        <v>3480</v>
      </c>
      <c r="I13" s="7">
        <f>ROUND(G13-H13,2)</f>
        <v>40020</v>
      </c>
      <c r="J13" s="7">
        <f>ROUND(I13*'Premissas'!$B$8+B13*(1-'Premissas'!$B$7)*'Premissas'!$B$9*'Premissas'!$B$6,2)</f>
        <v>5341.98</v>
      </c>
      <c r="K13" s="7">
        <f>ROUND(I13-J13,2)</f>
        <v>34678.02</v>
      </c>
      <c r="L13" s="7">
        <f>IF(A13&gt;'Premissas'!$B$20,INDEX($K$5:$K$28,MAX(1,A13-'Premissas'!$B$20)),0)</f>
        <v>28898.35</v>
      </c>
      <c r="M13" s="7">
        <f>ROUND(I13*'Premissas'!$B$10,2)</f>
        <v>6003</v>
      </c>
      <c r="N13" s="7">
        <f>ROUND(I13*'Premissas'!$B$11,2)</f>
        <v>1200.6</v>
      </c>
      <c r="O13" s="7">
        <f>ROUND(B13*'Premissas'!$B$12*'Premissas'!$B$6,2)</f>
        <v>15000</v>
      </c>
      <c r="P13" s="7">
        <f>ROUND(B13*'Premissas'!$B$13*'Premissas'!$B$6,2)</f>
        <v>1500</v>
      </c>
      <c r="Q13" s="7">
        <f>ROUND(D13*'Premissas'!$B$15,2)</f>
        <v>30000</v>
      </c>
      <c r="R13" s="7">
        <f>ROUND(Q13*'Premissas'!$B$19+Q12*(1-'Premissas'!$B$19),2)</f>
        <v>15000</v>
      </c>
      <c r="S13" s="7">
        <f>ROUND(E13*'Premissas'!$B$17,2)</f>
        <v>14400</v>
      </c>
      <c r="T13" s="7">
        <f>ROUND(Q13*'Premissas'!$B$10,2)</f>
        <v>4500</v>
      </c>
      <c r="U13" s="7">
        <f>ROUND(R13*'Premissas'!$B$18,2)</f>
        <v>750</v>
      </c>
      <c r="V13" s="7">
        <f>IF(A13&lt;=12,'Premissas'!$B$24,'Premissas'!$B$25)</f>
        <v>37000</v>
      </c>
      <c r="W13" s="7">
        <f>ROUND(G13+Q13,2)</f>
        <v>73500</v>
      </c>
      <c r="X13" s="7">
        <f>ROUND(I13+Q13,2)</f>
        <v>70020</v>
      </c>
      <c r="Y13" s="7">
        <f>ROUND(L13+R13,2)</f>
        <v>43898.35</v>
      </c>
      <c r="Z13" s="7">
        <f>ROUND(SUM(M13:P13)+SUM(S13:V13),2)</f>
        <v>80353.6</v>
      </c>
      <c r="AA13" s="7">
        <f>ROUND(Y13-Z13,2)</f>
        <v>-36455.25</v>
      </c>
      <c r="AB13" s="7">
        <f>ROUND(AB12+AA13,2)</f>
        <v>-426512.43</v>
      </c>
      <c r="AC13" s="7">
        <f>ROUND(X13-J13-SUM(M13:P13)-S13-T13-ROUND(Q13*'Premissas'!$B$18,2)-V13,2)</f>
        <v>-16425.58</v>
      </c>
      <c r="AD13" s="7">
        <f>ROUND(SUM($K$5:K13)-SUM($L$5:L13)+SUM($Q$5:Q13)-SUM($R$5:R13),2)</f>
        <v>49678.02</v>
      </c>
      <c r="AE13" s="7">
        <f>MAX(0,AB13)*'Premissas'!$B$28</f>
        <v>0.0</v>
      </c>
      <c r="AF13" s="9">
        <f>IF(AB13&gt;=0,A13,999)</f>
        <v>999</v>
      </c>
      <c r="AG13" s="9">
        <f>IF(AE13&gt;=Resumo!$E$5,A13,999)</f>
        <v>999</v>
      </c>
      <c r="AH13" s="7">
        <f>AB13+Capital!$A$5</f>
        <v>-326512.43</v>
      </c>
      <c r="AI13" s="7">
        <f>AB13+Capital!$A$6</f>
        <v>-276512.43</v>
      </c>
      <c r="AJ13" s="7">
        <f>AB13+Capital!$A$7</f>
        <v>-226512.43</v>
      </c>
    </row>
    <row r="14" spans="1:36">
      <c r="A14" s="9">
        <v>10</v>
      </c>
      <c r="B14" s="10">
        <v>350</v>
      </c>
      <c r="C14" s="9">
        <f>ROUNDUP(B14/'Premissas'!$B$14,0)</f>
        <v>17500</v>
      </c>
      <c r="D14" s="10">
        <v>0</v>
      </c>
      <c r="E14" s="9">
        <f>D14*'Premissas'!$B$16</f>
        <v>0</v>
      </c>
      <c r="F14" s="7">
        <f>ROUND(B14*'Premissas'!$B$5,2)</f>
        <v>10150</v>
      </c>
      <c r="G14" s="7">
        <f>ROUND(F14*'Premissas'!$B$6,2)</f>
        <v>50750</v>
      </c>
      <c r="H14" s="7">
        <f>ROUND(G14*'Premissas'!$B$7,2)</f>
        <v>4060</v>
      </c>
      <c r="I14" s="7">
        <f>ROUND(G14-H14,2)</f>
        <v>46690</v>
      </c>
      <c r="J14" s="7">
        <f>ROUND(I14*'Premissas'!$B$8+B14*(1-'Premissas'!$B$7)*'Premissas'!$B$9*'Premissas'!$B$6,2)</f>
        <v>6232.31</v>
      </c>
      <c r="K14" s="7">
        <f>ROUND(I14-J14,2)</f>
        <v>40457.69</v>
      </c>
      <c r="L14" s="7">
        <f>IF(A14&gt;'Premissas'!$B$20,INDEX($K$5:$K$28,MAX(1,A14-'Premissas'!$B$20)),0)</f>
        <v>34678.02</v>
      </c>
      <c r="M14" s="7">
        <f>ROUND(I14*'Premissas'!$B$10,2)</f>
        <v>7003.5</v>
      </c>
      <c r="N14" s="7">
        <f>ROUND(I14*'Premissas'!$B$11,2)</f>
        <v>1400.7</v>
      </c>
      <c r="O14" s="7">
        <f>ROUND(B14*'Premissas'!$B$12*'Premissas'!$B$6,2)</f>
        <v>17500</v>
      </c>
      <c r="P14" s="7">
        <f>ROUND(B14*'Premissas'!$B$13*'Premissas'!$B$6,2)</f>
        <v>1750</v>
      </c>
      <c r="Q14" s="7">
        <f>ROUND(D14*'Premissas'!$B$15,2)</f>
        <v>0</v>
      </c>
      <c r="R14" s="7">
        <f>ROUND(Q14*'Premissas'!$B$19+Q13*(1-'Premissas'!$B$19),2)</f>
        <v>15000</v>
      </c>
      <c r="S14" s="7">
        <f>ROUND(E14*'Premissas'!$B$17,2)</f>
        <v>0</v>
      </c>
      <c r="T14" s="7">
        <f>ROUND(Q14*'Premissas'!$B$10,2)</f>
        <v>0</v>
      </c>
      <c r="U14" s="7">
        <f>ROUND(R14*'Premissas'!$B$18,2)</f>
        <v>750</v>
      </c>
      <c r="V14" s="7">
        <f>IF(A14&lt;=12,'Premissas'!$B$24,'Premissas'!$B$25)</f>
        <v>37000</v>
      </c>
      <c r="W14" s="7">
        <f>ROUND(G14+Q14,2)</f>
        <v>50750</v>
      </c>
      <c r="X14" s="7">
        <f>ROUND(I14+Q14,2)</f>
        <v>46690</v>
      </c>
      <c r="Y14" s="7">
        <f>ROUND(L14+R14,2)</f>
        <v>49678.02</v>
      </c>
      <c r="Z14" s="7">
        <f>ROUND(SUM(M14:P14)+SUM(S14:V14),2)</f>
        <v>65404.2</v>
      </c>
      <c r="AA14" s="7">
        <f>ROUND(Y14-Z14,2)</f>
        <v>-15726.18</v>
      </c>
      <c r="AB14" s="7">
        <f>ROUND(AB13+AA14,2)</f>
        <v>-442238.61</v>
      </c>
      <c r="AC14" s="7">
        <f>ROUND(X14-J14-SUM(M14:P14)-S14-T14-ROUND(Q14*'Premissas'!$B$18,2)-V14,2)</f>
        <v>-24196.51</v>
      </c>
      <c r="AD14" s="7">
        <f>ROUND(SUM($K$5:K14)-SUM($L$5:L14)+SUM($Q$5:Q14)-SUM($R$5:R14),2)</f>
        <v>40457.69</v>
      </c>
      <c r="AE14" s="7">
        <f>MAX(0,AB14)*'Premissas'!$B$28</f>
        <v>0.0</v>
      </c>
      <c r="AF14" s="9">
        <f>IF(AB14&gt;=0,A14,999)</f>
        <v>999</v>
      </c>
      <c r="AG14" s="9">
        <f>IF(AE14&gt;=Resumo!$E$5,A14,999)</f>
        <v>999</v>
      </c>
      <c r="AH14" s="7">
        <f>AB14+Capital!$A$5</f>
        <v>-342238.61</v>
      </c>
      <c r="AI14" s="7">
        <f>AB14+Capital!$A$6</f>
        <v>-292238.61</v>
      </c>
      <c r="AJ14" s="7">
        <f>AB14+Capital!$A$7</f>
        <v>-242238.61</v>
      </c>
    </row>
    <row r="15" spans="1:36">
      <c r="A15" s="9">
        <v>11</v>
      </c>
      <c r="B15" s="10">
        <v>400</v>
      </c>
      <c r="C15" s="9">
        <f>ROUNDUP(B15/'Premissas'!$B$14,0)</f>
        <v>20000</v>
      </c>
      <c r="D15" s="10">
        <v>0</v>
      </c>
      <c r="E15" s="9">
        <f>D15*'Premissas'!$B$16</f>
        <v>0</v>
      </c>
      <c r="F15" s="7">
        <f>ROUND(B15*'Premissas'!$B$5,2)</f>
        <v>11600</v>
      </c>
      <c r="G15" s="7">
        <f>ROUND(F15*'Premissas'!$B$6,2)</f>
        <v>58000</v>
      </c>
      <c r="H15" s="7">
        <f>ROUND(G15*'Premissas'!$B$7,2)</f>
        <v>4640</v>
      </c>
      <c r="I15" s="7">
        <f>ROUND(G15-H15,2)</f>
        <v>53360</v>
      </c>
      <c r="J15" s="7">
        <f>ROUND(I15*'Premissas'!$B$8+B15*(1-'Premissas'!$B$7)*'Premissas'!$B$9*'Premissas'!$B$6,2)</f>
        <v>7122.64</v>
      </c>
      <c r="K15" s="7">
        <f>ROUND(I15-J15,2)</f>
        <v>46237.36</v>
      </c>
      <c r="L15" s="7">
        <f>IF(A15&gt;'Premissas'!$B$20,INDEX($K$5:$K$28,MAX(1,A15-'Premissas'!$B$20)),0)</f>
        <v>40457.69</v>
      </c>
      <c r="M15" s="7">
        <f>ROUND(I15*'Premissas'!$B$10,2)</f>
        <v>8004</v>
      </c>
      <c r="N15" s="7">
        <f>ROUND(I15*'Premissas'!$B$11,2)</f>
        <v>1600.8</v>
      </c>
      <c r="O15" s="7">
        <f>ROUND(B15*'Premissas'!$B$12*'Premissas'!$B$6,2)</f>
        <v>20000</v>
      </c>
      <c r="P15" s="7">
        <f>ROUND(B15*'Premissas'!$B$13*'Premissas'!$B$6,2)</f>
        <v>2000</v>
      </c>
      <c r="Q15" s="7">
        <f>ROUND(D15*'Premissas'!$B$15,2)</f>
        <v>0</v>
      </c>
      <c r="R15" s="7">
        <f>ROUND(Q15*'Premissas'!$B$19+Q14*(1-'Premissas'!$B$19),2)</f>
        <v>0</v>
      </c>
      <c r="S15" s="7">
        <f>ROUND(E15*'Premissas'!$B$17,2)</f>
        <v>0</v>
      </c>
      <c r="T15" s="7">
        <f>ROUND(Q15*'Premissas'!$B$10,2)</f>
        <v>0</v>
      </c>
      <c r="U15" s="7">
        <f>ROUND(R15*'Premissas'!$B$18,2)</f>
        <v>0</v>
      </c>
      <c r="V15" s="7">
        <f>IF(A15&lt;=12,'Premissas'!$B$24,'Premissas'!$B$25)</f>
        <v>37000</v>
      </c>
      <c r="W15" s="7">
        <f>ROUND(G15+Q15,2)</f>
        <v>58000</v>
      </c>
      <c r="X15" s="7">
        <f>ROUND(I15+Q15,2)</f>
        <v>53360</v>
      </c>
      <c r="Y15" s="7">
        <f>ROUND(L15+R15,2)</f>
        <v>40457.69</v>
      </c>
      <c r="Z15" s="7">
        <f>ROUND(SUM(M15:P15)+SUM(S15:V15),2)</f>
        <v>68604.8</v>
      </c>
      <c r="AA15" s="7">
        <f>ROUND(Y15-Z15,2)</f>
        <v>-28147.11</v>
      </c>
      <c r="AB15" s="7">
        <f>ROUND(AB14+AA15,2)</f>
        <v>-470385.72</v>
      </c>
      <c r="AC15" s="7">
        <f>ROUND(X15-J15-SUM(M15:P15)-S15-T15-ROUND(Q15*'Premissas'!$B$18,2)-V15,2)</f>
        <v>-22367.44</v>
      </c>
      <c r="AD15" s="7">
        <f>ROUND(SUM($K$5:K15)-SUM($L$5:L15)+SUM($Q$5:Q15)-SUM($R$5:R15),2)</f>
        <v>46237.36</v>
      </c>
      <c r="AE15" s="7">
        <f>MAX(0,AB15)*'Premissas'!$B$28</f>
        <v>0.0</v>
      </c>
      <c r="AF15" s="9">
        <f>IF(AB15&gt;=0,A15,999)</f>
        <v>999</v>
      </c>
      <c r="AG15" s="9">
        <f>IF(AE15&gt;=Resumo!$E$5,A15,999)</f>
        <v>999</v>
      </c>
      <c r="AH15" s="7">
        <f>AB15+Capital!$A$5</f>
        <v>-370385.72</v>
      </c>
      <c r="AI15" s="7">
        <f>AB15+Capital!$A$6</f>
        <v>-320385.72</v>
      </c>
      <c r="AJ15" s="7">
        <f>AB15+Capital!$A$7</f>
        <v>-270385.72</v>
      </c>
    </row>
    <row r="16" spans="1:36">
      <c r="A16" s="9">
        <v>12</v>
      </c>
      <c r="B16" s="10">
        <v>450</v>
      </c>
      <c r="C16" s="9">
        <f>ROUNDUP(B16/'Premissas'!$B$14,0)</f>
        <v>22500</v>
      </c>
      <c r="D16" s="10">
        <v>0</v>
      </c>
      <c r="E16" s="9">
        <f>D16*'Premissas'!$B$16</f>
        <v>0</v>
      </c>
      <c r="F16" s="7">
        <f>ROUND(B16*'Premissas'!$B$5,2)</f>
        <v>13050</v>
      </c>
      <c r="G16" s="7">
        <f>ROUND(F16*'Premissas'!$B$6,2)</f>
        <v>65250</v>
      </c>
      <c r="H16" s="7">
        <f>ROUND(G16*'Premissas'!$B$7,2)</f>
        <v>5220</v>
      </c>
      <c r="I16" s="7">
        <f>ROUND(G16-H16,2)</f>
        <v>60030</v>
      </c>
      <c r="J16" s="7">
        <f>ROUND(I16*'Premissas'!$B$8+B16*(1-'Premissas'!$B$7)*'Premissas'!$B$9*'Premissas'!$B$6,2)</f>
        <v>8012.97</v>
      </c>
      <c r="K16" s="7">
        <f>ROUND(I16-J16,2)</f>
        <v>52017.03</v>
      </c>
      <c r="L16" s="7">
        <f>IF(A16&gt;'Premissas'!$B$20,INDEX($K$5:$K$28,MAX(1,A16-'Premissas'!$B$20)),0)</f>
        <v>46237.36</v>
      </c>
      <c r="M16" s="7">
        <f>ROUND(I16*'Premissas'!$B$10,2)</f>
        <v>9004.5</v>
      </c>
      <c r="N16" s="7">
        <f>ROUND(I16*'Premissas'!$B$11,2)</f>
        <v>1800.9</v>
      </c>
      <c r="O16" s="7">
        <f>ROUND(B16*'Premissas'!$B$12*'Premissas'!$B$6,2)</f>
        <v>22500</v>
      </c>
      <c r="P16" s="7">
        <f>ROUND(B16*'Premissas'!$B$13*'Premissas'!$B$6,2)</f>
        <v>2250</v>
      </c>
      <c r="Q16" s="7">
        <f>ROUND(D16*'Premissas'!$B$15,2)</f>
        <v>0</v>
      </c>
      <c r="R16" s="7">
        <f>ROUND(Q16*'Premissas'!$B$19+Q15*(1-'Premissas'!$B$19),2)</f>
        <v>0</v>
      </c>
      <c r="S16" s="7">
        <f>ROUND(E16*'Premissas'!$B$17,2)</f>
        <v>0</v>
      </c>
      <c r="T16" s="7">
        <f>ROUND(Q16*'Premissas'!$B$10,2)</f>
        <v>0</v>
      </c>
      <c r="U16" s="7">
        <f>ROUND(R16*'Premissas'!$B$18,2)</f>
        <v>0</v>
      </c>
      <c r="V16" s="7">
        <f>IF(A16&lt;=12,'Premissas'!$B$24,'Premissas'!$B$25)</f>
        <v>37000</v>
      </c>
      <c r="W16" s="7">
        <f>ROUND(G16+Q16,2)</f>
        <v>65250</v>
      </c>
      <c r="X16" s="7">
        <f>ROUND(I16+Q16,2)</f>
        <v>60030</v>
      </c>
      <c r="Y16" s="7">
        <f>ROUND(L16+R16,2)</f>
        <v>46237.36</v>
      </c>
      <c r="Z16" s="7">
        <f>ROUND(SUM(M16:P16)+SUM(S16:V16),2)</f>
        <v>72555.4</v>
      </c>
      <c r="AA16" s="7">
        <f>ROUND(Y16-Z16,2)</f>
        <v>-26318.04</v>
      </c>
      <c r="AB16" s="7">
        <f>ROUND(AB15+AA16,2)</f>
        <v>-496703.76</v>
      </c>
      <c r="AC16" s="7">
        <f>ROUND(X16-J16-SUM(M16:P16)-S16-T16-ROUND(Q16*'Premissas'!$B$18,2)-V16,2)</f>
        <v>-20538.37</v>
      </c>
      <c r="AD16" s="7">
        <f>ROUND(SUM($K$5:K16)-SUM($L$5:L16)+SUM($Q$5:Q16)-SUM($R$5:R16),2)</f>
        <v>52017.03</v>
      </c>
      <c r="AE16" s="7">
        <f>MAX(0,AB16)*'Premissas'!$B$28</f>
        <v>0.0</v>
      </c>
      <c r="AF16" s="9">
        <f>IF(AB16&gt;=0,A16,999)</f>
        <v>999</v>
      </c>
      <c r="AG16" s="9">
        <f>IF(AE16&gt;=Resumo!$E$5,A16,999)</f>
        <v>999</v>
      </c>
      <c r="AH16" s="7">
        <f>AB16+Capital!$A$5</f>
        <v>-396703.76</v>
      </c>
      <c r="AI16" s="7">
        <f>AB16+Capital!$A$6</f>
        <v>-346703.76</v>
      </c>
      <c r="AJ16" s="7">
        <f>AB16+Capital!$A$7</f>
        <v>-296703.76</v>
      </c>
    </row>
    <row r="17" spans="1:36">
      <c r="A17" s="9">
        <v>13</v>
      </c>
      <c r="B17" s="10">
        <v>500</v>
      </c>
      <c r="C17" s="9">
        <f>ROUNDUP(B17/'Premissas'!$B$14,0)</f>
        <v>25000</v>
      </c>
      <c r="D17" s="10">
        <v>1</v>
      </c>
      <c r="E17" s="9">
        <f>D17*'Premissas'!$B$16</f>
        <v>80</v>
      </c>
      <c r="F17" s="7">
        <f>ROUND(B17*'Premissas'!$B$5,2)</f>
        <v>14500</v>
      </c>
      <c r="G17" s="7">
        <f>ROUND(F17*'Premissas'!$B$6,2)</f>
        <v>72500</v>
      </c>
      <c r="H17" s="7">
        <f>ROUND(G17*'Premissas'!$B$7,2)</f>
        <v>5800</v>
      </c>
      <c r="I17" s="7">
        <f>ROUND(G17-H17,2)</f>
        <v>66700</v>
      </c>
      <c r="J17" s="7">
        <f>ROUND(I17*'Premissas'!$B$8+B17*(1-'Premissas'!$B$7)*'Premissas'!$B$9*'Premissas'!$B$6,2)</f>
        <v>8903.3</v>
      </c>
      <c r="K17" s="7">
        <f>ROUND(I17-J17,2)</f>
        <v>57796.7</v>
      </c>
      <c r="L17" s="7">
        <f>IF(A17&gt;'Premissas'!$B$20,INDEX($K$5:$K$28,MAX(1,A17-'Premissas'!$B$20)),0)</f>
        <v>52017.03</v>
      </c>
      <c r="M17" s="7">
        <f>ROUND(I17*'Premissas'!$B$10,2)</f>
        <v>10005</v>
      </c>
      <c r="N17" s="7">
        <f>ROUND(I17*'Premissas'!$B$11,2)</f>
        <v>2001</v>
      </c>
      <c r="O17" s="7">
        <f>ROUND(B17*'Premissas'!$B$12*'Premissas'!$B$6,2)</f>
        <v>25000</v>
      </c>
      <c r="P17" s="7">
        <f>ROUND(B17*'Premissas'!$B$13*'Premissas'!$B$6,2)</f>
        <v>2500</v>
      </c>
      <c r="Q17" s="7">
        <f>ROUND(D17*'Premissas'!$B$15,2)</f>
        <v>30000</v>
      </c>
      <c r="R17" s="7">
        <f>ROUND(Q17*'Premissas'!$B$19+Q16*(1-'Premissas'!$B$19),2)</f>
        <v>15000</v>
      </c>
      <c r="S17" s="7">
        <f>ROUND(E17*'Premissas'!$B$17,2)</f>
        <v>14400</v>
      </c>
      <c r="T17" s="7">
        <f>ROUND(Q17*'Premissas'!$B$10,2)</f>
        <v>4500</v>
      </c>
      <c r="U17" s="7">
        <f>ROUND(R17*'Premissas'!$B$18,2)</f>
        <v>750</v>
      </c>
      <c r="V17" s="7">
        <f>IF(A17&lt;=12,'Premissas'!$B$24,'Premissas'!$B$25)</f>
        <v>42000</v>
      </c>
      <c r="W17" s="7">
        <f>ROUND(G17+Q17,2)</f>
        <v>102500</v>
      </c>
      <c r="X17" s="7">
        <f>ROUND(I17+Q17,2)</f>
        <v>96700</v>
      </c>
      <c r="Y17" s="7">
        <f>ROUND(L17+R17,2)</f>
        <v>67017.03</v>
      </c>
      <c r="Z17" s="7">
        <f>ROUND(SUM(M17:P17)+SUM(S17:V17),2)</f>
        <v>101156</v>
      </c>
      <c r="AA17" s="7">
        <f>ROUND(Y17-Z17,2)</f>
        <v>-34138.97</v>
      </c>
      <c r="AB17" s="7">
        <f>ROUND(AB16+AA17,2)</f>
        <v>-530842.73</v>
      </c>
      <c r="AC17" s="7">
        <f>ROUND(X17-J17-SUM(M17:P17)-S17-T17-ROUND(Q17*'Premissas'!$B$18,2)-V17,2)</f>
        <v>-14109.3</v>
      </c>
      <c r="AD17" s="7">
        <f>ROUND(SUM($K$5:K17)-SUM($L$5:L17)+SUM($Q$5:Q17)-SUM($R$5:R17),2)</f>
        <v>72796.7</v>
      </c>
      <c r="AE17" s="7">
        <f>MAX(0,AB17)*'Premissas'!$B$28</f>
        <v>0.0</v>
      </c>
      <c r="AF17" s="9">
        <f>IF(AB17&gt;=0,A17,999)</f>
        <v>999</v>
      </c>
      <c r="AG17" s="9">
        <f>IF(AE17&gt;=Resumo!$E$5,A17,999)</f>
        <v>999</v>
      </c>
      <c r="AH17" s="7">
        <f>AB17+Capital!$A$5</f>
        <v>-430842.73</v>
      </c>
      <c r="AI17" s="7">
        <f>AB17+Capital!$A$6</f>
        <v>-380842.73</v>
      </c>
      <c r="AJ17" s="7">
        <f>AB17+Capital!$A$7</f>
        <v>-330842.73</v>
      </c>
    </row>
    <row r="18" spans="1:36">
      <c r="A18" s="9">
        <v>14</v>
      </c>
      <c r="B18" s="10">
        <v>520</v>
      </c>
      <c r="C18" s="9">
        <f>ROUNDUP(B18/'Premissas'!$B$14,0)</f>
        <v>26000</v>
      </c>
      <c r="D18" s="10">
        <v>0</v>
      </c>
      <c r="E18" s="9">
        <f>D18*'Premissas'!$B$16</f>
        <v>0</v>
      </c>
      <c r="F18" s="7">
        <f>ROUND(B18*'Premissas'!$B$5,2)</f>
        <v>15080</v>
      </c>
      <c r="G18" s="7">
        <f>ROUND(F18*'Premissas'!$B$6,2)</f>
        <v>75400</v>
      </c>
      <c r="H18" s="7">
        <f>ROUND(G18*'Premissas'!$B$7,2)</f>
        <v>6032</v>
      </c>
      <c r="I18" s="7">
        <f>ROUND(G18-H18,2)</f>
        <v>69368</v>
      </c>
      <c r="J18" s="7">
        <f>ROUND(I18*'Premissas'!$B$8+B18*(1-'Premissas'!$B$7)*'Premissas'!$B$9*'Premissas'!$B$6,2)</f>
        <v>9259.43</v>
      </c>
      <c r="K18" s="7">
        <f>ROUND(I18-J18,2)</f>
        <v>60108.57</v>
      </c>
      <c r="L18" s="7">
        <f>IF(A18&gt;'Premissas'!$B$20,INDEX($K$5:$K$28,MAX(1,A18-'Premissas'!$B$20)),0)</f>
        <v>57796.7</v>
      </c>
      <c r="M18" s="7">
        <f>ROUND(I18*'Premissas'!$B$10,2)</f>
        <v>10405.2</v>
      </c>
      <c r="N18" s="7">
        <f>ROUND(I18*'Premissas'!$B$11,2)</f>
        <v>2081.04</v>
      </c>
      <c r="O18" s="7">
        <f>ROUND(B18*'Premissas'!$B$12*'Premissas'!$B$6,2)</f>
        <v>26000</v>
      </c>
      <c r="P18" s="7">
        <f>ROUND(B18*'Premissas'!$B$13*'Premissas'!$B$6,2)</f>
        <v>2600</v>
      </c>
      <c r="Q18" s="7">
        <f>ROUND(D18*'Premissas'!$B$15,2)</f>
        <v>0</v>
      </c>
      <c r="R18" s="7">
        <f>ROUND(Q18*'Premissas'!$B$19+Q17*(1-'Premissas'!$B$19),2)</f>
        <v>15000</v>
      </c>
      <c r="S18" s="7">
        <f>ROUND(E18*'Premissas'!$B$17,2)</f>
        <v>0</v>
      </c>
      <c r="T18" s="7">
        <f>ROUND(Q18*'Premissas'!$B$10,2)</f>
        <v>0</v>
      </c>
      <c r="U18" s="7">
        <f>ROUND(R18*'Premissas'!$B$18,2)</f>
        <v>750</v>
      </c>
      <c r="V18" s="7">
        <f>IF(A18&lt;=12,'Premissas'!$B$24,'Premissas'!$B$25)</f>
        <v>42000</v>
      </c>
      <c r="W18" s="7">
        <f>ROUND(G18+Q18,2)</f>
        <v>75400</v>
      </c>
      <c r="X18" s="7">
        <f>ROUND(I18+Q18,2)</f>
        <v>69368</v>
      </c>
      <c r="Y18" s="7">
        <f>ROUND(L18+R18,2)</f>
        <v>72796.7</v>
      </c>
      <c r="Z18" s="7">
        <f>ROUND(SUM(M18:P18)+SUM(S18:V18),2)</f>
        <v>83836.24</v>
      </c>
      <c r="AA18" s="7">
        <f>ROUND(Y18-Z18,2)</f>
        <v>-11039.54</v>
      </c>
      <c r="AB18" s="7">
        <f>ROUND(AB17+AA18,2)</f>
        <v>-541882.27</v>
      </c>
      <c r="AC18" s="7">
        <f>ROUND(X18-J18-SUM(M18:P18)-S18-T18-ROUND(Q18*'Premissas'!$B$18,2)-V18,2)</f>
        <v>-22977.67</v>
      </c>
      <c r="AD18" s="7">
        <f>ROUND(SUM($K$5:K18)-SUM($L$5:L18)+SUM($Q$5:Q18)-SUM($R$5:R18),2)</f>
        <v>60108.57</v>
      </c>
      <c r="AE18" s="7">
        <f>MAX(0,AB18)*'Premissas'!$B$28</f>
        <v>0.0</v>
      </c>
      <c r="AF18" s="9">
        <f>IF(AB18&gt;=0,A18,999)</f>
        <v>999</v>
      </c>
      <c r="AG18" s="9">
        <f>IF(AE18&gt;=Resumo!$E$5,A18,999)</f>
        <v>999</v>
      </c>
      <c r="AH18" s="7">
        <f>AB18+Capital!$A$5</f>
        <v>-441882.27</v>
      </c>
      <c r="AI18" s="7">
        <f>AB18+Capital!$A$6</f>
        <v>-391882.27</v>
      </c>
      <c r="AJ18" s="7">
        <f>AB18+Capital!$A$7</f>
        <v>-341882.27</v>
      </c>
    </row>
    <row r="19" spans="1:36">
      <c r="A19" s="9">
        <v>15</v>
      </c>
      <c r="B19" s="10">
        <v>540</v>
      </c>
      <c r="C19" s="9">
        <f>ROUNDUP(B19/'Premissas'!$B$14,0)</f>
        <v>27000</v>
      </c>
      <c r="D19" s="10">
        <v>0</v>
      </c>
      <c r="E19" s="9">
        <f>D19*'Premissas'!$B$16</f>
        <v>0</v>
      </c>
      <c r="F19" s="7">
        <f>ROUND(B19*'Premissas'!$B$5,2)</f>
        <v>15660</v>
      </c>
      <c r="G19" s="7">
        <f>ROUND(F19*'Premissas'!$B$6,2)</f>
        <v>78300</v>
      </c>
      <c r="H19" s="7">
        <f>ROUND(G19*'Premissas'!$B$7,2)</f>
        <v>6264</v>
      </c>
      <c r="I19" s="7">
        <f>ROUND(G19-H19,2)</f>
        <v>72036</v>
      </c>
      <c r="J19" s="7">
        <f>ROUND(I19*'Premissas'!$B$8+B19*(1-'Premissas'!$B$7)*'Premissas'!$B$9*'Premissas'!$B$6,2)</f>
        <v>9615.56</v>
      </c>
      <c r="K19" s="7">
        <f>ROUND(I19-J19,2)</f>
        <v>62420.44</v>
      </c>
      <c r="L19" s="7">
        <f>IF(A19&gt;'Premissas'!$B$20,INDEX($K$5:$K$28,MAX(1,A19-'Premissas'!$B$20)),0)</f>
        <v>60108.57</v>
      </c>
      <c r="M19" s="7">
        <f>ROUND(I19*'Premissas'!$B$10,2)</f>
        <v>10805.4</v>
      </c>
      <c r="N19" s="7">
        <f>ROUND(I19*'Premissas'!$B$11,2)</f>
        <v>2161.08</v>
      </c>
      <c r="O19" s="7">
        <f>ROUND(B19*'Premissas'!$B$12*'Premissas'!$B$6,2)</f>
        <v>27000</v>
      </c>
      <c r="P19" s="7">
        <f>ROUND(B19*'Premissas'!$B$13*'Premissas'!$B$6,2)</f>
        <v>2700</v>
      </c>
      <c r="Q19" s="7">
        <f>ROUND(D19*'Premissas'!$B$15,2)</f>
        <v>0</v>
      </c>
      <c r="R19" s="7">
        <f>ROUND(Q19*'Premissas'!$B$19+Q18*(1-'Premissas'!$B$19),2)</f>
        <v>0</v>
      </c>
      <c r="S19" s="7">
        <f>ROUND(E19*'Premissas'!$B$17,2)</f>
        <v>0</v>
      </c>
      <c r="T19" s="7">
        <f>ROUND(Q19*'Premissas'!$B$10,2)</f>
        <v>0</v>
      </c>
      <c r="U19" s="7">
        <f>ROUND(R19*'Premissas'!$B$18,2)</f>
        <v>0</v>
      </c>
      <c r="V19" s="7">
        <f>IF(A19&lt;=12,'Premissas'!$B$24,'Premissas'!$B$25)</f>
        <v>42000</v>
      </c>
      <c r="W19" s="7">
        <f>ROUND(G19+Q19,2)</f>
        <v>78300</v>
      </c>
      <c r="X19" s="7">
        <f>ROUND(I19+Q19,2)</f>
        <v>72036</v>
      </c>
      <c r="Y19" s="7">
        <f>ROUND(L19+R19,2)</f>
        <v>60108.57</v>
      </c>
      <c r="Z19" s="7">
        <f>ROUND(SUM(M19:P19)+SUM(S19:V19),2)</f>
        <v>84666.48</v>
      </c>
      <c r="AA19" s="7">
        <f>ROUND(Y19-Z19,2)</f>
        <v>-24557.91</v>
      </c>
      <c r="AB19" s="7">
        <f>ROUND(AB18+AA19,2)</f>
        <v>-566440.18</v>
      </c>
      <c r="AC19" s="7">
        <f>ROUND(X19-J19-SUM(M19:P19)-S19-T19-ROUND(Q19*'Premissas'!$B$18,2)-V19,2)</f>
        <v>-22246.04</v>
      </c>
      <c r="AD19" s="7">
        <f>ROUND(SUM($K$5:K19)-SUM($L$5:L19)+SUM($Q$5:Q19)-SUM($R$5:R19),2)</f>
        <v>62420.44</v>
      </c>
      <c r="AE19" s="7">
        <f>MAX(0,AB19)*'Premissas'!$B$28</f>
        <v>0.0</v>
      </c>
      <c r="AF19" s="9">
        <f>IF(AB19&gt;=0,A19,999)</f>
        <v>999</v>
      </c>
      <c r="AG19" s="9">
        <f>IF(AE19&gt;=Resumo!$E$5,A19,999)</f>
        <v>999</v>
      </c>
      <c r="AH19" s="7">
        <f>AB19+Capital!$A$5</f>
        <v>-466440.18000000005</v>
      </c>
      <c r="AI19" s="7">
        <f>AB19+Capital!$A$6</f>
        <v>-416440.18000000005</v>
      </c>
      <c r="AJ19" s="7">
        <f>AB19+Capital!$A$7</f>
        <v>-366440.18000000005</v>
      </c>
    </row>
    <row r="20" spans="1:36">
      <c r="A20" s="9">
        <v>16</v>
      </c>
      <c r="B20" s="10">
        <v>560</v>
      </c>
      <c r="C20" s="9">
        <f>ROUNDUP(B20/'Premissas'!$B$14,0)</f>
        <v>28000</v>
      </c>
      <c r="D20" s="10">
        <v>0</v>
      </c>
      <c r="E20" s="9">
        <f>D20*'Premissas'!$B$16</f>
        <v>0</v>
      </c>
      <c r="F20" s="7">
        <f>ROUND(B20*'Premissas'!$B$5,2)</f>
        <v>16240</v>
      </c>
      <c r="G20" s="7">
        <f>ROUND(F20*'Premissas'!$B$6,2)</f>
        <v>81200</v>
      </c>
      <c r="H20" s="7">
        <f>ROUND(G20*'Premissas'!$B$7,2)</f>
        <v>6496</v>
      </c>
      <c r="I20" s="7">
        <f>ROUND(G20-H20,2)</f>
        <v>74704</v>
      </c>
      <c r="J20" s="7">
        <f>ROUND(I20*'Premissas'!$B$8+B20*(1-'Premissas'!$B$7)*'Premissas'!$B$9*'Premissas'!$B$6,2)</f>
        <v>9971.7</v>
      </c>
      <c r="K20" s="7">
        <f>ROUND(I20-J20,2)</f>
        <v>64732.3</v>
      </c>
      <c r="L20" s="7">
        <f>IF(A20&gt;'Premissas'!$B$20,INDEX($K$5:$K$28,MAX(1,A20-'Premissas'!$B$20)),0)</f>
        <v>62420.44</v>
      </c>
      <c r="M20" s="7">
        <f>ROUND(I20*'Premissas'!$B$10,2)</f>
        <v>11205.6</v>
      </c>
      <c r="N20" s="7">
        <f>ROUND(I20*'Premissas'!$B$11,2)</f>
        <v>2241.12</v>
      </c>
      <c r="O20" s="7">
        <f>ROUND(B20*'Premissas'!$B$12*'Premissas'!$B$6,2)</f>
        <v>28000</v>
      </c>
      <c r="P20" s="7">
        <f>ROUND(B20*'Premissas'!$B$13*'Premissas'!$B$6,2)</f>
        <v>2800</v>
      </c>
      <c r="Q20" s="7">
        <f>ROUND(D20*'Premissas'!$B$15,2)</f>
        <v>0</v>
      </c>
      <c r="R20" s="7">
        <f>ROUND(Q20*'Premissas'!$B$19+Q19*(1-'Premissas'!$B$19),2)</f>
        <v>0</v>
      </c>
      <c r="S20" s="7">
        <f>ROUND(E20*'Premissas'!$B$17,2)</f>
        <v>0</v>
      </c>
      <c r="T20" s="7">
        <f>ROUND(Q20*'Premissas'!$B$10,2)</f>
        <v>0</v>
      </c>
      <c r="U20" s="7">
        <f>ROUND(R20*'Premissas'!$B$18,2)</f>
        <v>0</v>
      </c>
      <c r="V20" s="7">
        <f>IF(A20&lt;=12,'Premissas'!$B$24,'Premissas'!$B$25)</f>
        <v>42000</v>
      </c>
      <c r="W20" s="7">
        <f>ROUND(G20+Q20,2)</f>
        <v>81200</v>
      </c>
      <c r="X20" s="7">
        <f>ROUND(I20+Q20,2)</f>
        <v>74704</v>
      </c>
      <c r="Y20" s="7">
        <f>ROUND(L20+R20,2)</f>
        <v>62420.44</v>
      </c>
      <c r="Z20" s="7">
        <f>ROUND(SUM(M20:P20)+SUM(S20:V20),2)</f>
        <v>86246.72</v>
      </c>
      <c r="AA20" s="7">
        <f>ROUND(Y20-Z20,2)</f>
        <v>-23826.28</v>
      </c>
      <c r="AB20" s="7">
        <f>ROUND(AB19+AA20,2)</f>
        <v>-590266.46</v>
      </c>
      <c r="AC20" s="7">
        <f>ROUND(X20-J20-SUM(M20:P20)-S20-T20-ROUND(Q20*'Premissas'!$B$18,2)-V20,2)</f>
        <v>-21514.42</v>
      </c>
      <c r="AD20" s="7">
        <f>ROUND(SUM($K$5:K20)-SUM($L$5:L20)+SUM($Q$5:Q20)-SUM($R$5:R20),2)</f>
        <v>64732.3</v>
      </c>
      <c r="AE20" s="7">
        <f>MAX(0,AB20)*'Premissas'!$B$28</f>
        <v>0.0</v>
      </c>
      <c r="AF20" s="9">
        <f>IF(AB20&gt;=0,A20,999)</f>
        <v>999</v>
      </c>
      <c r="AG20" s="9">
        <f>IF(AE20&gt;=Resumo!$E$5,A20,999)</f>
        <v>999</v>
      </c>
      <c r="AH20" s="7">
        <f>AB20+Capital!$A$5</f>
        <v>-490266.45999999996</v>
      </c>
      <c r="AI20" s="7">
        <f>AB20+Capital!$A$6</f>
        <v>-440266.45999999996</v>
      </c>
      <c r="AJ20" s="7">
        <f>AB20+Capital!$A$7</f>
        <v>-390266.45999999996</v>
      </c>
    </row>
    <row r="21" spans="1:36">
      <c r="A21" s="9">
        <v>17</v>
      </c>
      <c r="B21" s="10">
        <v>580</v>
      </c>
      <c r="C21" s="9">
        <f>ROUNDUP(B21/'Premissas'!$B$14,0)</f>
        <v>29000</v>
      </c>
      <c r="D21" s="10">
        <v>1</v>
      </c>
      <c r="E21" s="9">
        <f>D21*'Premissas'!$B$16</f>
        <v>80</v>
      </c>
      <c r="F21" s="7">
        <f>ROUND(B21*'Premissas'!$B$5,2)</f>
        <v>16820</v>
      </c>
      <c r="G21" s="7">
        <f>ROUND(F21*'Premissas'!$B$6,2)</f>
        <v>84100</v>
      </c>
      <c r="H21" s="7">
        <f>ROUND(G21*'Premissas'!$B$7,2)</f>
        <v>6728</v>
      </c>
      <c r="I21" s="7">
        <f>ROUND(G21-H21,2)</f>
        <v>77372</v>
      </c>
      <c r="J21" s="7">
        <f>ROUND(I21*'Premissas'!$B$8+B21*(1-'Premissas'!$B$7)*'Premissas'!$B$9*'Premissas'!$B$6,2)</f>
        <v>10327.83</v>
      </c>
      <c r="K21" s="7">
        <f>ROUND(I21-J21,2)</f>
        <v>67044.17</v>
      </c>
      <c r="L21" s="7">
        <f>IF(A21&gt;'Premissas'!$B$20,INDEX($K$5:$K$28,MAX(1,A21-'Premissas'!$B$20)),0)</f>
        <v>64732.3</v>
      </c>
      <c r="M21" s="7">
        <f>ROUND(I21*'Premissas'!$B$10,2)</f>
        <v>11605.8</v>
      </c>
      <c r="N21" s="7">
        <f>ROUND(I21*'Premissas'!$B$11,2)</f>
        <v>2321.16</v>
      </c>
      <c r="O21" s="7">
        <f>ROUND(B21*'Premissas'!$B$12*'Premissas'!$B$6,2)</f>
        <v>29000</v>
      </c>
      <c r="P21" s="7">
        <f>ROUND(B21*'Premissas'!$B$13*'Premissas'!$B$6,2)</f>
        <v>2900</v>
      </c>
      <c r="Q21" s="7">
        <f>ROUND(D21*'Premissas'!$B$15,2)</f>
        <v>30000</v>
      </c>
      <c r="R21" s="7">
        <f>ROUND(Q21*'Premissas'!$B$19+Q20*(1-'Premissas'!$B$19),2)</f>
        <v>15000</v>
      </c>
      <c r="S21" s="7">
        <f>ROUND(E21*'Premissas'!$B$17,2)</f>
        <v>14400</v>
      </c>
      <c r="T21" s="7">
        <f>ROUND(Q21*'Premissas'!$B$10,2)</f>
        <v>4500</v>
      </c>
      <c r="U21" s="7">
        <f>ROUND(R21*'Premissas'!$B$18,2)</f>
        <v>750</v>
      </c>
      <c r="V21" s="7">
        <f>IF(A21&lt;=12,'Premissas'!$B$24,'Premissas'!$B$25)</f>
        <v>42000</v>
      </c>
      <c r="W21" s="7">
        <f>ROUND(G21+Q21,2)</f>
        <v>114100</v>
      </c>
      <c r="X21" s="7">
        <f>ROUND(I21+Q21,2)</f>
        <v>107372</v>
      </c>
      <c r="Y21" s="7">
        <f>ROUND(L21+R21,2)</f>
        <v>79732.3</v>
      </c>
      <c r="Z21" s="7">
        <f>ROUND(SUM(M21:P21)+SUM(S21:V21),2)</f>
        <v>107476.96</v>
      </c>
      <c r="AA21" s="7">
        <f>ROUND(Y21-Z21,2)</f>
        <v>-27744.66</v>
      </c>
      <c r="AB21" s="7">
        <f>ROUND(AB20+AA21,2)</f>
        <v>-618011.12</v>
      </c>
      <c r="AC21" s="7">
        <f>ROUND(X21-J21-SUM(M21:P21)-S21-T21-ROUND(Q21*'Premissas'!$B$18,2)-V21,2)</f>
        <v>-11182.79</v>
      </c>
      <c r="AD21" s="7">
        <f>ROUND(SUM($K$5:K21)-SUM($L$5:L21)+SUM($Q$5:Q21)-SUM($R$5:R21),2)</f>
        <v>82044.17</v>
      </c>
      <c r="AE21" s="7">
        <f>MAX(0,AB21)*'Premissas'!$B$28</f>
        <v>0.0</v>
      </c>
      <c r="AF21" s="9">
        <f>IF(AB21&gt;=0,A21,999)</f>
        <v>999</v>
      </c>
      <c r="AG21" s="9">
        <f>IF(AE21&gt;=Resumo!$E$5,A21,999)</f>
        <v>999</v>
      </c>
      <c r="AH21" s="7">
        <f>AB21+Capital!$A$5</f>
        <v>-518011.12</v>
      </c>
      <c r="AI21" s="7">
        <f>AB21+Capital!$A$6</f>
        <v>-468011.12</v>
      </c>
      <c r="AJ21" s="7">
        <f>AB21+Capital!$A$7</f>
        <v>-418011.12</v>
      </c>
    </row>
    <row r="22" spans="1:36">
      <c r="A22" s="9">
        <v>18</v>
      </c>
      <c r="B22" s="10">
        <v>600</v>
      </c>
      <c r="C22" s="9">
        <f>ROUNDUP(B22/'Premissas'!$B$14,0)</f>
        <v>30000</v>
      </c>
      <c r="D22" s="10">
        <v>0</v>
      </c>
      <c r="E22" s="9">
        <f>D22*'Premissas'!$B$16</f>
        <v>0</v>
      </c>
      <c r="F22" s="7">
        <f>ROUND(B22*'Premissas'!$B$5,2)</f>
        <v>17400</v>
      </c>
      <c r="G22" s="7">
        <f>ROUND(F22*'Premissas'!$B$6,2)</f>
        <v>87000</v>
      </c>
      <c r="H22" s="7">
        <f>ROUND(G22*'Premissas'!$B$7,2)</f>
        <v>6960</v>
      </c>
      <c r="I22" s="7">
        <f>ROUND(G22-H22,2)</f>
        <v>80040</v>
      </c>
      <c r="J22" s="7">
        <f>ROUND(I22*'Premissas'!$B$8+B22*(1-'Premissas'!$B$7)*'Premissas'!$B$9*'Premissas'!$B$6,2)</f>
        <v>10683.96</v>
      </c>
      <c r="K22" s="7">
        <f>ROUND(I22-J22,2)</f>
        <v>69356.04</v>
      </c>
      <c r="L22" s="7">
        <f>IF(A22&gt;'Premissas'!$B$20,INDEX($K$5:$K$28,MAX(1,A22-'Premissas'!$B$20)),0)</f>
        <v>67044.17</v>
      </c>
      <c r="M22" s="7">
        <f>ROUND(I22*'Premissas'!$B$10,2)</f>
        <v>12006</v>
      </c>
      <c r="N22" s="7">
        <f>ROUND(I22*'Premissas'!$B$11,2)</f>
        <v>2401.2</v>
      </c>
      <c r="O22" s="7">
        <f>ROUND(B22*'Premissas'!$B$12*'Premissas'!$B$6,2)</f>
        <v>30000</v>
      </c>
      <c r="P22" s="7">
        <f>ROUND(B22*'Premissas'!$B$13*'Premissas'!$B$6,2)</f>
        <v>3000</v>
      </c>
      <c r="Q22" s="7">
        <f>ROUND(D22*'Premissas'!$B$15,2)</f>
        <v>0</v>
      </c>
      <c r="R22" s="7">
        <f>ROUND(Q22*'Premissas'!$B$19+Q21*(1-'Premissas'!$B$19),2)</f>
        <v>15000</v>
      </c>
      <c r="S22" s="7">
        <f>ROUND(E22*'Premissas'!$B$17,2)</f>
        <v>0</v>
      </c>
      <c r="T22" s="7">
        <f>ROUND(Q22*'Premissas'!$B$10,2)</f>
        <v>0</v>
      </c>
      <c r="U22" s="7">
        <f>ROUND(R22*'Premissas'!$B$18,2)</f>
        <v>750</v>
      </c>
      <c r="V22" s="7">
        <f>IF(A22&lt;=12,'Premissas'!$B$24,'Premissas'!$B$25)</f>
        <v>42000</v>
      </c>
      <c r="W22" s="7">
        <f>ROUND(G22+Q22,2)</f>
        <v>87000</v>
      </c>
      <c r="X22" s="7">
        <f>ROUND(I22+Q22,2)</f>
        <v>80040</v>
      </c>
      <c r="Y22" s="7">
        <f>ROUND(L22+R22,2)</f>
        <v>82044.17</v>
      </c>
      <c r="Z22" s="7">
        <f>ROUND(SUM(M22:P22)+SUM(S22:V22),2)</f>
        <v>90157.2</v>
      </c>
      <c r="AA22" s="7">
        <f>ROUND(Y22-Z22,2)</f>
        <v>-8113.03</v>
      </c>
      <c r="AB22" s="7">
        <f>ROUND(AB21+AA22,2)</f>
        <v>-626124.15</v>
      </c>
      <c r="AC22" s="7">
        <f>ROUND(X22-J22-SUM(M22:P22)-S22-T22-ROUND(Q22*'Premissas'!$B$18,2)-V22,2)</f>
        <v>-20051.16</v>
      </c>
      <c r="AD22" s="7">
        <f>ROUND(SUM($K$5:K22)-SUM($L$5:L22)+SUM($Q$5:Q22)-SUM($R$5:R22),2)</f>
        <v>69356.04</v>
      </c>
      <c r="AE22" s="7">
        <f>MAX(0,AB22)*'Premissas'!$B$28</f>
        <v>0.0</v>
      </c>
      <c r="AF22" s="9">
        <f>IF(AB22&gt;=0,A22,999)</f>
        <v>999</v>
      </c>
      <c r="AG22" s="9">
        <f>IF(AE22&gt;=Resumo!$E$5,A22,999)</f>
        <v>999</v>
      </c>
      <c r="AH22" s="7">
        <f>AB22+Capital!$A$5</f>
        <v>-526124.15</v>
      </c>
      <c r="AI22" s="7">
        <f>AB22+Capital!$A$6</f>
        <v>-476124.15</v>
      </c>
      <c r="AJ22" s="7">
        <f>AB22+Capital!$A$7</f>
        <v>-426124.15</v>
      </c>
    </row>
    <row r="23" spans="1:36">
      <c r="A23" s="9">
        <v>19</v>
      </c>
      <c r="B23" s="10">
        <v>620</v>
      </c>
      <c r="C23" s="9">
        <f>ROUNDUP(B23/'Premissas'!$B$14,0)</f>
        <v>31000</v>
      </c>
      <c r="D23" s="10">
        <v>0</v>
      </c>
      <c r="E23" s="9">
        <f>D23*'Premissas'!$B$16</f>
        <v>0</v>
      </c>
      <c r="F23" s="7">
        <f>ROUND(B23*'Premissas'!$B$5,2)</f>
        <v>17980</v>
      </c>
      <c r="G23" s="7">
        <f>ROUND(F23*'Premissas'!$B$6,2)</f>
        <v>89900</v>
      </c>
      <c r="H23" s="7">
        <f>ROUND(G23*'Premissas'!$B$7,2)</f>
        <v>7192</v>
      </c>
      <c r="I23" s="7">
        <f>ROUND(G23-H23,2)</f>
        <v>82708</v>
      </c>
      <c r="J23" s="7">
        <f>ROUND(I23*'Premissas'!$B$8+B23*(1-'Premissas'!$B$7)*'Premissas'!$B$9*'Premissas'!$B$6,2)</f>
        <v>11040.09</v>
      </c>
      <c r="K23" s="7">
        <f>ROUND(I23-J23,2)</f>
        <v>71667.91</v>
      </c>
      <c r="L23" s="7">
        <f>IF(A23&gt;'Premissas'!$B$20,INDEX($K$5:$K$28,MAX(1,A23-'Premissas'!$B$20)),0)</f>
        <v>69356.04</v>
      </c>
      <c r="M23" s="7">
        <f>ROUND(I23*'Premissas'!$B$10,2)</f>
        <v>12406.2</v>
      </c>
      <c r="N23" s="7">
        <f>ROUND(I23*'Premissas'!$B$11,2)</f>
        <v>2481.24</v>
      </c>
      <c r="O23" s="7">
        <f>ROUND(B23*'Premissas'!$B$12*'Premissas'!$B$6,2)</f>
        <v>31000</v>
      </c>
      <c r="P23" s="7">
        <f>ROUND(B23*'Premissas'!$B$13*'Premissas'!$B$6,2)</f>
        <v>3100</v>
      </c>
      <c r="Q23" s="7">
        <f>ROUND(D23*'Premissas'!$B$15,2)</f>
        <v>0</v>
      </c>
      <c r="R23" s="7">
        <f>ROUND(Q23*'Premissas'!$B$19+Q22*(1-'Premissas'!$B$19),2)</f>
        <v>0</v>
      </c>
      <c r="S23" s="7">
        <f>ROUND(E23*'Premissas'!$B$17,2)</f>
        <v>0</v>
      </c>
      <c r="T23" s="7">
        <f>ROUND(Q23*'Premissas'!$B$10,2)</f>
        <v>0</v>
      </c>
      <c r="U23" s="7">
        <f>ROUND(R23*'Premissas'!$B$18,2)</f>
        <v>0</v>
      </c>
      <c r="V23" s="7">
        <f>IF(A23&lt;=12,'Premissas'!$B$24,'Premissas'!$B$25)</f>
        <v>42000</v>
      </c>
      <c r="W23" s="7">
        <f>ROUND(G23+Q23,2)</f>
        <v>89900</v>
      </c>
      <c r="X23" s="7">
        <f>ROUND(I23+Q23,2)</f>
        <v>82708</v>
      </c>
      <c r="Y23" s="7">
        <f>ROUND(L23+R23,2)</f>
        <v>69356.04</v>
      </c>
      <c r="Z23" s="7">
        <f>ROUND(SUM(M23:P23)+SUM(S23:V23),2)</f>
        <v>90987.44</v>
      </c>
      <c r="AA23" s="7">
        <f>ROUND(Y23-Z23,2)</f>
        <v>-21631.4</v>
      </c>
      <c r="AB23" s="7">
        <f>ROUND(AB22+AA23,2)</f>
        <v>-647755.55</v>
      </c>
      <c r="AC23" s="7">
        <f>ROUND(X23-J23-SUM(M23:P23)-S23-T23-ROUND(Q23*'Premissas'!$B$18,2)-V23,2)</f>
        <v>-19319.53</v>
      </c>
      <c r="AD23" s="7">
        <f>ROUND(SUM($K$5:K23)-SUM($L$5:L23)+SUM($Q$5:Q23)-SUM($R$5:R23),2)</f>
        <v>71667.91</v>
      </c>
      <c r="AE23" s="7">
        <f>MAX(0,AB23)*'Premissas'!$B$28</f>
        <v>0.0</v>
      </c>
      <c r="AF23" s="9">
        <f>IF(AB23&gt;=0,A23,999)</f>
        <v>999</v>
      </c>
      <c r="AG23" s="9">
        <f>IF(AE23&gt;=Resumo!$E$5,A23,999)</f>
        <v>999</v>
      </c>
      <c r="AH23" s="7">
        <f>AB23+Capital!$A$5</f>
        <v>-547755.55</v>
      </c>
      <c r="AI23" s="7">
        <f>AB23+Capital!$A$6</f>
        <v>-497755.55000000005</v>
      </c>
      <c r="AJ23" s="7">
        <f>AB23+Capital!$A$7</f>
        <v>-447755.55000000005</v>
      </c>
    </row>
    <row r="24" spans="1:36">
      <c r="A24" s="9">
        <v>20</v>
      </c>
      <c r="B24" s="10">
        <v>640</v>
      </c>
      <c r="C24" s="9">
        <f>ROUNDUP(B24/'Premissas'!$B$14,0)</f>
        <v>32000</v>
      </c>
      <c r="D24" s="10">
        <v>0</v>
      </c>
      <c r="E24" s="9">
        <f>D24*'Premissas'!$B$16</f>
        <v>0</v>
      </c>
      <c r="F24" s="7">
        <f>ROUND(B24*'Premissas'!$B$5,2)</f>
        <v>18560</v>
      </c>
      <c r="G24" s="7">
        <f>ROUND(F24*'Premissas'!$B$6,2)</f>
        <v>92800</v>
      </c>
      <c r="H24" s="7">
        <f>ROUND(G24*'Premissas'!$B$7,2)</f>
        <v>7424</v>
      </c>
      <c r="I24" s="7">
        <f>ROUND(G24-H24,2)</f>
        <v>85376</v>
      </c>
      <c r="J24" s="7">
        <f>ROUND(I24*'Premissas'!$B$8+B24*(1-'Premissas'!$B$7)*'Premissas'!$B$9*'Premissas'!$B$6,2)</f>
        <v>11396.22</v>
      </c>
      <c r="K24" s="7">
        <f>ROUND(I24-J24,2)</f>
        <v>73979.78</v>
      </c>
      <c r="L24" s="7">
        <f>IF(A24&gt;'Premissas'!$B$20,INDEX($K$5:$K$28,MAX(1,A24-'Premissas'!$B$20)),0)</f>
        <v>71667.91</v>
      </c>
      <c r="M24" s="7">
        <f>ROUND(I24*'Premissas'!$B$10,2)</f>
        <v>12806.4</v>
      </c>
      <c r="N24" s="7">
        <f>ROUND(I24*'Premissas'!$B$11,2)</f>
        <v>2561.28</v>
      </c>
      <c r="O24" s="7">
        <f>ROUND(B24*'Premissas'!$B$12*'Premissas'!$B$6,2)</f>
        <v>32000</v>
      </c>
      <c r="P24" s="7">
        <f>ROUND(B24*'Premissas'!$B$13*'Premissas'!$B$6,2)</f>
        <v>3200</v>
      </c>
      <c r="Q24" s="7">
        <f>ROUND(D24*'Premissas'!$B$15,2)</f>
        <v>0</v>
      </c>
      <c r="R24" s="7">
        <f>ROUND(Q24*'Premissas'!$B$19+Q23*(1-'Premissas'!$B$19),2)</f>
        <v>0</v>
      </c>
      <c r="S24" s="7">
        <f>ROUND(E24*'Premissas'!$B$17,2)</f>
        <v>0</v>
      </c>
      <c r="T24" s="7">
        <f>ROUND(Q24*'Premissas'!$B$10,2)</f>
        <v>0</v>
      </c>
      <c r="U24" s="7">
        <f>ROUND(R24*'Premissas'!$B$18,2)</f>
        <v>0</v>
      </c>
      <c r="V24" s="7">
        <f>IF(A24&lt;=12,'Premissas'!$B$24,'Premissas'!$B$25)</f>
        <v>42000</v>
      </c>
      <c r="W24" s="7">
        <f>ROUND(G24+Q24,2)</f>
        <v>92800</v>
      </c>
      <c r="X24" s="7">
        <f>ROUND(I24+Q24,2)</f>
        <v>85376</v>
      </c>
      <c r="Y24" s="7">
        <f>ROUND(L24+R24,2)</f>
        <v>71667.91</v>
      </c>
      <c r="Z24" s="7">
        <f>ROUND(SUM(M24:P24)+SUM(S24:V24),2)</f>
        <v>92567.68</v>
      </c>
      <c r="AA24" s="7">
        <f>ROUND(Y24-Z24,2)</f>
        <v>-20899.77</v>
      </c>
      <c r="AB24" s="7">
        <f>ROUND(AB23+AA24,2)</f>
        <v>-668655.32</v>
      </c>
      <c r="AC24" s="7">
        <f>ROUND(X24-J24-SUM(M24:P24)-S24-T24-ROUND(Q24*'Premissas'!$B$18,2)-V24,2)</f>
        <v>-18587.9</v>
      </c>
      <c r="AD24" s="7">
        <f>ROUND(SUM($K$5:K24)-SUM($L$5:L24)+SUM($Q$5:Q24)-SUM($R$5:R24),2)</f>
        <v>73979.78</v>
      </c>
      <c r="AE24" s="7">
        <f>MAX(0,AB24)*'Premissas'!$B$28</f>
        <v>0.0</v>
      </c>
      <c r="AF24" s="9">
        <f>IF(AB24&gt;=0,A24,999)</f>
        <v>999</v>
      </c>
      <c r="AG24" s="9">
        <f>IF(AE24&gt;=Resumo!$E$5,A24,999)</f>
        <v>999</v>
      </c>
      <c r="AH24" s="7">
        <f>AB24+Capital!$A$5</f>
        <v>-568655.32</v>
      </c>
      <c r="AI24" s="7">
        <f>AB24+Capital!$A$6</f>
        <v>-518655.31999999995</v>
      </c>
      <c r="AJ24" s="7">
        <f>AB24+Capital!$A$7</f>
        <v>-468655.31999999995</v>
      </c>
    </row>
    <row r="25" spans="1:36">
      <c r="A25" s="9">
        <v>21</v>
      </c>
      <c r="B25" s="10">
        <v>660</v>
      </c>
      <c r="C25" s="9">
        <f>ROUNDUP(B25/'Premissas'!$B$14,0)</f>
        <v>33000</v>
      </c>
      <c r="D25" s="10">
        <v>1</v>
      </c>
      <c r="E25" s="9">
        <f>D25*'Premissas'!$B$16</f>
        <v>80</v>
      </c>
      <c r="F25" s="7">
        <f>ROUND(B25*'Premissas'!$B$5,2)</f>
        <v>19140</v>
      </c>
      <c r="G25" s="7">
        <f>ROUND(F25*'Premissas'!$B$6,2)</f>
        <v>95700</v>
      </c>
      <c r="H25" s="7">
        <f>ROUND(G25*'Premissas'!$B$7,2)</f>
        <v>7656</v>
      </c>
      <c r="I25" s="7">
        <f>ROUND(G25-H25,2)</f>
        <v>88044</v>
      </c>
      <c r="J25" s="7">
        <f>ROUND(I25*'Premissas'!$B$8+B25*(1-'Premissas'!$B$7)*'Premissas'!$B$9*'Premissas'!$B$6,2)</f>
        <v>11752.36</v>
      </c>
      <c r="K25" s="7">
        <f>ROUND(I25-J25,2)</f>
        <v>76291.64</v>
      </c>
      <c r="L25" s="7">
        <f>IF(A25&gt;'Premissas'!$B$20,INDEX($K$5:$K$28,MAX(1,A25-'Premissas'!$B$20)),0)</f>
        <v>73979.78</v>
      </c>
      <c r="M25" s="7">
        <f>ROUND(I25*'Premissas'!$B$10,2)</f>
        <v>13206.6</v>
      </c>
      <c r="N25" s="7">
        <f>ROUND(I25*'Premissas'!$B$11,2)</f>
        <v>2641.32</v>
      </c>
      <c r="O25" s="7">
        <f>ROUND(B25*'Premissas'!$B$12*'Premissas'!$B$6,2)</f>
        <v>33000</v>
      </c>
      <c r="P25" s="7">
        <f>ROUND(B25*'Premissas'!$B$13*'Premissas'!$B$6,2)</f>
        <v>3300</v>
      </c>
      <c r="Q25" s="7">
        <f>ROUND(D25*'Premissas'!$B$15,2)</f>
        <v>30000</v>
      </c>
      <c r="R25" s="7">
        <f>ROUND(Q25*'Premissas'!$B$19+Q24*(1-'Premissas'!$B$19),2)</f>
        <v>15000</v>
      </c>
      <c r="S25" s="7">
        <f>ROUND(E25*'Premissas'!$B$17,2)</f>
        <v>14400</v>
      </c>
      <c r="T25" s="7">
        <f>ROUND(Q25*'Premissas'!$B$10,2)</f>
        <v>4500</v>
      </c>
      <c r="U25" s="7">
        <f>ROUND(R25*'Premissas'!$B$18,2)</f>
        <v>750</v>
      </c>
      <c r="V25" s="7">
        <f>IF(A25&lt;=12,'Premissas'!$B$24,'Premissas'!$B$25)</f>
        <v>42000</v>
      </c>
      <c r="W25" s="7">
        <f>ROUND(G25+Q25,2)</f>
        <v>125700</v>
      </c>
      <c r="X25" s="7">
        <f>ROUND(I25+Q25,2)</f>
        <v>118044</v>
      </c>
      <c r="Y25" s="7">
        <f>ROUND(L25+R25,2)</f>
        <v>88979.78</v>
      </c>
      <c r="Z25" s="7">
        <f>ROUND(SUM(M25:P25)+SUM(S25:V25),2)</f>
        <v>113797.92</v>
      </c>
      <c r="AA25" s="7">
        <f>ROUND(Y25-Z25,2)</f>
        <v>-24818.14</v>
      </c>
      <c r="AB25" s="7">
        <f>ROUND(AB24+AA25,2)</f>
        <v>-693473.46</v>
      </c>
      <c r="AC25" s="7">
        <f>ROUND(X25-J25-SUM(M25:P25)-S25-T25-ROUND(Q25*'Premissas'!$B$18,2)-V25,2)</f>
        <v>-8256.28</v>
      </c>
      <c r="AD25" s="7">
        <f>ROUND(SUM($K$5:K25)-SUM($L$5:L25)+SUM($Q$5:Q25)-SUM($R$5:R25),2)</f>
        <v>91291.64</v>
      </c>
      <c r="AE25" s="7">
        <f>MAX(0,AB25)*'Premissas'!$B$28</f>
        <v>0.0</v>
      </c>
      <c r="AF25" s="9">
        <f>IF(AB25&gt;=0,A25,999)</f>
        <v>999</v>
      </c>
      <c r="AG25" s="9">
        <f>IF(AE25&gt;=Resumo!$E$5,A25,999)</f>
        <v>999</v>
      </c>
      <c r="AH25" s="7">
        <f>AB25+Capital!$A$5</f>
        <v>-593473.46</v>
      </c>
      <c r="AI25" s="7">
        <f>AB25+Capital!$A$6</f>
        <v>-543473.46</v>
      </c>
      <c r="AJ25" s="7">
        <f>AB25+Capital!$A$7</f>
        <v>-493473.45999999996</v>
      </c>
    </row>
    <row r="26" spans="1:36">
      <c r="A26" s="9">
        <v>22</v>
      </c>
      <c r="B26" s="10">
        <v>680</v>
      </c>
      <c r="C26" s="9">
        <f>ROUNDUP(B26/'Premissas'!$B$14,0)</f>
        <v>34000</v>
      </c>
      <c r="D26" s="10">
        <v>0</v>
      </c>
      <c r="E26" s="9">
        <f>D26*'Premissas'!$B$16</f>
        <v>0</v>
      </c>
      <c r="F26" s="7">
        <f>ROUND(B26*'Premissas'!$B$5,2)</f>
        <v>19720</v>
      </c>
      <c r="G26" s="7">
        <f>ROUND(F26*'Premissas'!$B$6,2)</f>
        <v>98600</v>
      </c>
      <c r="H26" s="7">
        <f>ROUND(G26*'Premissas'!$B$7,2)</f>
        <v>7888</v>
      </c>
      <c r="I26" s="7">
        <f>ROUND(G26-H26,2)</f>
        <v>90712</v>
      </c>
      <c r="J26" s="7">
        <f>ROUND(I26*'Premissas'!$B$8+B26*(1-'Premissas'!$B$7)*'Premissas'!$B$9*'Premissas'!$B$6,2)</f>
        <v>12108.49</v>
      </c>
      <c r="K26" s="7">
        <f>ROUND(I26-J26,2)</f>
        <v>78603.51</v>
      </c>
      <c r="L26" s="7">
        <f>IF(A26&gt;'Premissas'!$B$20,INDEX($K$5:$K$28,MAX(1,A26-'Premissas'!$B$20)),0)</f>
        <v>76291.64</v>
      </c>
      <c r="M26" s="7">
        <f>ROUND(I26*'Premissas'!$B$10,2)</f>
        <v>13606.8</v>
      </c>
      <c r="N26" s="7">
        <f>ROUND(I26*'Premissas'!$B$11,2)</f>
        <v>2721.36</v>
      </c>
      <c r="O26" s="7">
        <f>ROUND(B26*'Premissas'!$B$12*'Premissas'!$B$6,2)</f>
        <v>34000</v>
      </c>
      <c r="P26" s="7">
        <f>ROUND(B26*'Premissas'!$B$13*'Premissas'!$B$6,2)</f>
        <v>3400</v>
      </c>
      <c r="Q26" s="7">
        <f>ROUND(D26*'Premissas'!$B$15,2)</f>
        <v>0</v>
      </c>
      <c r="R26" s="7">
        <f>ROUND(Q26*'Premissas'!$B$19+Q25*(1-'Premissas'!$B$19),2)</f>
        <v>15000</v>
      </c>
      <c r="S26" s="7">
        <f>ROUND(E26*'Premissas'!$B$17,2)</f>
        <v>0</v>
      </c>
      <c r="T26" s="7">
        <f>ROUND(Q26*'Premissas'!$B$10,2)</f>
        <v>0</v>
      </c>
      <c r="U26" s="7">
        <f>ROUND(R26*'Premissas'!$B$18,2)</f>
        <v>750</v>
      </c>
      <c r="V26" s="7">
        <f>IF(A26&lt;=12,'Premissas'!$B$24,'Premissas'!$B$25)</f>
        <v>42000</v>
      </c>
      <c r="W26" s="7">
        <f>ROUND(G26+Q26,2)</f>
        <v>98600</v>
      </c>
      <c r="X26" s="7">
        <f>ROUND(I26+Q26,2)</f>
        <v>90712</v>
      </c>
      <c r="Y26" s="7">
        <f>ROUND(L26+R26,2)</f>
        <v>91291.64</v>
      </c>
      <c r="Z26" s="7">
        <f>ROUND(SUM(M26:P26)+SUM(S26:V26),2)</f>
        <v>96478.16</v>
      </c>
      <c r="AA26" s="7">
        <f>ROUND(Y26-Z26,2)</f>
        <v>-5186.52</v>
      </c>
      <c r="AB26" s="7">
        <f>ROUND(AB25+AA26,2)</f>
        <v>-698659.98</v>
      </c>
      <c r="AC26" s="7">
        <f>ROUND(X26-J26-SUM(M26:P26)-S26-T26-ROUND(Q26*'Premissas'!$B$18,2)-V26,2)</f>
        <v>-17124.65</v>
      </c>
      <c r="AD26" s="7">
        <f>ROUND(SUM($K$5:K26)-SUM($L$5:L26)+SUM($Q$5:Q26)-SUM($R$5:R26),2)</f>
        <v>78603.51</v>
      </c>
      <c r="AE26" s="7">
        <f>MAX(0,AB26)*'Premissas'!$B$28</f>
        <v>0.0</v>
      </c>
      <c r="AF26" s="9">
        <f>IF(AB26&gt;=0,A26,999)</f>
        <v>999</v>
      </c>
      <c r="AG26" s="9">
        <f>IF(AE26&gt;=Resumo!$E$5,A26,999)</f>
        <v>999</v>
      </c>
      <c r="AH26" s="7">
        <f>AB26+Capital!$A$5</f>
        <v>-598659.98</v>
      </c>
      <c r="AI26" s="7">
        <f>AB26+Capital!$A$6</f>
        <v>-548659.98</v>
      </c>
      <c r="AJ26" s="7">
        <f>AB26+Capital!$A$7</f>
        <v>-498659.98</v>
      </c>
    </row>
    <row r="27" spans="1:36">
      <c r="A27" s="9">
        <v>23</v>
      </c>
      <c r="B27" s="10">
        <v>700</v>
      </c>
      <c r="C27" s="9">
        <f>ROUNDUP(B27/'Premissas'!$B$14,0)</f>
        <v>35000</v>
      </c>
      <c r="D27" s="10">
        <v>0</v>
      </c>
      <c r="E27" s="9">
        <f>D27*'Premissas'!$B$16</f>
        <v>0</v>
      </c>
      <c r="F27" s="7">
        <f>ROUND(B27*'Premissas'!$B$5,2)</f>
        <v>20300</v>
      </c>
      <c r="G27" s="7">
        <f>ROUND(F27*'Premissas'!$B$6,2)</f>
        <v>101500</v>
      </c>
      <c r="H27" s="7">
        <f>ROUND(G27*'Premissas'!$B$7,2)</f>
        <v>8120</v>
      </c>
      <c r="I27" s="7">
        <f>ROUND(G27-H27,2)</f>
        <v>93380</v>
      </c>
      <c r="J27" s="7">
        <f>ROUND(I27*'Premissas'!$B$8+B27*(1-'Premissas'!$B$7)*'Premissas'!$B$9*'Premissas'!$B$6,2)</f>
        <v>12464.62</v>
      </c>
      <c r="K27" s="7">
        <f>ROUND(I27-J27,2)</f>
        <v>80915.38</v>
      </c>
      <c r="L27" s="7">
        <f>IF(A27&gt;'Premissas'!$B$20,INDEX($K$5:$K$28,MAX(1,A27-'Premissas'!$B$20)),0)</f>
        <v>78603.51</v>
      </c>
      <c r="M27" s="7">
        <f>ROUND(I27*'Premissas'!$B$10,2)</f>
        <v>14007</v>
      </c>
      <c r="N27" s="7">
        <f>ROUND(I27*'Premissas'!$B$11,2)</f>
        <v>2801.4</v>
      </c>
      <c r="O27" s="7">
        <f>ROUND(B27*'Premissas'!$B$12*'Premissas'!$B$6,2)</f>
        <v>35000</v>
      </c>
      <c r="P27" s="7">
        <f>ROUND(B27*'Premissas'!$B$13*'Premissas'!$B$6,2)</f>
        <v>3500</v>
      </c>
      <c r="Q27" s="7">
        <f>ROUND(D27*'Premissas'!$B$15,2)</f>
        <v>0</v>
      </c>
      <c r="R27" s="7">
        <f>ROUND(Q27*'Premissas'!$B$19+Q26*(1-'Premissas'!$B$19),2)</f>
        <v>0</v>
      </c>
      <c r="S27" s="7">
        <f>ROUND(E27*'Premissas'!$B$17,2)</f>
        <v>0</v>
      </c>
      <c r="T27" s="7">
        <f>ROUND(Q27*'Premissas'!$B$10,2)</f>
        <v>0</v>
      </c>
      <c r="U27" s="7">
        <f>ROUND(R27*'Premissas'!$B$18,2)</f>
        <v>0</v>
      </c>
      <c r="V27" s="7">
        <f>IF(A27&lt;=12,'Premissas'!$B$24,'Premissas'!$B$25)</f>
        <v>42000</v>
      </c>
      <c r="W27" s="7">
        <f>ROUND(G27+Q27,2)</f>
        <v>101500</v>
      </c>
      <c r="X27" s="7">
        <f>ROUND(I27+Q27,2)</f>
        <v>93380</v>
      </c>
      <c r="Y27" s="7">
        <f>ROUND(L27+R27,2)</f>
        <v>78603.51</v>
      </c>
      <c r="Z27" s="7">
        <f>ROUND(SUM(M27:P27)+SUM(S27:V27),2)</f>
        <v>97308.4</v>
      </c>
      <c r="AA27" s="7">
        <f>ROUND(Y27-Z27,2)</f>
        <v>-18704.89</v>
      </c>
      <c r="AB27" s="7">
        <f>ROUND(AB26+AA27,2)</f>
        <v>-717364.87</v>
      </c>
      <c r="AC27" s="7">
        <f>ROUND(X27-J27-SUM(M27:P27)-S27-T27-ROUND(Q27*'Premissas'!$B$18,2)-V27,2)</f>
        <v>-16393.02</v>
      </c>
      <c r="AD27" s="7">
        <f>ROUND(SUM($K$5:K27)-SUM($L$5:L27)+SUM($Q$5:Q27)-SUM($R$5:R27),2)</f>
        <v>80915.38</v>
      </c>
      <c r="AE27" s="7">
        <f>MAX(0,AB27)*'Premissas'!$B$28</f>
        <v>0.0</v>
      </c>
      <c r="AF27" s="9">
        <f>IF(AB27&gt;=0,A27,999)</f>
        <v>999</v>
      </c>
      <c r="AG27" s="9">
        <f>IF(AE27&gt;=Resumo!$E$5,A27,999)</f>
        <v>999</v>
      </c>
      <c r="AH27" s="7">
        <f>AB27+Capital!$A$5</f>
        <v>-617364.87</v>
      </c>
      <c r="AI27" s="7">
        <f>AB27+Capital!$A$6</f>
        <v>-567364.87</v>
      </c>
      <c r="AJ27" s="7">
        <f>AB27+Capital!$A$7</f>
        <v>-517364.87</v>
      </c>
    </row>
    <row r="28" spans="1:36">
      <c r="A28" s="9">
        <v>24</v>
      </c>
      <c r="B28" s="10">
        <v>750</v>
      </c>
      <c r="C28" s="9">
        <f>ROUNDUP(B28/'Premissas'!$B$14,0)</f>
        <v>37500</v>
      </c>
      <c r="D28" s="10">
        <v>0</v>
      </c>
      <c r="E28" s="9">
        <f>D28*'Premissas'!$B$16</f>
        <v>0</v>
      </c>
      <c r="F28" s="7">
        <f>ROUND(B28*'Premissas'!$B$5,2)</f>
        <v>21750</v>
      </c>
      <c r="G28" s="7">
        <f>ROUND(F28*'Premissas'!$B$6,2)</f>
        <v>108750</v>
      </c>
      <c r="H28" s="7">
        <f>ROUND(G28*'Premissas'!$B$7,2)</f>
        <v>8700</v>
      </c>
      <c r="I28" s="7">
        <f>ROUND(G28-H28,2)</f>
        <v>100050</v>
      </c>
      <c r="J28" s="7">
        <f>ROUND(I28*'Premissas'!$B$8+B28*(1-'Premissas'!$B$7)*'Premissas'!$B$9*'Premissas'!$B$6,2)</f>
        <v>13354.95</v>
      </c>
      <c r="K28" s="7">
        <f>ROUND(I28-J28,2)</f>
        <v>86695.05</v>
      </c>
      <c r="L28" s="7">
        <f>IF(A28&gt;'Premissas'!$B$20,INDEX($K$5:$K$28,MAX(1,A28-'Premissas'!$B$20)),0)</f>
        <v>80915.38</v>
      </c>
      <c r="M28" s="7">
        <f>ROUND(I28*'Premissas'!$B$10,2)</f>
        <v>15007.5</v>
      </c>
      <c r="N28" s="7">
        <f>ROUND(I28*'Premissas'!$B$11,2)</f>
        <v>3001.5</v>
      </c>
      <c r="O28" s="7">
        <f>ROUND(B28*'Premissas'!$B$12*'Premissas'!$B$6,2)</f>
        <v>37500</v>
      </c>
      <c r="P28" s="7">
        <f>ROUND(B28*'Premissas'!$B$13*'Premissas'!$B$6,2)</f>
        <v>3750</v>
      </c>
      <c r="Q28" s="7">
        <f>ROUND(D28*'Premissas'!$B$15,2)</f>
        <v>0</v>
      </c>
      <c r="R28" s="7">
        <f>ROUND(Q28*'Premissas'!$B$19+Q27*(1-'Premissas'!$B$19),2)</f>
        <v>0</v>
      </c>
      <c r="S28" s="7">
        <f>ROUND(E28*'Premissas'!$B$17,2)</f>
        <v>0</v>
      </c>
      <c r="T28" s="7">
        <f>ROUND(Q28*'Premissas'!$B$10,2)</f>
        <v>0</v>
      </c>
      <c r="U28" s="7">
        <f>ROUND(R28*'Premissas'!$B$18,2)</f>
        <v>0</v>
      </c>
      <c r="V28" s="7">
        <f>IF(A28&lt;=12,'Premissas'!$B$24,'Premissas'!$B$25)</f>
        <v>42000</v>
      </c>
      <c r="W28" s="7">
        <f>ROUND(G28+Q28,2)</f>
        <v>108750</v>
      </c>
      <c r="X28" s="7">
        <f>ROUND(I28+Q28,2)</f>
        <v>100050</v>
      </c>
      <c r="Y28" s="7">
        <f>ROUND(L28+R28,2)</f>
        <v>80915.38</v>
      </c>
      <c r="Z28" s="7">
        <f>ROUND(SUM(M28:P28)+SUM(S28:V28),2)</f>
        <v>101259</v>
      </c>
      <c r="AA28" s="7">
        <f>ROUND(Y28-Z28,2)</f>
        <v>-20343.62</v>
      </c>
      <c r="AB28" s="7">
        <f>ROUND(AB27+AA28,2)</f>
        <v>-737708.49</v>
      </c>
      <c r="AC28" s="7">
        <f>ROUND(X28-J28-SUM(M28:P28)-S28-T28-ROUND(Q28*'Premissas'!$B$18,2)-V28,2)</f>
        <v>-14563.95</v>
      </c>
      <c r="AD28" s="7">
        <f>ROUND(SUM($K$5:K28)-SUM($L$5:L28)+SUM($Q$5:Q28)-SUM($R$5:R28),2)</f>
        <v>86695.05</v>
      </c>
      <c r="AE28" s="7">
        <f>MAX(0,AB28)*'Premissas'!$B$28</f>
        <v>0.0</v>
      </c>
      <c r="AF28" s="9">
        <f>IF(AB28&gt;=0,A28,999)</f>
        <v>999</v>
      </c>
      <c r="AG28" s="9">
        <f>IF(AE28&gt;=Resumo!$E$5,A28,999)</f>
        <v>999</v>
      </c>
      <c r="AH28" s="7">
        <f>AB28+Capital!$A$5</f>
        <v>-637708.49</v>
      </c>
      <c r="AI28" s="7">
        <f>AB28+Capital!$A$6</f>
        <v>-587708.49</v>
      </c>
      <c r="AJ28" s="7">
        <f>AB28+Capital!$A$7</f>
        <v>-537708.49</v>
      </c>
    </row>
  </sheetData>
  <autoFilter ref="A4:AD28"/>
  <mergeCells count="2">
    <mergeCell ref="A1:AJ1"/>
    <mergeCell ref="A2:AJ2"/>
  </mergeCells>
  <conditionalFormatting sqref="AB5:AB28">
    <cfRule type="cellIs" dxfId="0" priority="1" operator="lessThan">
      <formula>0</formula>
    </cfRule>
  </conditionalFormatting>
  <dataValidations count="48">
    <dataValidation type="whole" operator="greaterThanOrEqual" allowBlank="1" showInputMessage="1" showErrorMessage="1" sqref="B5">
      <formula1>0</formula1>
    </dataValidation>
    <dataValidation type="whole" operator="greaterThanOrEqual" allowBlank="1" showInputMessage="1" showErrorMessage="1" sqref="D5">
      <formula1>0</formula1>
    </dataValidation>
    <dataValidation type="whole" operator="greaterThanOrEqual" allowBlank="1" showInputMessage="1" showErrorMessage="1" sqref="B6">
      <formula1>0</formula1>
    </dataValidation>
    <dataValidation type="whole" operator="greaterThanOrEqual" allowBlank="1" showInputMessage="1" showErrorMessage="1" sqref="D6">
      <formula1>0</formula1>
    </dataValidation>
    <dataValidation type="whole" operator="greaterThanOrEqual" allowBlank="1" showInputMessage="1" showErrorMessage="1" sqref="B7">
      <formula1>0</formula1>
    </dataValidation>
    <dataValidation type="whole" operator="greaterThanOrEqual" allowBlank="1" showInputMessage="1" showErrorMessage="1" sqref="D7">
      <formula1>0</formula1>
    </dataValidation>
    <dataValidation type="whole" operator="greaterThanOrEqual" allowBlank="1" showInputMessage="1" showErrorMessage="1" sqref="B8">
      <formula1>0</formula1>
    </dataValidation>
    <dataValidation type="whole" operator="greaterThanOrEqual" allowBlank="1" showInputMessage="1" showErrorMessage="1" sqref="D8">
      <formula1>0</formula1>
    </dataValidation>
    <dataValidation type="whole" operator="greaterThanOrEqual" allowBlank="1" showInputMessage="1" showErrorMessage="1" sqref="B9">
      <formula1>0</formula1>
    </dataValidation>
    <dataValidation type="whole" operator="greaterThanOrEqual" allowBlank="1" showInputMessage="1" showErrorMessage="1" sqref="D9">
      <formula1>0</formula1>
    </dataValidation>
    <dataValidation type="whole" operator="greaterThanOrEqual" allowBlank="1" showInputMessage="1" showErrorMessage="1" sqref="B10">
      <formula1>0</formula1>
    </dataValidation>
    <dataValidation type="whole" operator="greaterThanOrEqual" allowBlank="1" showInputMessage="1" showErrorMessage="1" sqref="D10">
      <formula1>0</formula1>
    </dataValidation>
    <dataValidation type="whole" operator="greaterThanOrEqual" allowBlank="1" showInputMessage="1" showErrorMessage="1" sqref="B11">
      <formula1>0</formula1>
    </dataValidation>
    <dataValidation type="whole" operator="greaterThanOrEqual" allowBlank="1" showInputMessage="1" showErrorMessage="1" sqref="D11">
      <formula1>0</formula1>
    </dataValidation>
    <dataValidation type="whole" operator="greaterThanOrEqual" allowBlank="1" showInputMessage="1" showErrorMessage="1" sqref="B12">
      <formula1>0</formula1>
    </dataValidation>
    <dataValidation type="whole" operator="greaterThanOrEqual" allowBlank="1" showInputMessage="1" showErrorMessage="1" sqref="D12">
      <formula1>0</formula1>
    </dataValidation>
    <dataValidation type="whole" operator="greaterThanOrEqual" allowBlank="1" showInputMessage="1" showErrorMessage="1" sqref="B13">
      <formula1>0</formula1>
    </dataValidation>
    <dataValidation type="whole" operator="greaterThanOrEqual" allowBlank="1" showInputMessage="1" showErrorMessage="1" sqref="D13">
      <formula1>0</formula1>
    </dataValidation>
    <dataValidation type="whole" operator="greaterThanOrEqual" allowBlank="1" showInputMessage="1" showErrorMessage="1" sqref="B14">
      <formula1>0</formula1>
    </dataValidation>
    <dataValidation type="whole" operator="greaterThanOrEqual" allowBlank="1" showInputMessage="1" showErrorMessage="1" sqref="D14">
      <formula1>0</formula1>
    </dataValidation>
    <dataValidation type="whole" operator="greaterThanOrEqual" allowBlank="1" showInputMessage="1" showErrorMessage="1" sqref="B15">
      <formula1>0</formula1>
    </dataValidation>
    <dataValidation type="whole" operator="greaterThanOrEqual" allowBlank="1" showInputMessage="1" showErrorMessage="1" sqref="D15">
      <formula1>0</formula1>
    </dataValidation>
    <dataValidation type="whole" operator="greaterThanOrEqual" allowBlank="1" showInputMessage="1" showErrorMessage="1" sqref="B16">
      <formula1>0</formula1>
    </dataValidation>
    <dataValidation type="whole" operator="greaterThanOrEqual" allowBlank="1" showInputMessage="1" showErrorMessage="1" sqref="D16">
      <formula1>0</formula1>
    </dataValidation>
    <dataValidation type="whole" operator="greaterThanOrEqual" allowBlank="1" showInputMessage="1" showErrorMessage="1" sqref="B17">
      <formula1>0</formula1>
    </dataValidation>
    <dataValidation type="whole" operator="greaterThanOrEqual" allowBlank="1" showInputMessage="1" showErrorMessage="1" sqref="D17">
      <formula1>0</formula1>
    </dataValidation>
    <dataValidation type="whole" operator="greaterThanOrEqual" allowBlank="1" showInputMessage="1" showErrorMessage="1" sqref="B18">
      <formula1>0</formula1>
    </dataValidation>
    <dataValidation type="whole" operator="greaterThanOrEqual" allowBlank="1" showInputMessage="1" showErrorMessage="1" sqref="D18">
      <formula1>0</formula1>
    </dataValidation>
    <dataValidation type="whole" operator="greaterThanOrEqual" allowBlank="1" showInputMessage="1" showErrorMessage="1" sqref="B19">
      <formula1>0</formula1>
    </dataValidation>
    <dataValidation type="whole" operator="greaterThanOrEqual" allowBlank="1" showInputMessage="1" showErrorMessage="1" sqref="D19">
      <formula1>0</formula1>
    </dataValidation>
    <dataValidation type="whole" operator="greaterThanOrEqual" allowBlank="1" showInputMessage="1" showErrorMessage="1" sqref="B20">
      <formula1>0</formula1>
    </dataValidation>
    <dataValidation type="whole" operator="greaterThanOrEqual" allowBlank="1" showInputMessage="1" showErrorMessage="1" sqref="D20">
      <formula1>0</formula1>
    </dataValidation>
    <dataValidation type="whole" operator="greaterThanOrEqual" allowBlank="1" showInputMessage="1" showErrorMessage="1" sqref="B21">
      <formula1>0</formula1>
    </dataValidation>
    <dataValidation type="whole" operator="greaterThanOrEqual" allowBlank="1" showInputMessage="1" showErrorMessage="1" sqref="D21">
      <formula1>0</formula1>
    </dataValidation>
    <dataValidation type="whole" operator="greaterThanOrEqual" allowBlank="1" showInputMessage="1" showErrorMessage="1" sqref="B22">
      <formula1>0</formula1>
    </dataValidation>
    <dataValidation type="whole" operator="greaterThanOrEqual" allowBlank="1" showInputMessage="1" showErrorMessage="1" sqref="D22">
      <formula1>0</formula1>
    </dataValidation>
    <dataValidation type="whole" operator="greaterThanOrEqual" allowBlank="1" showInputMessage="1" showErrorMessage="1" sqref="B23">
      <formula1>0</formula1>
    </dataValidation>
    <dataValidation type="whole" operator="greaterThanOrEqual" allowBlank="1" showInputMessage="1" showErrorMessage="1" sqref="D23">
      <formula1>0</formula1>
    </dataValidation>
    <dataValidation type="whole" operator="greaterThanOrEqual" allowBlank="1" showInputMessage="1" showErrorMessage="1" sqref="B24">
      <formula1>0</formula1>
    </dataValidation>
    <dataValidation type="whole" operator="greaterThanOrEqual" allowBlank="1" showInputMessage="1" showErrorMessage="1" sqref="D24">
      <formula1>0</formula1>
    </dataValidation>
    <dataValidation type="whole" operator="greaterThanOrEqual" allowBlank="1" showInputMessage="1" showErrorMessage="1" sqref="B25">
      <formula1>0</formula1>
    </dataValidation>
    <dataValidation type="whole" operator="greaterThanOrEqual" allowBlank="1" showInputMessage="1" showErrorMessage="1" sqref="D25">
      <formula1>0</formula1>
    </dataValidation>
    <dataValidation type="whole" operator="greaterThanOrEqual" allowBlank="1" showInputMessage="1" showErrorMessage="1" sqref="B26">
      <formula1>0</formula1>
    </dataValidation>
    <dataValidation type="whole" operator="greaterThanOrEqual" allowBlank="1" showInputMessage="1" showErrorMessage="1" sqref="D26">
      <formula1>0</formula1>
    </dataValidation>
    <dataValidation type="whole" operator="greaterThanOrEqual" allowBlank="1" showInputMessage="1" showErrorMessage="1" sqref="B27">
      <formula1>0</formula1>
    </dataValidation>
    <dataValidation type="whole" operator="greaterThanOrEqual" allowBlank="1" showInputMessage="1" showErrorMessage="1" sqref="D27">
      <formula1>0</formula1>
    </dataValidation>
    <dataValidation type="whole" operator="greaterThanOrEqual" allowBlank="1" showInputMessage="1" showErrorMessage="1" sqref="B28">
      <formula1>0</formula1>
    </dataValidation>
    <dataValidation type="whole" operator="greaterThanOrEqual" allowBlank="1" showInputMessage="1" showErrorMessage="1" sqref="D28">
      <formula1>0</formula1>
    </dataValidation>
  </dataValidation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rowBreaks count="1" manualBreakCount="1">
    <brk id="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36" width="18.7109375" customWidth="1"/>
  </cols>
  <sheetData>
    <row r="1" spans="1:36" ht="32" customHeight="1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spans="1:36" ht="48" customHeight="1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  <c r="O4" s="3" t="s">
        <v>133</v>
      </c>
      <c r="P4" s="3" t="s">
        <v>134</v>
      </c>
      <c r="Q4" s="3" t="s">
        <v>135</v>
      </c>
      <c r="R4" s="3" t="s">
        <v>136</v>
      </c>
      <c r="S4" s="3" t="s">
        <v>137</v>
      </c>
      <c r="T4" s="3" t="s">
        <v>138</v>
      </c>
      <c r="U4" s="3" t="s">
        <v>139</v>
      </c>
      <c r="V4" s="3" t="s">
        <v>140</v>
      </c>
      <c r="W4" s="3" t="s">
        <v>141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146</v>
      </c>
      <c r="AC4" s="3" t="s">
        <v>147</v>
      </c>
      <c r="AD4" s="3" t="s">
        <v>148</v>
      </c>
      <c r="AE4" s="3" t="s">
        <v>149</v>
      </c>
      <c r="AF4" s="3" t="s">
        <v>150</v>
      </c>
      <c r="AG4" s="3" t="s">
        <v>151</v>
      </c>
      <c r="AH4" s="3" t="s">
        <v>152</v>
      </c>
      <c r="AI4" s="3" t="s">
        <v>153</v>
      </c>
      <c r="AJ4" s="3" t="s">
        <v>154</v>
      </c>
    </row>
    <row r="5" spans="1:36">
      <c r="A5" s="9">
        <v>1</v>
      </c>
      <c r="B5" s="10">
        <v>0</v>
      </c>
      <c r="C5" s="9">
        <f>ROUNDUP(B5/'Premissas'!$B$14,0)</f>
        <v>0</v>
      </c>
      <c r="D5" s="10">
        <v>0</v>
      </c>
      <c r="E5" s="9">
        <f>D5*'Premissas'!$B$16</f>
        <v>0</v>
      </c>
      <c r="F5" s="7">
        <f>ROUND(B5*'Premissas'!$B$5,2)</f>
        <v>0</v>
      </c>
      <c r="G5" s="7">
        <f>ROUND(F5*'Premissas'!$B$6,2)</f>
        <v>0</v>
      </c>
      <c r="H5" s="7">
        <f>ROUND(G5*'Premissas'!$B$7,2)</f>
        <v>0</v>
      </c>
      <c r="I5" s="7">
        <f>ROUND(G5-H5,2)</f>
        <v>0</v>
      </c>
      <c r="J5" s="7">
        <f>ROUND(I5*'Premissas'!$B$8+B5*(1-'Premissas'!$B$7)*'Premissas'!$B$9*'Premissas'!$B$6,2)</f>
        <v>0</v>
      </c>
      <c r="K5" s="7">
        <f>ROUND(I5-J5,2)</f>
        <v>0</v>
      </c>
      <c r="L5" s="7">
        <f>IF(A5&gt;'Premissas'!$B$20,INDEX($K$5:$K$28,MAX(1,A5-'Premissas'!$B$20)),0)</f>
        <v>0</v>
      </c>
      <c r="M5" s="7">
        <f>ROUND(I5*'Premissas'!$B$10,2)</f>
        <v>0</v>
      </c>
      <c r="N5" s="7">
        <f>ROUND(I5*'Premissas'!$B$11,2)</f>
        <v>0</v>
      </c>
      <c r="O5" s="7">
        <f>ROUND(B5*'Premissas'!$B$12*'Premissas'!$B$6,2)</f>
        <v>0</v>
      </c>
      <c r="P5" s="7">
        <f>ROUND(B5*'Premissas'!$B$13*'Premissas'!$B$6,2)</f>
        <v>0</v>
      </c>
      <c r="Q5" s="7">
        <f>ROUND(D5*'Premissas'!$B$15,2)</f>
        <v>0</v>
      </c>
      <c r="R5" s="7">
        <f>ROUND(Q5*'Premissas'!$B$19+0*(1-'Premissas'!$B$19),2)</f>
        <v>0</v>
      </c>
      <c r="S5" s="7">
        <f>ROUND(E5*'Premissas'!$B$17,2)</f>
        <v>0</v>
      </c>
      <c r="T5" s="7">
        <f>ROUND(Q5*'Premissas'!$B$10,2)</f>
        <v>0</v>
      </c>
      <c r="U5" s="7">
        <f>ROUND(R5*'Premissas'!$B$18,2)</f>
        <v>0</v>
      </c>
      <c r="V5" s="7">
        <f>IF(A5&lt;=12,'Premissas'!$B$24,'Premissas'!$B$25)</f>
        <v>37000</v>
      </c>
      <c r="W5" s="7">
        <f>ROUND(G5+Q5,2)</f>
        <v>0</v>
      </c>
      <c r="X5" s="7">
        <f>ROUND(I5+Q5,2)</f>
        <v>0</v>
      </c>
      <c r="Y5" s="7">
        <f>ROUND(L5+R5,2)</f>
        <v>0</v>
      </c>
      <c r="Z5" s="7">
        <f>ROUND(SUM(M5:P5)+SUM(S5:V5),2)</f>
        <v>37000</v>
      </c>
      <c r="AA5" s="7">
        <f>ROUND(Y5-Z5,2)</f>
        <v>-37000</v>
      </c>
      <c r="AB5" s="7">
        <f>ROUND(-'Premissas'!$B$23+AA5,2)</f>
        <v>-137000</v>
      </c>
      <c r="AC5" s="7">
        <f>ROUND(X5-J5-SUM(M5:P5)-S5-T5-ROUND(Q5*'Premissas'!$B$18,2)-V5,2)</f>
        <v>-37000</v>
      </c>
      <c r="AD5" s="7">
        <f>ROUND(SUM($K$5:K5)-SUM($L$5:L5)+SUM($Q$5:Q5)-SUM($R$5:R5),2)</f>
        <v>0</v>
      </c>
      <c r="AE5" s="7">
        <f>MAX(0,AB5)*'Premissas'!$B$28</f>
        <v>0.0</v>
      </c>
      <c r="AF5" s="9">
        <f>IF(AB5&gt;=0,A5,999)</f>
        <v>999</v>
      </c>
      <c r="AG5" s="9">
        <f>IF(AE5&gt;=Resumo!$E$6,A5,999)</f>
        <v>999</v>
      </c>
      <c r="AH5" s="7">
        <f>AB5+Capital!$A$5</f>
        <v>-37000</v>
      </c>
      <c r="AI5" s="7">
        <f>AB5+Capital!$A$6</f>
        <v>13000</v>
      </c>
      <c r="AJ5" s="7">
        <f>AB5+Capital!$A$7</f>
        <v>63000</v>
      </c>
    </row>
    <row r="6" spans="1:36">
      <c r="A6" s="9">
        <v>2</v>
      </c>
      <c r="B6" s="10">
        <v>0</v>
      </c>
      <c r="C6" s="9">
        <f>ROUNDUP(B6/'Premissas'!$B$14,0)</f>
        <v>0</v>
      </c>
      <c r="D6" s="10">
        <v>0</v>
      </c>
      <c r="E6" s="9">
        <f>D6*'Premissas'!$B$16</f>
        <v>0</v>
      </c>
      <c r="F6" s="7">
        <f>ROUND(B6*'Premissas'!$B$5,2)</f>
        <v>0</v>
      </c>
      <c r="G6" s="7">
        <f>ROUND(F6*'Premissas'!$B$6,2)</f>
        <v>0</v>
      </c>
      <c r="H6" s="7">
        <f>ROUND(G6*'Premissas'!$B$7,2)</f>
        <v>0</v>
      </c>
      <c r="I6" s="7">
        <f>ROUND(G6-H6,2)</f>
        <v>0</v>
      </c>
      <c r="J6" s="7">
        <f>ROUND(I6*'Premissas'!$B$8+B6*(1-'Premissas'!$B$7)*'Premissas'!$B$9*'Premissas'!$B$6,2)</f>
        <v>0</v>
      </c>
      <c r="K6" s="7">
        <f>ROUND(I6-J6,2)</f>
        <v>0</v>
      </c>
      <c r="L6" s="7">
        <f>IF(A6&gt;'Premissas'!$B$20,INDEX($K$5:$K$28,MAX(1,A6-'Premissas'!$B$20)),0)</f>
        <v>0</v>
      </c>
      <c r="M6" s="7">
        <f>ROUND(I6*'Premissas'!$B$10,2)</f>
        <v>0</v>
      </c>
      <c r="N6" s="7">
        <f>ROUND(I6*'Premissas'!$B$11,2)</f>
        <v>0</v>
      </c>
      <c r="O6" s="7">
        <f>ROUND(B6*'Premissas'!$B$12*'Premissas'!$B$6,2)</f>
        <v>0</v>
      </c>
      <c r="P6" s="7">
        <f>ROUND(B6*'Premissas'!$B$13*'Premissas'!$B$6,2)</f>
        <v>0</v>
      </c>
      <c r="Q6" s="7">
        <f>ROUND(D6*'Premissas'!$B$15,2)</f>
        <v>0</v>
      </c>
      <c r="R6" s="7">
        <f>ROUND(Q6*'Premissas'!$B$19+Q5*(1-'Premissas'!$B$19),2)</f>
        <v>0</v>
      </c>
      <c r="S6" s="7">
        <f>ROUND(E6*'Premissas'!$B$17,2)</f>
        <v>0</v>
      </c>
      <c r="T6" s="7">
        <f>ROUND(Q6*'Premissas'!$B$10,2)</f>
        <v>0</v>
      </c>
      <c r="U6" s="7">
        <f>ROUND(R6*'Premissas'!$B$18,2)</f>
        <v>0</v>
      </c>
      <c r="V6" s="7">
        <f>IF(A6&lt;=12,'Premissas'!$B$24,'Premissas'!$B$25)</f>
        <v>37000</v>
      </c>
      <c r="W6" s="7">
        <f>ROUND(G6+Q6,2)</f>
        <v>0</v>
      </c>
      <c r="X6" s="7">
        <f>ROUND(I6+Q6,2)</f>
        <v>0</v>
      </c>
      <c r="Y6" s="7">
        <f>ROUND(L6+R6,2)</f>
        <v>0</v>
      </c>
      <c r="Z6" s="7">
        <f>ROUND(SUM(M6:P6)+SUM(S6:V6),2)</f>
        <v>37000</v>
      </c>
      <c r="AA6" s="7">
        <f>ROUND(Y6-Z6,2)</f>
        <v>-37000</v>
      </c>
      <c r="AB6" s="7">
        <f>ROUND(AB5+AA6,2)</f>
        <v>-174000</v>
      </c>
      <c r="AC6" s="7">
        <f>ROUND(X6-J6-SUM(M6:P6)-S6-T6-ROUND(Q6*'Premissas'!$B$18,2)-V6,2)</f>
        <v>-37000</v>
      </c>
      <c r="AD6" s="7">
        <f>ROUND(SUM($K$5:K6)-SUM($L$5:L6)+SUM($Q$5:Q6)-SUM($R$5:R6),2)</f>
        <v>0</v>
      </c>
      <c r="AE6" s="7">
        <f>MAX(0,AB6)*'Premissas'!$B$28</f>
        <v>0.0</v>
      </c>
      <c r="AF6" s="9">
        <f>IF(AB6&gt;=0,A6,999)</f>
        <v>999</v>
      </c>
      <c r="AG6" s="9">
        <f>IF(AE6&gt;=Resumo!$E$6,A6,999)</f>
        <v>999</v>
      </c>
      <c r="AH6" s="7">
        <f>AB6+Capital!$A$5</f>
        <v>-74000</v>
      </c>
      <c r="AI6" s="7">
        <f>AB6+Capital!$A$6</f>
        <v>-24000</v>
      </c>
      <c r="AJ6" s="7">
        <f>AB6+Capital!$A$7</f>
        <v>26000</v>
      </c>
    </row>
    <row r="7" spans="1:36">
      <c r="A7" s="9">
        <v>3</v>
      </c>
      <c r="B7" s="10">
        <v>50</v>
      </c>
      <c r="C7" s="9">
        <f>ROUNDUP(B7/'Premissas'!$B$14,0)</f>
        <v>2500</v>
      </c>
      <c r="D7" s="10">
        <v>1</v>
      </c>
      <c r="E7" s="9">
        <f>D7*'Premissas'!$B$16</f>
        <v>80</v>
      </c>
      <c r="F7" s="7">
        <f>ROUND(B7*'Premissas'!$B$5,2)</f>
        <v>1450</v>
      </c>
      <c r="G7" s="7">
        <f>ROUND(F7*'Premissas'!$B$6,2)</f>
        <v>7250</v>
      </c>
      <c r="H7" s="7">
        <f>ROUND(G7*'Premissas'!$B$7,2)</f>
        <v>580</v>
      </c>
      <c r="I7" s="7">
        <f>ROUND(G7-H7,2)</f>
        <v>6670</v>
      </c>
      <c r="J7" s="7">
        <f>ROUND(I7*'Premissas'!$B$8+B7*(1-'Premissas'!$B$7)*'Premissas'!$B$9*'Premissas'!$B$6,2)</f>
        <v>890.33</v>
      </c>
      <c r="K7" s="7">
        <f>ROUND(I7-J7,2)</f>
        <v>5779.67</v>
      </c>
      <c r="L7" s="7">
        <f>IF(A7&gt;'Premissas'!$B$20,INDEX($K$5:$K$28,MAX(1,A7-'Premissas'!$B$20)),0)</f>
        <v>0</v>
      </c>
      <c r="M7" s="7">
        <f>ROUND(I7*'Premissas'!$B$10,2)</f>
        <v>1000.5</v>
      </c>
      <c r="N7" s="7">
        <f>ROUND(I7*'Premissas'!$B$11,2)</f>
        <v>200.1</v>
      </c>
      <c r="O7" s="7">
        <f>ROUND(B7*'Premissas'!$B$12*'Premissas'!$B$6,2)</f>
        <v>2500</v>
      </c>
      <c r="P7" s="7">
        <f>ROUND(B7*'Premissas'!$B$13*'Premissas'!$B$6,2)</f>
        <v>250</v>
      </c>
      <c r="Q7" s="7">
        <f>ROUND(D7*'Premissas'!$B$15,2)</f>
        <v>30000</v>
      </c>
      <c r="R7" s="7">
        <f>ROUND(Q7*'Premissas'!$B$19+Q6*(1-'Premissas'!$B$19),2)</f>
        <v>15000</v>
      </c>
      <c r="S7" s="7">
        <f>ROUND(E7*'Premissas'!$B$17,2)</f>
        <v>14400</v>
      </c>
      <c r="T7" s="7">
        <f>ROUND(Q7*'Premissas'!$B$10,2)</f>
        <v>4500</v>
      </c>
      <c r="U7" s="7">
        <f>ROUND(R7*'Premissas'!$B$18,2)</f>
        <v>750</v>
      </c>
      <c r="V7" s="7">
        <f>IF(A7&lt;=12,'Premissas'!$B$24,'Premissas'!$B$25)</f>
        <v>37000</v>
      </c>
      <c r="W7" s="7">
        <f>ROUND(G7+Q7,2)</f>
        <v>37250</v>
      </c>
      <c r="X7" s="7">
        <f>ROUND(I7+Q7,2)</f>
        <v>36670</v>
      </c>
      <c r="Y7" s="7">
        <f>ROUND(L7+R7,2)</f>
        <v>15000</v>
      </c>
      <c r="Z7" s="7">
        <f>ROUND(SUM(M7:P7)+SUM(S7:V7),2)</f>
        <v>60600.6</v>
      </c>
      <c r="AA7" s="7">
        <f>ROUND(Y7-Z7,2)</f>
        <v>-45600.6</v>
      </c>
      <c r="AB7" s="7">
        <f>ROUND(AB6+AA7,2)</f>
        <v>-219600.6</v>
      </c>
      <c r="AC7" s="7">
        <f>ROUND(X7-J7-SUM(M7:P7)-S7-T7-ROUND(Q7*'Premissas'!$B$18,2)-V7,2)</f>
        <v>-25570.93</v>
      </c>
      <c r="AD7" s="7">
        <f>ROUND(SUM($K$5:K7)-SUM($L$5:L7)+SUM($Q$5:Q7)-SUM($R$5:R7),2)</f>
        <v>20779.67</v>
      </c>
      <c r="AE7" s="7">
        <f>MAX(0,AB7)*'Premissas'!$B$28</f>
        <v>0.0</v>
      </c>
      <c r="AF7" s="9">
        <f>IF(AB7&gt;=0,A7,999)</f>
        <v>999</v>
      </c>
      <c r="AG7" s="9">
        <f>IF(AE7&gt;=Resumo!$E$6,A7,999)</f>
        <v>999</v>
      </c>
      <c r="AH7" s="7">
        <f>AB7+Capital!$A$5</f>
        <v>-119600.6</v>
      </c>
      <c r="AI7" s="7">
        <f>AB7+Capital!$A$6</f>
        <v>-69600.6</v>
      </c>
      <c r="AJ7" s="7">
        <f>AB7+Capital!$A$7</f>
        <v>-19600.600000000006</v>
      </c>
    </row>
    <row r="8" spans="1:36">
      <c r="A8" s="9">
        <v>4</v>
      </c>
      <c r="B8" s="10">
        <v>150</v>
      </c>
      <c r="C8" s="9">
        <f>ROUNDUP(B8/'Premissas'!$B$14,0)</f>
        <v>7500</v>
      </c>
      <c r="D8" s="10">
        <v>0</v>
      </c>
      <c r="E8" s="9">
        <f>D8*'Premissas'!$B$16</f>
        <v>0</v>
      </c>
      <c r="F8" s="7">
        <f>ROUND(B8*'Premissas'!$B$5,2)</f>
        <v>4350</v>
      </c>
      <c r="G8" s="7">
        <f>ROUND(F8*'Premissas'!$B$6,2)</f>
        <v>21750</v>
      </c>
      <c r="H8" s="7">
        <f>ROUND(G8*'Premissas'!$B$7,2)</f>
        <v>1740</v>
      </c>
      <c r="I8" s="7">
        <f>ROUND(G8-H8,2)</f>
        <v>20010</v>
      </c>
      <c r="J8" s="7">
        <f>ROUND(I8*'Premissas'!$B$8+B8*(1-'Premissas'!$B$7)*'Premissas'!$B$9*'Premissas'!$B$6,2)</f>
        <v>2670.99</v>
      </c>
      <c r="K8" s="7">
        <f>ROUND(I8-J8,2)</f>
        <v>17339.01</v>
      </c>
      <c r="L8" s="7">
        <f>IF(A8&gt;'Premissas'!$B$20,INDEX($K$5:$K$28,MAX(1,A8-'Premissas'!$B$20)),0)</f>
        <v>5779.67</v>
      </c>
      <c r="M8" s="7">
        <f>ROUND(I8*'Premissas'!$B$10,2)</f>
        <v>3001.5</v>
      </c>
      <c r="N8" s="7">
        <f>ROUND(I8*'Premissas'!$B$11,2)</f>
        <v>600.3</v>
      </c>
      <c r="O8" s="7">
        <f>ROUND(B8*'Premissas'!$B$12*'Premissas'!$B$6,2)</f>
        <v>7500</v>
      </c>
      <c r="P8" s="7">
        <f>ROUND(B8*'Premissas'!$B$13*'Premissas'!$B$6,2)</f>
        <v>750</v>
      </c>
      <c r="Q8" s="7">
        <f>ROUND(D8*'Premissas'!$B$15,2)</f>
        <v>0</v>
      </c>
      <c r="R8" s="7">
        <f>ROUND(Q8*'Premissas'!$B$19+Q7*(1-'Premissas'!$B$19),2)</f>
        <v>15000</v>
      </c>
      <c r="S8" s="7">
        <f>ROUND(E8*'Premissas'!$B$17,2)</f>
        <v>0</v>
      </c>
      <c r="T8" s="7">
        <f>ROUND(Q8*'Premissas'!$B$10,2)</f>
        <v>0</v>
      </c>
      <c r="U8" s="7">
        <f>ROUND(R8*'Premissas'!$B$18,2)</f>
        <v>750</v>
      </c>
      <c r="V8" s="7">
        <f>IF(A8&lt;=12,'Premissas'!$B$24,'Premissas'!$B$25)</f>
        <v>37000</v>
      </c>
      <c r="W8" s="7">
        <f>ROUND(G8+Q8,2)</f>
        <v>21750</v>
      </c>
      <c r="X8" s="7">
        <f>ROUND(I8+Q8,2)</f>
        <v>20010</v>
      </c>
      <c r="Y8" s="7">
        <f>ROUND(L8+R8,2)</f>
        <v>20779.67</v>
      </c>
      <c r="Z8" s="7">
        <f>ROUND(SUM(M8:P8)+SUM(S8:V8),2)</f>
        <v>49601.8</v>
      </c>
      <c r="AA8" s="7">
        <f>ROUND(Y8-Z8,2)</f>
        <v>-28822.13</v>
      </c>
      <c r="AB8" s="7">
        <f>ROUND(AB7+AA8,2)</f>
        <v>-248422.73</v>
      </c>
      <c r="AC8" s="7">
        <f>ROUND(X8-J8-SUM(M8:P8)-S8-T8-ROUND(Q8*'Premissas'!$B$18,2)-V8,2)</f>
        <v>-31512.79</v>
      </c>
      <c r="AD8" s="7">
        <f>ROUND(SUM($K$5:K8)-SUM($L$5:L8)+SUM($Q$5:Q8)-SUM($R$5:R8),2)</f>
        <v>17339.01</v>
      </c>
      <c r="AE8" s="7">
        <f>MAX(0,AB8)*'Premissas'!$B$28</f>
        <v>0.0</v>
      </c>
      <c r="AF8" s="9">
        <f>IF(AB8&gt;=0,A8,999)</f>
        <v>999</v>
      </c>
      <c r="AG8" s="9">
        <f>IF(AE8&gt;=Resumo!$E$6,A8,999)</f>
        <v>999</v>
      </c>
      <c r="AH8" s="7">
        <f>AB8+Capital!$A$5</f>
        <v>-148422.73</v>
      </c>
      <c r="AI8" s="7">
        <f>AB8+Capital!$A$6</f>
        <v>-98422.73000000001</v>
      </c>
      <c r="AJ8" s="7">
        <f>AB8+Capital!$A$7</f>
        <v>-48422.73000000001</v>
      </c>
    </row>
    <row r="9" spans="1:36">
      <c r="A9" s="9">
        <v>5</v>
      </c>
      <c r="B9" s="10">
        <v>300</v>
      </c>
      <c r="C9" s="9">
        <f>ROUNDUP(B9/'Premissas'!$B$14,0)</f>
        <v>15000</v>
      </c>
      <c r="D9" s="10">
        <v>1</v>
      </c>
      <c r="E9" s="9">
        <f>D9*'Premissas'!$B$16</f>
        <v>80</v>
      </c>
      <c r="F9" s="7">
        <f>ROUND(B9*'Premissas'!$B$5,2)</f>
        <v>8700</v>
      </c>
      <c r="G9" s="7">
        <f>ROUND(F9*'Premissas'!$B$6,2)</f>
        <v>43500</v>
      </c>
      <c r="H9" s="7">
        <f>ROUND(G9*'Premissas'!$B$7,2)</f>
        <v>3480</v>
      </c>
      <c r="I9" s="7">
        <f>ROUND(G9-H9,2)</f>
        <v>40020</v>
      </c>
      <c r="J9" s="7">
        <f>ROUND(I9*'Premissas'!$B$8+B9*(1-'Premissas'!$B$7)*'Premissas'!$B$9*'Premissas'!$B$6,2)</f>
        <v>5341.98</v>
      </c>
      <c r="K9" s="7">
        <f>ROUND(I9-J9,2)</f>
        <v>34678.02</v>
      </c>
      <c r="L9" s="7">
        <f>IF(A9&gt;'Premissas'!$B$20,INDEX($K$5:$K$28,MAX(1,A9-'Premissas'!$B$20)),0)</f>
        <v>17339.01</v>
      </c>
      <c r="M9" s="7">
        <f>ROUND(I9*'Premissas'!$B$10,2)</f>
        <v>6003</v>
      </c>
      <c r="N9" s="7">
        <f>ROUND(I9*'Premissas'!$B$11,2)</f>
        <v>1200.6</v>
      </c>
      <c r="O9" s="7">
        <f>ROUND(B9*'Premissas'!$B$12*'Premissas'!$B$6,2)</f>
        <v>15000</v>
      </c>
      <c r="P9" s="7">
        <f>ROUND(B9*'Premissas'!$B$13*'Premissas'!$B$6,2)</f>
        <v>1500</v>
      </c>
      <c r="Q9" s="7">
        <f>ROUND(D9*'Premissas'!$B$15,2)</f>
        <v>30000</v>
      </c>
      <c r="R9" s="7">
        <f>ROUND(Q9*'Premissas'!$B$19+Q8*(1-'Premissas'!$B$19),2)</f>
        <v>15000</v>
      </c>
      <c r="S9" s="7">
        <f>ROUND(E9*'Premissas'!$B$17,2)</f>
        <v>14400</v>
      </c>
      <c r="T9" s="7">
        <f>ROUND(Q9*'Premissas'!$B$10,2)</f>
        <v>4500</v>
      </c>
      <c r="U9" s="7">
        <f>ROUND(R9*'Premissas'!$B$18,2)</f>
        <v>750</v>
      </c>
      <c r="V9" s="7">
        <f>IF(A9&lt;=12,'Premissas'!$B$24,'Premissas'!$B$25)</f>
        <v>37000</v>
      </c>
      <c r="W9" s="7">
        <f>ROUND(G9+Q9,2)</f>
        <v>73500</v>
      </c>
      <c r="X9" s="7">
        <f>ROUND(I9+Q9,2)</f>
        <v>70020</v>
      </c>
      <c r="Y9" s="7">
        <f>ROUND(L9+R9,2)</f>
        <v>32339.01</v>
      </c>
      <c r="Z9" s="7">
        <f>ROUND(SUM(M9:P9)+SUM(S9:V9),2)</f>
        <v>80353.6</v>
      </c>
      <c r="AA9" s="7">
        <f>ROUND(Y9-Z9,2)</f>
        <v>-48014.59</v>
      </c>
      <c r="AB9" s="7">
        <f>ROUND(AB8+AA9,2)</f>
        <v>-296437.32</v>
      </c>
      <c r="AC9" s="7">
        <f>ROUND(X9-J9-SUM(M9:P9)-S9-T9-ROUND(Q9*'Premissas'!$B$18,2)-V9,2)</f>
        <v>-16425.58</v>
      </c>
      <c r="AD9" s="7">
        <f>ROUND(SUM($K$5:K9)-SUM($L$5:L9)+SUM($Q$5:Q9)-SUM($R$5:R9),2)</f>
        <v>49678.02</v>
      </c>
      <c r="AE9" s="7">
        <f>MAX(0,AB9)*'Premissas'!$B$28</f>
        <v>0.0</v>
      </c>
      <c r="AF9" s="9">
        <f>IF(AB9&gt;=0,A9,999)</f>
        <v>999</v>
      </c>
      <c r="AG9" s="9">
        <f>IF(AE9&gt;=Resumo!$E$6,A9,999)</f>
        <v>999</v>
      </c>
      <c r="AH9" s="7">
        <f>AB9+Capital!$A$5</f>
        <v>-196437.32</v>
      </c>
      <c r="AI9" s="7">
        <f>AB9+Capital!$A$6</f>
        <v>-146437.32</v>
      </c>
      <c r="AJ9" s="7">
        <f>AB9+Capital!$A$7</f>
        <v>-96437.32</v>
      </c>
    </row>
    <row r="10" spans="1:36">
      <c r="A10" s="9">
        <v>6</v>
      </c>
      <c r="B10" s="10">
        <v>500</v>
      </c>
      <c r="C10" s="9">
        <f>ROUNDUP(B10/'Premissas'!$B$14,0)</f>
        <v>25000</v>
      </c>
      <c r="D10" s="10">
        <v>0</v>
      </c>
      <c r="E10" s="9">
        <f>D10*'Premissas'!$B$16</f>
        <v>0</v>
      </c>
      <c r="F10" s="7">
        <f>ROUND(B10*'Premissas'!$B$5,2)</f>
        <v>14500</v>
      </c>
      <c r="G10" s="7">
        <f>ROUND(F10*'Premissas'!$B$6,2)</f>
        <v>72500</v>
      </c>
      <c r="H10" s="7">
        <f>ROUND(G10*'Premissas'!$B$7,2)</f>
        <v>5800</v>
      </c>
      <c r="I10" s="7">
        <f>ROUND(G10-H10,2)</f>
        <v>66700</v>
      </c>
      <c r="J10" s="7">
        <f>ROUND(I10*'Premissas'!$B$8+B10*(1-'Premissas'!$B$7)*'Premissas'!$B$9*'Premissas'!$B$6,2)</f>
        <v>8903.3</v>
      </c>
      <c r="K10" s="7">
        <f>ROUND(I10-J10,2)</f>
        <v>57796.7</v>
      </c>
      <c r="L10" s="7">
        <f>IF(A10&gt;'Premissas'!$B$20,INDEX($K$5:$K$28,MAX(1,A10-'Premissas'!$B$20)),0)</f>
        <v>34678.02</v>
      </c>
      <c r="M10" s="7">
        <f>ROUND(I10*'Premissas'!$B$10,2)</f>
        <v>10005</v>
      </c>
      <c r="N10" s="7">
        <f>ROUND(I10*'Premissas'!$B$11,2)</f>
        <v>2001</v>
      </c>
      <c r="O10" s="7">
        <f>ROUND(B10*'Premissas'!$B$12*'Premissas'!$B$6,2)</f>
        <v>25000</v>
      </c>
      <c r="P10" s="7">
        <f>ROUND(B10*'Premissas'!$B$13*'Premissas'!$B$6,2)</f>
        <v>2500</v>
      </c>
      <c r="Q10" s="7">
        <f>ROUND(D10*'Premissas'!$B$15,2)</f>
        <v>0</v>
      </c>
      <c r="R10" s="7">
        <f>ROUND(Q10*'Premissas'!$B$19+Q9*(1-'Premissas'!$B$19),2)</f>
        <v>15000</v>
      </c>
      <c r="S10" s="7">
        <f>ROUND(E10*'Premissas'!$B$17,2)</f>
        <v>0</v>
      </c>
      <c r="T10" s="7">
        <f>ROUND(Q10*'Premissas'!$B$10,2)</f>
        <v>0</v>
      </c>
      <c r="U10" s="7">
        <f>ROUND(R10*'Premissas'!$B$18,2)</f>
        <v>750</v>
      </c>
      <c r="V10" s="7">
        <f>IF(A10&lt;=12,'Premissas'!$B$24,'Premissas'!$B$25)</f>
        <v>37000</v>
      </c>
      <c r="W10" s="7">
        <f>ROUND(G10+Q10,2)</f>
        <v>72500</v>
      </c>
      <c r="X10" s="7">
        <f>ROUND(I10+Q10,2)</f>
        <v>66700</v>
      </c>
      <c r="Y10" s="7">
        <f>ROUND(L10+R10,2)</f>
        <v>49678.02</v>
      </c>
      <c r="Z10" s="7">
        <f>ROUND(SUM(M10:P10)+SUM(S10:V10),2)</f>
        <v>77256</v>
      </c>
      <c r="AA10" s="7">
        <f>ROUND(Y10-Z10,2)</f>
        <v>-27577.98</v>
      </c>
      <c r="AB10" s="7">
        <f>ROUND(AB9+AA10,2)</f>
        <v>-324015.3</v>
      </c>
      <c r="AC10" s="7">
        <f>ROUND(X10-J10-SUM(M10:P10)-S10-T10-ROUND(Q10*'Premissas'!$B$18,2)-V10,2)</f>
        <v>-18709.3</v>
      </c>
      <c r="AD10" s="7">
        <f>ROUND(SUM($K$5:K10)-SUM($L$5:L10)+SUM($Q$5:Q10)-SUM($R$5:R10),2)</f>
        <v>57796.7</v>
      </c>
      <c r="AE10" s="7">
        <f>MAX(0,AB10)*'Premissas'!$B$28</f>
        <v>0.0</v>
      </c>
      <c r="AF10" s="9">
        <f>IF(AB10&gt;=0,A10,999)</f>
        <v>999</v>
      </c>
      <c r="AG10" s="9">
        <f>IF(AE10&gt;=Resumo!$E$6,A10,999)</f>
        <v>999</v>
      </c>
      <c r="AH10" s="7">
        <f>AB10+Capital!$A$5</f>
        <v>-224015.3</v>
      </c>
      <c r="AI10" s="7">
        <f>AB10+Capital!$A$6</f>
        <v>-174015.3</v>
      </c>
      <c r="AJ10" s="7">
        <f>AB10+Capital!$A$7</f>
        <v>-124015.29999999999</v>
      </c>
    </row>
    <row r="11" spans="1:36">
      <c r="A11" s="9">
        <v>7</v>
      </c>
      <c r="B11" s="10">
        <v>750</v>
      </c>
      <c r="C11" s="9">
        <f>ROUNDUP(B11/'Premissas'!$B$14,0)</f>
        <v>37500</v>
      </c>
      <c r="D11" s="10">
        <v>1</v>
      </c>
      <c r="E11" s="9">
        <f>D11*'Premissas'!$B$16</f>
        <v>80</v>
      </c>
      <c r="F11" s="7">
        <f>ROUND(B11*'Premissas'!$B$5,2)</f>
        <v>21750</v>
      </c>
      <c r="G11" s="7">
        <f>ROUND(F11*'Premissas'!$B$6,2)</f>
        <v>108750</v>
      </c>
      <c r="H11" s="7">
        <f>ROUND(G11*'Premissas'!$B$7,2)</f>
        <v>8700</v>
      </c>
      <c r="I11" s="7">
        <f>ROUND(G11-H11,2)</f>
        <v>100050</v>
      </c>
      <c r="J11" s="7">
        <f>ROUND(I11*'Premissas'!$B$8+B11*(1-'Premissas'!$B$7)*'Premissas'!$B$9*'Premissas'!$B$6,2)</f>
        <v>13354.95</v>
      </c>
      <c r="K11" s="7">
        <f>ROUND(I11-J11,2)</f>
        <v>86695.05</v>
      </c>
      <c r="L11" s="7">
        <f>IF(A11&gt;'Premissas'!$B$20,INDEX($K$5:$K$28,MAX(1,A11-'Premissas'!$B$20)),0)</f>
        <v>57796.7</v>
      </c>
      <c r="M11" s="7">
        <f>ROUND(I11*'Premissas'!$B$10,2)</f>
        <v>15007.5</v>
      </c>
      <c r="N11" s="7">
        <f>ROUND(I11*'Premissas'!$B$11,2)</f>
        <v>3001.5</v>
      </c>
      <c r="O11" s="7">
        <f>ROUND(B11*'Premissas'!$B$12*'Premissas'!$B$6,2)</f>
        <v>37500</v>
      </c>
      <c r="P11" s="7">
        <f>ROUND(B11*'Premissas'!$B$13*'Premissas'!$B$6,2)</f>
        <v>3750</v>
      </c>
      <c r="Q11" s="7">
        <f>ROUND(D11*'Premissas'!$B$15,2)</f>
        <v>30000</v>
      </c>
      <c r="R11" s="7">
        <f>ROUND(Q11*'Premissas'!$B$19+Q10*(1-'Premissas'!$B$19),2)</f>
        <v>15000</v>
      </c>
      <c r="S11" s="7">
        <f>ROUND(E11*'Premissas'!$B$17,2)</f>
        <v>14400</v>
      </c>
      <c r="T11" s="7">
        <f>ROUND(Q11*'Premissas'!$B$10,2)</f>
        <v>4500</v>
      </c>
      <c r="U11" s="7">
        <f>ROUND(R11*'Premissas'!$B$18,2)</f>
        <v>750</v>
      </c>
      <c r="V11" s="7">
        <f>IF(A11&lt;=12,'Premissas'!$B$24,'Premissas'!$B$25)</f>
        <v>37000</v>
      </c>
      <c r="W11" s="7">
        <f>ROUND(G11+Q11,2)</f>
        <v>138750</v>
      </c>
      <c r="X11" s="7">
        <f>ROUND(I11+Q11,2)</f>
        <v>130050</v>
      </c>
      <c r="Y11" s="7">
        <f>ROUND(L11+R11,2)</f>
        <v>72796.7</v>
      </c>
      <c r="Z11" s="7">
        <f>ROUND(SUM(M11:P11)+SUM(S11:V11),2)</f>
        <v>115909</v>
      </c>
      <c r="AA11" s="7">
        <f>ROUND(Y11-Z11,2)</f>
        <v>-43112.3</v>
      </c>
      <c r="AB11" s="7">
        <f>ROUND(AB10+AA11,2)</f>
        <v>-367127.6</v>
      </c>
      <c r="AC11" s="7">
        <f>ROUND(X11-J11-SUM(M11:P11)-S11-T11-ROUND(Q11*'Premissas'!$B$18,2)-V11,2)</f>
        <v>36.05</v>
      </c>
      <c r="AD11" s="7">
        <f>ROUND(SUM($K$5:K11)-SUM($L$5:L11)+SUM($Q$5:Q11)-SUM($R$5:R11),2)</f>
        <v>101695.05</v>
      </c>
      <c r="AE11" s="7">
        <f>MAX(0,AB11)*'Premissas'!$B$28</f>
        <v>0.0</v>
      </c>
      <c r="AF11" s="9">
        <f>IF(AB11&gt;=0,A11,999)</f>
        <v>999</v>
      </c>
      <c r="AG11" s="9">
        <f>IF(AE11&gt;=Resumo!$E$6,A11,999)</f>
        <v>999</v>
      </c>
      <c r="AH11" s="7">
        <f>AB11+Capital!$A$5</f>
        <v>-267127.6</v>
      </c>
      <c r="AI11" s="7">
        <f>AB11+Capital!$A$6</f>
        <v>-217127.59999999998</v>
      </c>
      <c r="AJ11" s="7">
        <f>AB11+Capital!$A$7</f>
        <v>-167127.59999999998</v>
      </c>
    </row>
    <row r="12" spans="1:36">
      <c r="A12" s="9">
        <v>8</v>
      </c>
      <c r="B12" s="10">
        <v>1000</v>
      </c>
      <c r="C12" s="9">
        <f>ROUNDUP(B12/'Premissas'!$B$14,0)</f>
        <v>50000</v>
      </c>
      <c r="D12" s="10">
        <v>1</v>
      </c>
      <c r="E12" s="9">
        <f>D12*'Premissas'!$B$16</f>
        <v>80</v>
      </c>
      <c r="F12" s="7">
        <f>ROUND(B12*'Premissas'!$B$5,2)</f>
        <v>29000</v>
      </c>
      <c r="G12" s="7">
        <f>ROUND(F12*'Premissas'!$B$6,2)</f>
        <v>145000</v>
      </c>
      <c r="H12" s="7">
        <f>ROUND(G12*'Premissas'!$B$7,2)</f>
        <v>11600</v>
      </c>
      <c r="I12" s="7">
        <f>ROUND(G12-H12,2)</f>
        <v>133400</v>
      </c>
      <c r="J12" s="7">
        <f>ROUND(I12*'Premissas'!$B$8+B12*(1-'Premissas'!$B$7)*'Premissas'!$B$9*'Premissas'!$B$6,2)</f>
        <v>17806.6</v>
      </c>
      <c r="K12" s="7">
        <f>ROUND(I12-J12,2)</f>
        <v>115593.4</v>
      </c>
      <c r="L12" s="7">
        <f>IF(A12&gt;'Premissas'!$B$20,INDEX($K$5:$K$28,MAX(1,A12-'Premissas'!$B$20)),0)</f>
        <v>86695.05</v>
      </c>
      <c r="M12" s="7">
        <f>ROUND(I12*'Premissas'!$B$10,2)</f>
        <v>20010</v>
      </c>
      <c r="N12" s="7">
        <f>ROUND(I12*'Premissas'!$B$11,2)</f>
        <v>4002</v>
      </c>
      <c r="O12" s="7">
        <f>ROUND(B12*'Premissas'!$B$12*'Premissas'!$B$6,2)</f>
        <v>50000</v>
      </c>
      <c r="P12" s="7">
        <f>ROUND(B12*'Premissas'!$B$13*'Premissas'!$B$6,2)</f>
        <v>5000</v>
      </c>
      <c r="Q12" s="7">
        <f>ROUND(D12*'Premissas'!$B$15,2)</f>
        <v>30000</v>
      </c>
      <c r="R12" s="7">
        <f>ROUND(Q12*'Premissas'!$B$19+Q11*(1-'Premissas'!$B$19),2)</f>
        <v>30000</v>
      </c>
      <c r="S12" s="7">
        <f>ROUND(E12*'Premissas'!$B$17,2)</f>
        <v>14400</v>
      </c>
      <c r="T12" s="7">
        <f>ROUND(Q12*'Premissas'!$B$10,2)</f>
        <v>4500</v>
      </c>
      <c r="U12" s="7">
        <f>ROUND(R12*'Premissas'!$B$18,2)</f>
        <v>1500</v>
      </c>
      <c r="V12" s="7">
        <f>IF(A12&lt;=12,'Premissas'!$B$24,'Premissas'!$B$25)</f>
        <v>37000</v>
      </c>
      <c r="W12" s="7">
        <f>ROUND(G12+Q12,2)</f>
        <v>175000</v>
      </c>
      <c r="X12" s="7">
        <f>ROUND(I12+Q12,2)</f>
        <v>163400</v>
      </c>
      <c r="Y12" s="7">
        <f>ROUND(L12+R12,2)</f>
        <v>116695.05</v>
      </c>
      <c r="Z12" s="7">
        <f>ROUND(SUM(M12:P12)+SUM(S12:V12),2)</f>
        <v>136412</v>
      </c>
      <c r="AA12" s="7">
        <f>ROUND(Y12-Z12,2)</f>
        <v>-19716.95</v>
      </c>
      <c r="AB12" s="7">
        <f>ROUND(AB11+AA12,2)</f>
        <v>-386844.55</v>
      </c>
      <c r="AC12" s="7">
        <f>ROUND(X12-J12-SUM(M12:P12)-S12-T12-ROUND(Q12*'Premissas'!$B$18,2)-V12,2)</f>
        <v>9181.4</v>
      </c>
      <c r="AD12" s="7">
        <f>ROUND(SUM($K$5:K12)-SUM($L$5:L12)+SUM($Q$5:Q12)-SUM($R$5:R12),2)</f>
        <v>130593.4</v>
      </c>
      <c r="AE12" s="7">
        <f>MAX(0,AB12)*'Premissas'!$B$28</f>
        <v>0.0</v>
      </c>
      <c r="AF12" s="9">
        <f>IF(AB12&gt;=0,A12,999)</f>
        <v>999</v>
      </c>
      <c r="AG12" s="9">
        <f>IF(AE12&gt;=Resumo!$E$6,A12,999)</f>
        <v>999</v>
      </c>
      <c r="AH12" s="7">
        <f>AB12+Capital!$A$5</f>
        <v>-286844.55</v>
      </c>
      <c r="AI12" s="7">
        <f>AB12+Capital!$A$6</f>
        <v>-236844.55</v>
      </c>
      <c r="AJ12" s="7">
        <f>AB12+Capital!$A$7</f>
        <v>-186844.55</v>
      </c>
    </row>
    <row r="13" spans="1:36">
      <c r="A13" s="9">
        <v>9</v>
      </c>
      <c r="B13" s="10">
        <v>1250</v>
      </c>
      <c r="C13" s="9">
        <f>ROUNDUP(B13/'Premissas'!$B$14,0)</f>
        <v>62500</v>
      </c>
      <c r="D13" s="10">
        <v>1</v>
      </c>
      <c r="E13" s="9">
        <f>D13*'Premissas'!$B$16</f>
        <v>80</v>
      </c>
      <c r="F13" s="7">
        <f>ROUND(B13*'Premissas'!$B$5,2)</f>
        <v>36250</v>
      </c>
      <c r="G13" s="7">
        <f>ROUND(F13*'Premissas'!$B$6,2)</f>
        <v>181250</v>
      </c>
      <c r="H13" s="7">
        <f>ROUND(G13*'Premissas'!$B$7,2)</f>
        <v>14500</v>
      </c>
      <c r="I13" s="7">
        <f>ROUND(G13-H13,2)</f>
        <v>166750</v>
      </c>
      <c r="J13" s="7">
        <f>ROUND(I13*'Premissas'!$B$8+B13*(1-'Premissas'!$B$7)*'Premissas'!$B$9*'Premissas'!$B$6,2)</f>
        <v>22258.25</v>
      </c>
      <c r="K13" s="7">
        <f>ROUND(I13-J13,2)</f>
        <v>144491.75</v>
      </c>
      <c r="L13" s="7">
        <f>IF(A13&gt;'Premissas'!$B$20,INDEX($K$5:$K$28,MAX(1,A13-'Premissas'!$B$20)),0)</f>
        <v>115593.4</v>
      </c>
      <c r="M13" s="7">
        <f>ROUND(I13*'Premissas'!$B$10,2)</f>
        <v>25012.5</v>
      </c>
      <c r="N13" s="7">
        <f>ROUND(I13*'Premissas'!$B$11,2)</f>
        <v>5002.5</v>
      </c>
      <c r="O13" s="7">
        <f>ROUND(B13*'Premissas'!$B$12*'Premissas'!$B$6,2)</f>
        <v>62500</v>
      </c>
      <c r="P13" s="7">
        <f>ROUND(B13*'Premissas'!$B$13*'Premissas'!$B$6,2)</f>
        <v>6250</v>
      </c>
      <c r="Q13" s="7">
        <f>ROUND(D13*'Premissas'!$B$15,2)</f>
        <v>30000</v>
      </c>
      <c r="R13" s="7">
        <f>ROUND(Q13*'Premissas'!$B$19+Q12*(1-'Premissas'!$B$19),2)</f>
        <v>30000</v>
      </c>
      <c r="S13" s="7">
        <f>ROUND(E13*'Premissas'!$B$17,2)</f>
        <v>14400</v>
      </c>
      <c r="T13" s="7">
        <f>ROUND(Q13*'Premissas'!$B$10,2)</f>
        <v>4500</v>
      </c>
      <c r="U13" s="7">
        <f>ROUND(R13*'Premissas'!$B$18,2)</f>
        <v>1500</v>
      </c>
      <c r="V13" s="7">
        <f>IF(A13&lt;=12,'Premissas'!$B$24,'Premissas'!$B$25)</f>
        <v>37000</v>
      </c>
      <c r="W13" s="7">
        <f>ROUND(G13+Q13,2)</f>
        <v>211250</v>
      </c>
      <c r="X13" s="7">
        <f>ROUND(I13+Q13,2)</f>
        <v>196750</v>
      </c>
      <c r="Y13" s="7">
        <f>ROUND(L13+R13,2)</f>
        <v>145593.4</v>
      </c>
      <c r="Z13" s="7">
        <f>ROUND(SUM(M13:P13)+SUM(S13:V13),2)</f>
        <v>156165</v>
      </c>
      <c r="AA13" s="7">
        <f>ROUND(Y13-Z13,2)</f>
        <v>-10571.6</v>
      </c>
      <c r="AB13" s="7">
        <f>ROUND(AB12+AA13,2)</f>
        <v>-397416.15</v>
      </c>
      <c r="AC13" s="7">
        <f>ROUND(X13-J13-SUM(M13:P13)-S13-T13-ROUND(Q13*'Premissas'!$B$18,2)-V13,2)</f>
        <v>18326.75</v>
      </c>
      <c r="AD13" s="7">
        <f>ROUND(SUM($K$5:K13)-SUM($L$5:L13)+SUM($Q$5:Q13)-SUM($R$5:R13),2)</f>
        <v>159491.75</v>
      </c>
      <c r="AE13" s="7">
        <f>MAX(0,AB13)*'Premissas'!$B$28</f>
        <v>0.0</v>
      </c>
      <c r="AF13" s="9">
        <f>IF(AB13&gt;=0,A13,999)</f>
        <v>999</v>
      </c>
      <c r="AG13" s="9">
        <f>IF(AE13&gt;=Resumo!$E$6,A13,999)</f>
        <v>999</v>
      </c>
      <c r="AH13" s="7">
        <f>AB13+Capital!$A$5</f>
        <v>-297416.15</v>
      </c>
      <c r="AI13" s="7">
        <f>AB13+Capital!$A$6</f>
        <v>-247416.15000000002</v>
      </c>
      <c r="AJ13" s="7">
        <f>AB13+Capital!$A$7</f>
        <v>-197416.15000000002</v>
      </c>
    </row>
    <row r="14" spans="1:36">
      <c r="A14" s="9">
        <v>10</v>
      </c>
      <c r="B14" s="10">
        <v>1500</v>
      </c>
      <c r="C14" s="9">
        <f>ROUNDUP(B14/'Premissas'!$B$14,0)</f>
        <v>75000</v>
      </c>
      <c r="D14" s="10">
        <v>1</v>
      </c>
      <c r="E14" s="9">
        <f>D14*'Premissas'!$B$16</f>
        <v>80</v>
      </c>
      <c r="F14" s="7">
        <f>ROUND(B14*'Premissas'!$B$5,2)</f>
        <v>43500</v>
      </c>
      <c r="G14" s="7">
        <f>ROUND(F14*'Premissas'!$B$6,2)</f>
        <v>217500</v>
      </c>
      <c r="H14" s="7">
        <f>ROUND(G14*'Premissas'!$B$7,2)</f>
        <v>17400</v>
      </c>
      <c r="I14" s="7">
        <f>ROUND(G14-H14,2)</f>
        <v>200100</v>
      </c>
      <c r="J14" s="7">
        <f>ROUND(I14*'Premissas'!$B$8+B14*(1-'Premissas'!$B$7)*'Premissas'!$B$9*'Premissas'!$B$6,2)</f>
        <v>26709.9</v>
      </c>
      <c r="K14" s="7">
        <f>ROUND(I14-J14,2)</f>
        <v>173390.1</v>
      </c>
      <c r="L14" s="7">
        <f>IF(A14&gt;'Premissas'!$B$20,INDEX($K$5:$K$28,MAX(1,A14-'Premissas'!$B$20)),0)</f>
        <v>144491.75</v>
      </c>
      <c r="M14" s="7">
        <f>ROUND(I14*'Premissas'!$B$10,2)</f>
        <v>30015</v>
      </c>
      <c r="N14" s="7">
        <f>ROUND(I14*'Premissas'!$B$11,2)</f>
        <v>6003</v>
      </c>
      <c r="O14" s="7">
        <f>ROUND(B14*'Premissas'!$B$12*'Premissas'!$B$6,2)</f>
        <v>75000</v>
      </c>
      <c r="P14" s="7">
        <f>ROUND(B14*'Premissas'!$B$13*'Premissas'!$B$6,2)</f>
        <v>7500</v>
      </c>
      <c r="Q14" s="7">
        <f>ROUND(D14*'Premissas'!$B$15,2)</f>
        <v>30000</v>
      </c>
      <c r="R14" s="7">
        <f>ROUND(Q14*'Premissas'!$B$19+Q13*(1-'Premissas'!$B$19),2)</f>
        <v>30000</v>
      </c>
      <c r="S14" s="7">
        <f>ROUND(E14*'Premissas'!$B$17,2)</f>
        <v>14400</v>
      </c>
      <c r="T14" s="7">
        <f>ROUND(Q14*'Premissas'!$B$10,2)</f>
        <v>4500</v>
      </c>
      <c r="U14" s="7">
        <f>ROUND(R14*'Premissas'!$B$18,2)</f>
        <v>1500</v>
      </c>
      <c r="V14" s="7">
        <f>IF(A14&lt;=12,'Premissas'!$B$24,'Premissas'!$B$25)</f>
        <v>37000</v>
      </c>
      <c r="W14" s="7">
        <f>ROUND(G14+Q14,2)</f>
        <v>247500</v>
      </c>
      <c r="X14" s="7">
        <f>ROUND(I14+Q14,2)</f>
        <v>230100</v>
      </c>
      <c r="Y14" s="7">
        <f>ROUND(L14+R14,2)</f>
        <v>174491.75</v>
      </c>
      <c r="Z14" s="7">
        <f>ROUND(SUM(M14:P14)+SUM(S14:V14),2)</f>
        <v>175918</v>
      </c>
      <c r="AA14" s="7">
        <f>ROUND(Y14-Z14,2)</f>
        <v>-1426.25</v>
      </c>
      <c r="AB14" s="7">
        <f>ROUND(AB13+AA14,2)</f>
        <v>-398842.4</v>
      </c>
      <c r="AC14" s="7">
        <f>ROUND(X14-J14-SUM(M14:P14)-S14-T14-ROUND(Q14*'Premissas'!$B$18,2)-V14,2)</f>
        <v>27472.1</v>
      </c>
      <c r="AD14" s="7">
        <f>ROUND(SUM($K$5:K14)-SUM($L$5:L14)+SUM($Q$5:Q14)-SUM($R$5:R14),2)</f>
        <v>188390.1</v>
      </c>
      <c r="AE14" s="7">
        <f>MAX(0,AB14)*'Premissas'!$B$28</f>
        <v>0.0</v>
      </c>
      <c r="AF14" s="9">
        <f>IF(AB14&gt;=0,A14,999)</f>
        <v>999</v>
      </c>
      <c r="AG14" s="9">
        <f>IF(AE14&gt;=Resumo!$E$6,A14,999)</f>
        <v>999</v>
      </c>
      <c r="AH14" s="7">
        <f>AB14+Capital!$A$5</f>
        <v>-298842.4</v>
      </c>
      <c r="AI14" s="7">
        <f>AB14+Capital!$A$6</f>
        <v>-248842.40000000002</v>
      </c>
      <c r="AJ14" s="7">
        <f>AB14+Capital!$A$7</f>
        <v>-198842.40000000002</v>
      </c>
    </row>
    <row r="15" spans="1:36">
      <c r="A15" s="9">
        <v>11</v>
      </c>
      <c r="B15" s="10">
        <v>1750</v>
      </c>
      <c r="C15" s="9">
        <f>ROUNDUP(B15/'Premissas'!$B$14,0)</f>
        <v>87500</v>
      </c>
      <c r="D15" s="10">
        <v>1</v>
      </c>
      <c r="E15" s="9">
        <f>D15*'Premissas'!$B$16</f>
        <v>80</v>
      </c>
      <c r="F15" s="7">
        <f>ROUND(B15*'Premissas'!$B$5,2)</f>
        <v>50750</v>
      </c>
      <c r="G15" s="7">
        <f>ROUND(F15*'Premissas'!$B$6,2)</f>
        <v>253750</v>
      </c>
      <c r="H15" s="7">
        <f>ROUND(G15*'Premissas'!$B$7,2)</f>
        <v>20300</v>
      </c>
      <c r="I15" s="7">
        <f>ROUND(G15-H15,2)</f>
        <v>233450</v>
      </c>
      <c r="J15" s="7">
        <f>ROUND(I15*'Premissas'!$B$8+B15*(1-'Premissas'!$B$7)*'Premissas'!$B$9*'Premissas'!$B$6,2)</f>
        <v>31161.55</v>
      </c>
      <c r="K15" s="7">
        <f>ROUND(I15-J15,2)</f>
        <v>202288.45</v>
      </c>
      <c r="L15" s="7">
        <f>IF(A15&gt;'Premissas'!$B$20,INDEX($K$5:$K$28,MAX(1,A15-'Premissas'!$B$20)),0)</f>
        <v>173390.1</v>
      </c>
      <c r="M15" s="7">
        <f>ROUND(I15*'Premissas'!$B$10,2)</f>
        <v>35017.5</v>
      </c>
      <c r="N15" s="7">
        <f>ROUND(I15*'Premissas'!$B$11,2)</f>
        <v>7003.5</v>
      </c>
      <c r="O15" s="7">
        <f>ROUND(B15*'Premissas'!$B$12*'Premissas'!$B$6,2)</f>
        <v>87500</v>
      </c>
      <c r="P15" s="7">
        <f>ROUND(B15*'Premissas'!$B$13*'Premissas'!$B$6,2)</f>
        <v>8750</v>
      </c>
      <c r="Q15" s="7">
        <f>ROUND(D15*'Premissas'!$B$15,2)</f>
        <v>30000</v>
      </c>
      <c r="R15" s="7">
        <f>ROUND(Q15*'Premissas'!$B$19+Q14*(1-'Premissas'!$B$19),2)</f>
        <v>30000</v>
      </c>
      <c r="S15" s="7">
        <f>ROUND(E15*'Premissas'!$B$17,2)</f>
        <v>14400</v>
      </c>
      <c r="T15" s="7">
        <f>ROUND(Q15*'Premissas'!$B$10,2)</f>
        <v>4500</v>
      </c>
      <c r="U15" s="7">
        <f>ROUND(R15*'Premissas'!$B$18,2)</f>
        <v>1500</v>
      </c>
      <c r="V15" s="7">
        <f>IF(A15&lt;=12,'Premissas'!$B$24,'Premissas'!$B$25)</f>
        <v>37000</v>
      </c>
      <c r="W15" s="7">
        <f>ROUND(G15+Q15,2)</f>
        <v>283750</v>
      </c>
      <c r="X15" s="7">
        <f>ROUND(I15+Q15,2)</f>
        <v>263450</v>
      </c>
      <c r="Y15" s="7">
        <f>ROUND(L15+R15,2)</f>
        <v>203390.1</v>
      </c>
      <c r="Z15" s="7">
        <f>ROUND(SUM(M15:P15)+SUM(S15:V15),2)</f>
        <v>195671</v>
      </c>
      <c r="AA15" s="7">
        <f>ROUND(Y15-Z15,2)</f>
        <v>7719.1</v>
      </c>
      <c r="AB15" s="7">
        <f>ROUND(AB14+AA15,2)</f>
        <v>-391123.3</v>
      </c>
      <c r="AC15" s="7">
        <f>ROUND(X15-J15-SUM(M15:P15)-S15-T15-ROUND(Q15*'Premissas'!$B$18,2)-V15,2)</f>
        <v>36617.45</v>
      </c>
      <c r="AD15" s="7">
        <f>ROUND(SUM($K$5:K15)-SUM($L$5:L15)+SUM($Q$5:Q15)-SUM($R$5:R15),2)</f>
        <v>217288.45</v>
      </c>
      <c r="AE15" s="7">
        <f>MAX(0,AB15)*'Premissas'!$B$28</f>
        <v>0.0</v>
      </c>
      <c r="AF15" s="9">
        <f>IF(AB15&gt;=0,A15,999)</f>
        <v>999</v>
      </c>
      <c r="AG15" s="9">
        <f>IF(AE15&gt;=Resumo!$E$6,A15,999)</f>
        <v>999</v>
      </c>
      <c r="AH15" s="7">
        <f>AB15+Capital!$A$5</f>
        <v>-291123.3</v>
      </c>
      <c r="AI15" s="7">
        <f>AB15+Capital!$A$6</f>
        <v>-241123.3</v>
      </c>
      <c r="AJ15" s="7">
        <f>AB15+Capital!$A$7</f>
        <v>-191123.3</v>
      </c>
    </row>
    <row r="16" spans="1:36">
      <c r="A16" s="9">
        <v>12</v>
      </c>
      <c r="B16" s="10">
        <v>2000</v>
      </c>
      <c r="C16" s="9">
        <f>ROUNDUP(B16/'Premissas'!$B$14,0)</f>
        <v>100000</v>
      </c>
      <c r="D16" s="10">
        <v>1</v>
      </c>
      <c r="E16" s="9">
        <f>D16*'Premissas'!$B$16</f>
        <v>80</v>
      </c>
      <c r="F16" s="7">
        <f>ROUND(B16*'Premissas'!$B$5,2)</f>
        <v>58000</v>
      </c>
      <c r="G16" s="7">
        <f>ROUND(F16*'Premissas'!$B$6,2)</f>
        <v>290000</v>
      </c>
      <c r="H16" s="7">
        <f>ROUND(G16*'Premissas'!$B$7,2)</f>
        <v>23200</v>
      </c>
      <c r="I16" s="7">
        <f>ROUND(G16-H16,2)</f>
        <v>266800</v>
      </c>
      <c r="J16" s="7">
        <f>ROUND(I16*'Premissas'!$B$8+B16*(1-'Premissas'!$B$7)*'Premissas'!$B$9*'Premissas'!$B$6,2)</f>
        <v>35613.2</v>
      </c>
      <c r="K16" s="7">
        <f>ROUND(I16-J16,2)</f>
        <v>231186.8</v>
      </c>
      <c r="L16" s="7">
        <f>IF(A16&gt;'Premissas'!$B$20,INDEX($K$5:$K$28,MAX(1,A16-'Premissas'!$B$20)),0)</f>
        <v>202288.45</v>
      </c>
      <c r="M16" s="7">
        <f>ROUND(I16*'Premissas'!$B$10,2)</f>
        <v>40020</v>
      </c>
      <c r="N16" s="7">
        <f>ROUND(I16*'Premissas'!$B$11,2)</f>
        <v>8004</v>
      </c>
      <c r="O16" s="7">
        <f>ROUND(B16*'Premissas'!$B$12*'Premissas'!$B$6,2)</f>
        <v>100000</v>
      </c>
      <c r="P16" s="7">
        <f>ROUND(B16*'Premissas'!$B$13*'Premissas'!$B$6,2)</f>
        <v>10000</v>
      </c>
      <c r="Q16" s="7">
        <f>ROUND(D16*'Premissas'!$B$15,2)</f>
        <v>30000</v>
      </c>
      <c r="R16" s="7">
        <f>ROUND(Q16*'Premissas'!$B$19+Q15*(1-'Premissas'!$B$19),2)</f>
        <v>30000</v>
      </c>
      <c r="S16" s="7">
        <f>ROUND(E16*'Premissas'!$B$17,2)</f>
        <v>14400</v>
      </c>
      <c r="T16" s="7">
        <f>ROUND(Q16*'Premissas'!$B$10,2)</f>
        <v>4500</v>
      </c>
      <c r="U16" s="7">
        <f>ROUND(R16*'Premissas'!$B$18,2)</f>
        <v>1500</v>
      </c>
      <c r="V16" s="7">
        <f>IF(A16&lt;=12,'Premissas'!$B$24,'Premissas'!$B$25)</f>
        <v>37000</v>
      </c>
      <c r="W16" s="7">
        <f>ROUND(G16+Q16,2)</f>
        <v>320000</v>
      </c>
      <c r="X16" s="7">
        <f>ROUND(I16+Q16,2)</f>
        <v>296800</v>
      </c>
      <c r="Y16" s="7">
        <f>ROUND(L16+R16,2)</f>
        <v>232288.45</v>
      </c>
      <c r="Z16" s="7">
        <f>ROUND(SUM(M16:P16)+SUM(S16:V16),2)</f>
        <v>215424</v>
      </c>
      <c r="AA16" s="7">
        <f>ROUND(Y16-Z16,2)</f>
        <v>16864.45</v>
      </c>
      <c r="AB16" s="7">
        <f>ROUND(AB15+AA16,2)</f>
        <v>-374258.85</v>
      </c>
      <c r="AC16" s="7">
        <f>ROUND(X16-J16-SUM(M16:P16)-S16-T16-ROUND(Q16*'Premissas'!$B$18,2)-V16,2)</f>
        <v>45762.8</v>
      </c>
      <c r="AD16" s="7">
        <f>ROUND(SUM($K$5:K16)-SUM($L$5:L16)+SUM($Q$5:Q16)-SUM($R$5:R16),2)</f>
        <v>246186.8</v>
      </c>
      <c r="AE16" s="7">
        <f>MAX(0,AB16)*'Premissas'!$B$28</f>
        <v>0.0</v>
      </c>
      <c r="AF16" s="9">
        <f>IF(AB16&gt;=0,A16,999)</f>
        <v>999</v>
      </c>
      <c r="AG16" s="9">
        <f>IF(AE16&gt;=Resumo!$E$6,A16,999)</f>
        <v>999</v>
      </c>
      <c r="AH16" s="7">
        <f>AB16+Capital!$A$5</f>
        <v>-274258.85</v>
      </c>
      <c r="AI16" s="7">
        <f>AB16+Capital!$A$6</f>
        <v>-224258.84999999998</v>
      </c>
      <c r="AJ16" s="7">
        <f>AB16+Capital!$A$7</f>
        <v>-174258.84999999998</v>
      </c>
    </row>
    <row r="17" spans="1:36">
      <c r="A17" s="9">
        <v>13</v>
      </c>
      <c r="B17" s="10">
        <v>2200</v>
      </c>
      <c r="C17" s="9">
        <f>ROUNDUP(B17/'Premissas'!$B$14,0)</f>
        <v>110000</v>
      </c>
      <c r="D17" s="10">
        <v>2</v>
      </c>
      <c r="E17" s="9">
        <f>D17*'Premissas'!$B$16</f>
        <v>160</v>
      </c>
      <c r="F17" s="7">
        <f>ROUND(B17*'Premissas'!$B$5,2)</f>
        <v>63800</v>
      </c>
      <c r="G17" s="7">
        <f>ROUND(F17*'Premissas'!$B$6,2)</f>
        <v>319000</v>
      </c>
      <c r="H17" s="7">
        <f>ROUND(G17*'Premissas'!$B$7,2)</f>
        <v>25520</v>
      </c>
      <c r="I17" s="7">
        <f>ROUND(G17-H17,2)</f>
        <v>293480</v>
      </c>
      <c r="J17" s="7">
        <f>ROUND(I17*'Premissas'!$B$8+B17*(1-'Premissas'!$B$7)*'Premissas'!$B$9*'Premissas'!$B$6,2)</f>
        <v>39174.52</v>
      </c>
      <c r="K17" s="7">
        <f>ROUND(I17-J17,2)</f>
        <v>254305.48</v>
      </c>
      <c r="L17" s="7">
        <f>IF(A17&gt;'Premissas'!$B$20,INDEX($K$5:$K$28,MAX(1,A17-'Premissas'!$B$20)),0)</f>
        <v>231186.8</v>
      </c>
      <c r="M17" s="7">
        <f>ROUND(I17*'Premissas'!$B$10,2)</f>
        <v>44022</v>
      </c>
      <c r="N17" s="7">
        <f>ROUND(I17*'Premissas'!$B$11,2)</f>
        <v>8804.4</v>
      </c>
      <c r="O17" s="7">
        <f>ROUND(B17*'Premissas'!$B$12*'Premissas'!$B$6,2)</f>
        <v>110000</v>
      </c>
      <c r="P17" s="7">
        <f>ROUND(B17*'Premissas'!$B$13*'Premissas'!$B$6,2)</f>
        <v>11000</v>
      </c>
      <c r="Q17" s="7">
        <f>ROUND(D17*'Premissas'!$B$15,2)</f>
        <v>60000</v>
      </c>
      <c r="R17" s="7">
        <f>ROUND(Q17*'Premissas'!$B$19+Q16*(1-'Premissas'!$B$19),2)</f>
        <v>45000</v>
      </c>
      <c r="S17" s="7">
        <f>ROUND(E17*'Premissas'!$B$17,2)</f>
        <v>28800</v>
      </c>
      <c r="T17" s="7">
        <f>ROUND(Q17*'Premissas'!$B$10,2)</f>
        <v>9000</v>
      </c>
      <c r="U17" s="7">
        <f>ROUND(R17*'Premissas'!$B$18,2)</f>
        <v>2250</v>
      </c>
      <c r="V17" s="7">
        <f>IF(A17&lt;=12,'Premissas'!$B$24,'Premissas'!$B$25)</f>
        <v>42000</v>
      </c>
      <c r="W17" s="7">
        <f>ROUND(G17+Q17,2)</f>
        <v>379000</v>
      </c>
      <c r="X17" s="7">
        <f>ROUND(I17+Q17,2)</f>
        <v>353480</v>
      </c>
      <c r="Y17" s="7">
        <f>ROUND(L17+R17,2)</f>
        <v>276186.8</v>
      </c>
      <c r="Z17" s="7">
        <f>ROUND(SUM(M17:P17)+SUM(S17:V17),2)</f>
        <v>255876.4</v>
      </c>
      <c r="AA17" s="7">
        <f>ROUND(Y17-Z17,2)</f>
        <v>20310.4</v>
      </c>
      <c r="AB17" s="7">
        <f>ROUND(AB16+AA17,2)</f>
        <v>-353948.45</v>
      </c>
      <c r="AC17" s="7">
        <f>ROUND(X17-J17-SUM(M17:P17)-S17-T17-ROUND(Q17*'Premissas'!$B$18,2)-V17,2)</f>
        <v>57679.08</v>
      </c>
      <c r="AD17" s="7">
        <f>ROUND(SUM($K$5:K17)-SUM($L$5:L17)+SUM($Q$5:Q17)-SUM($R$5:R17),2)</f>
        <v>284305.48</v>
      </c>
      <c r="AE17" s="7">
        <f>MAX(0,AB17)*'Premissas'!$B$28</f>
        <v>0.0</v>
      </c>
      <c r="AF17" s="9">
        <f>IF(AB17&gt;=0,A17,999)</f>
        <v>999</v>
      </c>
      <c r="AG17" s="9">
        <f>IF(AE17&gt;=Resumo!$E$6,A17,999)</f>
        <v>999</v>
      </c>
      <c r="AH17" s="7">
        <f>AB17+Capital!$A$5</f>
        <v>-253948.45</v>
      </c>
      <c r="AI17" s="7">
        <f>AB17+Capital!$A$6</f>
        <v>-203948.45</v>
      </c>
      <c r="AJ17" s="7">
        <f>AB17+Capital!$A$7</f>
        <v>-153948.45</v>
      </c>
    </row>
    <row r="18" spans="1:36">
      <c r="A18" s="9">
        <v>14</v>
      </c>
      <c r="B18" s="10">
        <v>2400</v>
      </c>
      <c r="C18" s="9">
        <f>ROUNDUP(B18/'Premissas'!$B$14,0)</f>
        <v>120000</v>
      </c>
      <c r="D18" s="10">
        <v>2</v>
      </c>
      <c r="E18" s="9">
        <f>D18*'Premissas'!$B$16</f>
        <v>160</v>
      </c>
      <c r="F18" s="7">
        <f>ROUND(B18*'Premissas'!$B$5,2)</f>
        <v>69600</v>
      </c>
      <c r="G18" s="7">
        <f>ROUND(F18*'Premissas'!$B$6,2)</f>
        <v>348000</v>
      </c>
      <c r="H18" s="7">
        <f>ROUND(G18*'Premissas'!$B$7,2)</f>
        <v>27840</v>
      </c>
      <c r="I18" s="7">
        <f>ROUND(G18-H18,2)</f>
        <v>320160</v>
      </c>
      <c r="J18" s="7">
        <f>ROUND(I18*'Premissas'!$B$8+B18*(1-'Premissas'!$B$7)*'Premissas'!$B$9*'Premissas'!$B$6,2)</f>
        <v>42735.84</v>
      </c>
      <c r="K18" s="7">
        <f>ROUND(I18-J18,2)</f>
        <v>277424.16</v>
      </c>
      <c r="L18" s="7">
        <f>IF(A18&gt;'Premissas'!$B$20,INDEX($K$5:$K$28,MAX(1,A18-'Premissas'!$B$20)),0)</f>
        <v>254305.48</v>
      </c>
      <c r="M18" s="7">
        <f>ROUND(I18*'Premissas'!$B$10,2)</f>
        <v>48024</v>
      </c>
      <c r="N18" s="7">
        <f>ROUND(I18*'Premissas'!$B$11,2)</f>
        <v>9604.8</v>
      </c>
      <c r="O18" s="7">
        <f>ROUND(B18*'Premissas'!$B$12*'Premissas'!$B$6,2)</f>
        <v>120000</v>
      </c>
      <c r="P18" s="7">
        <f>ROUND(B18*'Premissas'!$B$13*'Premissas'!$B$6,2)</f>
        <v>12000</v>
      </c>
      <c r="Q18" s="7">
        <f>ROUND(D18*'Premissas'!$B$15,2)</f>
        <v>60000</v>
      </c>
      <c r="R18" s="7">
        <f>ROUND(Q18*'Premissas'!$B$19+Q17*(1-'Premissas'!$B$19),2)</f>
        <v>60000</v>
      </c>
      <c r="S18" s="7">
        <f>ROUND(E18*'Premissas'!$B$17,2)</f>
        <v>28800</v>
      </c>
      <c r="T18" s="7">
        <f>ROUND(Q18*'Premissas'!$B$10,2)</f>
        <v>9000</v>
      </c>
      <c r="U18" s="7">
        <f>ROUND(R18*'Premissas'!$B$18,2)</f>
        <v>3000</v>
      </c>
      <c r="V18" s="7">
        <f>IF(A18&lt;=12,'Premissas'!$B$24,'Premissas'!$B$25)</f>
        <v>42000</v>
      </c>
      <c r="W18" s="7">
        <f>ROUND(G18+Q18,2)</f>
        <v>408000</v>
      </c>
      <c r="X18" s="7">
        <f>ROUND(I18+Q18,2)</f>
        <v>380160</v>
      </c>
      <c r="Y18" s="7">
        <f>ROUND(L18+R18,2)</f>
        <v>314305.48</v>
      </c>
      <c r="Z18" s="7">
        <f>ROUND(SUM(M18:P18)+SUM(S18:V18),2)</f>
        <v>272428.8</v>
      </c>
      <c r="AA18" s="7">
        <f>ROUND(Y18-Z18,2)</f>
        <v>41876.68</v>
      </c>
      <c r="AB18" s="7">
        <f>ROUND(AB17+AA18,2)</f>
        <v>-312071.77</v>
      </c>
      <c r="AC18" s="7">
        <f>ROUND(X18-J18-SUM(M18:P18)-S18-T18-ROUND(Q18*'Premissas'!$B$18,2)-V18,2)</f>
        <v>64995.36</v>
      </c>
      <c r="AD18" s="7">
        <f>ROUND(SUM($K$5:K18)-SUM($L$5:L18)+SUM($Q$5:Q18)-SUM($R$5:R18),2)</f>
        <v>307424.16</v>
      </c>
      <c r="AE18" s="7">
        <f>MAX(0,AB18)*'Premissas'!$B$28</f>
        <v>0.0</v>
      </c>
      <c r="AF18" s="9">
        <f>IF(AB18&gt;=0,A18,999)</f>
        <v>999</v>
      </c>
      <c r="AG18" s="9">
        <f>IF(AE18&gt;=Resumo!$E$6,A18,999)</f>
        <v>999</v>
      </c>
      <c r="AH18" s="7">
        <f>AB18+Capital!$A$5</f>
        <v>-212071.77000000002</v>
      </c>
      <c r="AI18" s="7">
        <f>AB18+Capital!$A$6</f>
        <v>-162071.77000000002</v>
      </c>
      <c r="AJ18" s="7">
        <f>AB18+Capital!$A$7</f>
        <v>-112071.77000000002</v>
      </c>
    </row>
    <row r="19" spans="1:36">
      <c r="A19" s="9">
        <v>15</v>
      </c>
      <c r="B19" s="10">
        <v>2600</v>
      </c>
      <c r="C19" s="9">
        <f>ROUNDUP(B19/'Premissas'!$B$14,0)</f>
        <v>130000</v>
      </c>
      <c r="D19" s="10">
        <v>2</v>
      </c>
      <c r="E19" s="9">
        <f>D19*'Premissas'!$B$16</f>
        <v>160</v>
      </c>
      <c r="F19" s="7">
        <f>ROUND(B19*'Premissas'!$B$5,2)</f>
        <v>75400</v>
      </c>
      <c r="G19" s="7">
        <f>ROUND(F19*'Premissas'!$B$6,2)</f>
        <v>377000</v>
      </c>
      <c r="H19" s="7">
        <f>ROUND(G19*'Premissas'!$B$7,2)</f>
        <v>30160</v>
      </c>
      <c r="I19" s="7">
        <f>ROUND(G19-H19,2)</f>
        <v>346840</v>
      </c>
      <c r="J19" s="7">
        <f>ROUND(I19*'Premissas'!$B$8+B19*(1-'Premissas'!$B$7)*'Premissas'!$B$9*'Premissas'!$B$6,2)</f>
        <v>46297.16</v>
      </c>
      <c r="K19" s="7">
        <f>ROUND(I19-J19,2)</f>
        <v>300542.84</v>
      </c>
      <c r="L19" s="7">
        <f>IF(A19&gt;'Premissas'!$B$20,INDEX($K$5:$K$28,MAX(1,A19-'Premissas'!$B$20)),0)</f>
        <v>277424.16</v>
      </c>
      <c r="M19" s="7">
        <f>ROUND(I19*'Premissas'!$B$10,2)</f>
        <v>52026</v>
      </c>
      <c r="N19" s="7">
        <f>ROUND(I19*'Premissas'!$B$11,2)</f>
        <v>10405.2</v>
      </c>
      <c r="O19" s="7">
        <f>ROUND(B19*'Premissas'!$B$12*'Premissas'!$B$6,2)</f>
        <v>130000</v>
      </c>
      <c r="P19" s="7">
        <f>ROUND(B19*'Premissas'!$B$13*'Premissas'!$B$6,2)</f>
        <v>13000</v>
      </c>
      <c r="Q19" s="7">
        <f>ROUND(D19*'Premissas'!$B$15,2)</f>
        <v>60000</v>
      </c>
      <c r="R19" s="7">
        <f>ROUND(Q19*'Premissas'!$B$19+Q18*(1-'Premissas'!$B$19),2)</f>
        <v>60000</v>
      </c>
      <c r="S19" s="7">
        <f>ROUND(E19*'Premissas'!$B$17,2)</f>
        <v>28800</v>
      </c>
      <c r="T19" s="7">
        <f>ROUND(Q19*'Premissas'!$B$10,2)</f>
        <v>9000</v>
      </c>
      <c r="U19" s="7">
        <f>ROUND(R19*'Premissas'!$B$18,2)</f>
        <v>3000</v>
      </c>
      <c r="V19" s="7">
        <f>IF(A19&lt;=12,'Premissas'!$B$24,'Premissas'!$B$25)</f>
        <v>42000</v>
      </c>
      <c r="W19" s="7">
        <f>ROUND(G19+Q19,2)</f>
        <v>437000</v>
      </c>
      <c r="X19" s="7">
        <f>ROUND(I19+Q19,2)</f>
        <v>406840</v>
      </c>
      <c r="Y19" s="7">
        <f>ROUND(L19+R19,2)</f>
        <v>337424.16</v>
      </c>
      <c r="Z19" s="7">
        <f>ROUND(SUM(M19:P19)+SUM(S19:V19),2)</f>
        <v>288231.2</v>
      </c>
      <c r="AA19" s="7">
        <f>ROUND(Y19-Z19,2)</f>
        <v>49192.96</v>
      </c>
      <c r="AB19" s="7">
        <f>ROUND(AB18+AA19,2)</f>
        <v>-262878.81</v>
      </c>
      <c r="AC19" s="7">
        <f>ROUND(X19-J19-SUM(M19:P19)-S19-T19-ROUND(Q19*'Premissas'!$B$18,2)-V19,2)</f>
        <v>72311.64</v>
      </c>
      <c r="AD19" s="7">
        <f>ROUND(SUM($K$5:K19)-SUM($L$5:L19)+SUM($Q$5:Q19)-SUM($R$5:R19),2)</f>
        <v>330542.84</v>
      </c>
      <c r="AE19" s="7">
        <f>MAX(0,AB19)*'Premissas'!$B$28</f>
        <v>0.0</v>
      </c>
      <c r="AF19" s="9">
        <f>IF(AB19&gt;=0,A19,999)</f>
        <v>999</v>
      </c>
      <c r="AG19" s="9">
        <f>IF(AE19&gt;=Resumo!$E$6,A19,999)</f>
        <v>999</v>
      </c>
      <c r="AH19" s="7">
        <f>AB19+Capital!$A$5</f>
        <v>-162878.81</v>
      </c>
      <c r="AI19" s="7">
        <f>AB19+Capital!$A$6</f>
        <v>-112878.81</v>
      </c>
      <c r="AJ19" s="7">
        <f>AB19+Capital!$A$7</f>
        <v>-62878.81</v>
      </c>
    </row>
    <row r="20" spans="1:36">
      <c r="A20" s="9">
        <v>16</v>
      </c>
      <c r="B20" s="10">
        <v>2800</v>
      </c>
      <c r="C20" s="9">
        <f>ROUNDUP(B20/'Premissas'!$B$14,0)</f>
        <v>140000</v>
      </c>
      <c r="D20" s="10">
        <v>2</v>
      </c>
      <c r="E20" s="9">
        <f>D20*'Premissas'!$B$16</f>
        <v>160</v>
      </c>
      <c r="F20" s="7">
        <f>ROUND(B20*'Premissas'!$B$5,2)</f>
        <v>81200</v>
      </c>
      <c r="G20" s="7">
        <f>ROUND(F20*'Premissas'!$B$6,2)</f>
        <v>406000</v>
      </c>
      <c r="H20" s="7">
        <f>ROUND(G20*'Premissas'!$B$7,2)</f>
        <v>32480</v>
      </c>
      <c r="I20" s="7">
        <f>ROUND(G20-H20,2)</f>
        <v>373520</v>
      </c>
      <c r="J20" s="7">
        <f>ROUND(I20*'Premissas'!$B$8+B20*(1-'Premissas'!$B$7)*'Premissas'!$B$9*'Premissas'!$B$6,2)</f>
        <v>49858.48</v>
      </c>
      <c r="K20" s="7">
        <f>ROUND(I20-J20,2)</f>
        <v>323661.52</v>
      </c>
      <c r="L20" s="7">
        <f>IF(A20&gt;'Premissas'!$B$20,INDEX($K$5:$K$28,MAX(1,A20-'Premissas'!$B$20)),0)</f>
        <v>300542.84</v>
      </c>
      <c r="M20" s="7">
        <f>ROUND(I20*'Premissas'!$B$10,2)</f>
        <v>56028</v>
      </c>
      <c r="N20" s="7">
        <f>ROUND(I20*'Premissas'!$B$11,2)</f>
        <v>11205.6</v>
      </c>
      <c r="O20" s="7">
        <f>ROUND(B20*'Premissas'!$B$12*'Premissas'!$B$6,2)</f>
        <v>140000</v>
      </c>
      <c r="P20" s="7">
        <f>ROUND(B20*'Premissas'!$B$13*'Premissas'!$B$6,2)</f>
        <v>14000</v>
      </c>
      <c r="Q20" s="7">
        <f>ROUND(D20*'Premissas'!$B$15,2)</f>
        <v>60000</v>
      </c>
      <c r="R20" s="7">
        <f>ROUND(Q20*'Premissas'!$B$19+Q19*(1-'Premissas'!$B$19),2)</f>
        <v>60000</v>
      </c>
      <c r="S20" s="7">
        <f>ROUND(E20*'Premissas'!$B$17,2)</f>
        <v>28800</v>
      </c>
      <c r="T20" s="7">
        <f>ROUND(Q20*'Premissas'!$B$10,2)</f>
        <v>9000</v>
      </c>
      <c r="U20" s="7">
        <f>ROUND(R20*'Premissas'!$B$18,2)</f>
        <v>3000</v>
      </c>
      <c r="V20" s="7">
        <f>IF(A20&lt;=12,'Premissas'!$B$24,'Premissas'!$B$25)</f>
        <v>42000</v>
      </c>
      <c r="W20" s="7">
        <f>ROUND(G20+Q20,2)</f>
        <v>466000</v>
      </c>
      <c r="X20" s="7">
        <f>ROUND(I20+Q20,2)</f>
        <v>433520</v>
      </c>
      <c r="Y20" s="7">
        <f>ROUND(L20+R20,2)</f>
        <v>360542.84</v>
      </c>
      <c r="Z20" s="7">
        <f>ROUND(SUM(M20:P20)+SUM(S20:V20),2)</f>
        <v>304033.6</v>
      </c>
      <c r="AA20" s="7">
        <f>ROUND(Y20-Z20,2)</f>
        <v>56509.24</v>
      </c>
      <c r="AB20" s="7">
        <f>ROUND(AB19+AA20,2)</f>
        <v>-206369.57</v>
      </c>
      <c r="AC20" s="7">
        <f>ROUND(X20-J20-SUM(M20:P20)-S20-T20-ROUND(Q20*'Premissas'!$B$18,2)-V20,2)</f>
        <v>79627.92</v>
      </c>
      <c r="AD20" s="7">
        <f>ROUND(SUM($K$5:K20)-SUM($L$5:L20)+SUM($Q$5:Q20)-SUM($R$5:R20),2)</f>
        <v>353661.52</v>
      </c>
      <c r="AE20" s="7">
        <f>MAX(0,AB20)*'Premissas'!$B$28</f>
        <v>0.0</v>
      </c>
      <c r="AF20" s="9">
        <f>IF(AB20&gt;=0,A20,999)</f>
        <v>999</v>
      </c>
      <c r="AG20" s="9">
        <f>IF(AE20&gt;=Resumo!$E$6,A20,999)</f>
        <v>999</v>
      </c>
      <c r="AH20" s="7">
        <f>AB20+Capital!$A$5</f>
        <v>-106369.57</v>
      </c>
      <c r="AI20" s="7">
        <f>AB20+Capital!$A$6</f>
        <v>-56369.57000000001</v>
      </c>
      <c r="AJ20" s="7">
        <f>AB20+Capital!$A$7</f>
        <v>-6369.570000000007</v>
      </c>
    </row>
    <row r="21" spans="1:36">
      <c r="A21" s="9">
        <v>17</v>
      </c>
      <c r="B21" s="10">
        <v>3000</v>
      </c>
      <c r="C21" s="9">
        <f>ROUNDUP(B21/'Premissas'!$B$14,0)</f>
        <v>150000</v>
      </c>
      <c r="D21" s="10">
        <v>2</v>
      </c>
      <c r="E21" s="9">
        <f>D21*'Premissas'!$B$16</f>
        <v>160</v>
      </c>
      <c r="F21" s="7">
        <f>ROUND(B21*'Premissas'!$B$5,2)</f>
        <v>87000</v>
      </c>
      <c r="G21" s="7">
        <f>ROUND(F21*'Premissas'!$B$6,2)</f>
        <v>435000</v>
      </c>
      <c r="H21" s="7">
        <f>ROUND(G21*'Premissas'!$B$7,2)</f>
        <v>34800</v>
      </c>
      <c r="I21" s="7">
        <f>ROUND(G21-H21,2)</f>
        <v>400200</v>
      </c>
      <c r="J21" s="7">
        <f>ROUND(I21*'Premissas'!$B$8+B21*(1-'Premissas'!$B$7)*'Premissas'!$B$9*'Premissas'!$B$6,2)</f>
        <v>53419.8</v>
      </c>
      <c r="K21" s="7">
        <f>ROUND(I21-J21,2)</f>
        <v>346780.2</v>
      </c>
      <c r="L21" s="7">
        <f>IF(A21&gt;'Premissas'!$B$20,INDEX($K$5:$K$28,MAX(1,A21-'Premissas'!$B$20)),0)</f>
        <v>323661.52</v>
      </c>
      <c r="M21" s="7">
        <f>ROUND(I21*'Premissas'!$B$10,2)</f>
        <v>60030</v>
      </c>
      <c r="N21" s="7">
        <f>ROUND(I21*'Premissas'!$B$11,2)</f>
        <v>12006</v>
      </c>
      <c r="O21" s="7">
        <f>ROUND(B21*'Premissas'!$B$12*'Premissas'!$B$6,2)</f>
        <v>150000</v>
      </c>
      <c r="P21" s="7">
        <f>ROUND(B21*'Premissas'!$B$13*'Premissas'!$B$6,2)</f>
        <v>15000</v>
      </c>
      <c r="Q21" s="7">
        <f>ROUND(D21*'Premissas'!$B$15,2)</f>
        <v>60000</v>
      </c>
      <c r="R21" s="7">
        <f>ROUND(Q21*'Premissas'!$B$19+Q20*(1-'Premissas'!$B$19),2)</f>
        <v>60000</v>
      </c>
      <c r="S21" s="7">
        <f>ROUND(E21*'Premissas'!$B$17,2)</f>
        <v>28800</v>
      </c>
      <c r="T21" s="7">
        <f>ROUND(Q21*'Premissas'!$B$10,2)</f>
        <v>9000</v>
      </c>
      <c r="U21" s="7">
        <f>ROUND(R21*'Premissas'!$B$18,2)</f>
        <v>3000</v>
      </c>
      <c r="V21" s="7">
        <f>IF(A21&lt;=12,'Premissas'!$B$24,'Premissas'!$B$25)</f>
        <v>42000</v>
      </c>
      <c r="W21" s="7">
        <f>ROUND(G21+Q21,2)</f>
        <v>495000</v>
      </c>
      <c r="X21" s="7">
        <f>ROUND(I21+Q21,2)</f>
        <v>460200</v>
      </c>
      <c r="Y21" s="7">
        <f>ROUND(L21+R21,2)</f>
        <v>383661.52</v>
      </c>
      <c r="Z21" s="7">
        <f>ROUND(SUM(M21:P21)+SUM(S21:V21),2)</f>
        <v>319836</v>
      </c>
      <c r="AA21" s="7">
        <f>ROUND(Y21-Z21,2)</f>
        <v>63825.52</v>
      </c>
      <c r="AB21" s="7">
        <f>ROUND(AB20+AA21,2)</f>
        <v>-142544.05</v>
      </c>
      <c r="AC21" s="7">
        <f>ROUND(X21-J21-SUM(M21:P21)-S21-T21-ROUND(Q21*'Premissas'!$B$18,2)-V21,2)</f>
        <v>86944.2</v>
      </c>
      <c r="AD21" s="7">
        <f>ROUND(SUM($K$5:K21)-SUM($L$5:L21)+SUM($Q$5:Q21)-SUM($R$5:R21),2)</f>
        <v>376780.2</v>
      </c>
      <c r="AE21" s="7">
        <f>MAX(0,AB21)*'Premissas'!$B$28</f>
        <v>0.0</v>
      </c>
      <c r="AF21" s="9">
        <f>IF(AB21&gt;=0,A21,999)</f>
        <v>999</v>
      </c>
      <c r="AG21" s="9">
        <f>IF(AE21&gt;=Resumo!$E$6,A21,999)</f>
        <v>999</v>
      </c>
      <c r="AH21" s="7">
        <f>AB21+Capital!$A$5</f>
        <v>-42544.04999999999</v>
      </c>
      <c r="AI21" s="7">
        <f>AB21+Capital!$A$6</f>
        <v>7455.950000000012</v>
      </c>
      <c r="AJ21" s="7">
        <f>AB21+Capital!$A$7</f>
        <v>57455.95000000001</v>
      </c>
    </row>
    <row r="22" spans="1:36">
      <c r="A22" s="9">
        <v>18</v>
      </c>
      <c r="B22" s="10">
        <v>3000</v>
      </c>
      <c r="C22" s="9">
        <f>ROUNDUP(B22/'Premissas'!$B$14,0)</f>
        <v>150000</v>
      </c>
      <c r="D22" s="10">
        <v>2</v>
      </c>
      <c r="E22" s="9">
        <f>D22*'Premissas'!$B$16</f>
        <v>160</v>
      </c>
      <c r="F22" s="7">
        <f>ROUND(B22*'Premissas'!$B$5,2)</f>
        <v>87000</v>
      </c>
      <c r="G22" s="7">
        <f>ROUND(F22*'Premissas'!$B$6,2)</f>
        <v>435000</v>
      </c>
      <c r="H22" s="7">
        <f>ROUND(G22*'Premissas'!$B$7,2)</f>
        <v>34800</v>
      </c>
      <c r="I22" s="7">
        <f>ROUND(G22-H22,2)</f>
        <v>400200</v>
      </c>
      <c r="J22" s="7">
        <f>ROUND(I22*'Premissas'!$B$8+B22*(1-'Premissas'!$B$7)*'Premissas'!$B$9*'Premissas'!$B$6,2)</f>
        <v>53419.8</v>
      </c>
      <c r="K22" s="7">
        <f>ROUND(I22-J22,2)</f>
        <v>346780.2</v>
      </c>
      <c r="L22" s="7">
        <f>IF(A22&gt;'Premissas'!$B$20,INDEX($K$5:$K$28,MAX(1,A22-'Premissas'!$B$20)),0)</f>
        <v>346780.2</v>
      </c>
      <c r="M22" s="7">
        <f>ROUND(I22*'Premissas'!$B$10,2)</f>
        <v>60030</v>
      </c>
      <c r="N22" s="7">
        <f>ROUND(I22*'Premissas'!$B$11,2)</f>
        <v>12006</v>
      </c>
      <c r="O22" s="7">
        <f>ROUND(B22*'Premissas'!$B$12*'Premissas'!$B$6,2)</f>
        <v>150000</v>
      </c>
      <c r="P22" s="7">
        <f>ROUND(B22*'Premissas'!$B$13*'Premissas'!$B$6,2)</f>
        <v>15000</v>
      </c>
      <c r="Q22" s="7">
        <f>ROUND(D22*'Premissas'!$B$15,2)</f>
        <v>60000</v>
      </c>
      <c r="R22" s="7">
        <f>ROUND(Q22*'Premissas'!$B$19+Q21*(1-'Premissas'!$B$19),2)</f>
        <v>60000</v>
      </c>
      <c r="S22" s="7">
        <f>ROUND(E22*'Premissas'!$B$17,2)</f>
        <v>28800</v>
      </c>
      <c r="T22" s="7">
        <f>ROUND(Q22*'Premissas'!$B$10,2)</f>
        <v>9000</v>
      </c>
      <c r="U22" s="7">
        <f>ROUND(R22*'Premissas'!$B$18,2)</f>
        <v>3000</v>
      </c>
      <c r="V22" s="7">
        <f>IF(A22&lt;=12,'Premissas'!$B$24,'Premissas'!$B$25)</f>
        <v>42000</v>
      </c>
      <c r="W22" s="7">
        <f>ROUND(G22+Q22,2)</f>
        <v>495000</v>
      </c>
      <c r="X22" s="7">
        <f>ROUND(I22+Q22,2)</f>
        <v>460200</v>
      </c>
      <c r="Y22" s="7">
        <f>ROUND(L22+R22,2)</f>
        <v>406780.2</v>
      </c>
      <c r="Z22" s="7">
        <f>ROUND(SUM(M22:P22)+SUM(S22:V22),2)</f>
        <v>319836</v>
      </c>
      <c r="AA22" s="7">
        <f>ROUND(Y22-Z22,2)</f>
        <v>86944.2</v>
      </c>
      <c r="AB22" s="7">
        <f>ROUND(AB21+AA22,2)</f>
        <v>-55599.85</v>
      </c>
      <c r="AC22" s="7">
        <f>ROUND(X22-J22-SUM(M22:P22)-S22-T22-ROUND(Q22*'Premissas'!$B$18,2)-V22,2)</f>
        <v>86944.2</v>
      </c>
      <c r="AD22" s="7">
        <f>ROUND(SUM($K$5:K22)-SUM($L$5:L22)+SUM($Q$5:Q22)-SUM($R$5:R22),2)</f>
        <v>376780.2</v>
      </c>
      <c r="AE22" s="7">
        <f>MAX(0,AB22)*'Premissas'!$B$28</f>
        <v>0.0</v>
      </c>
      <c r="AF22" s="9">
        <f>IF(AB22&gt;=0,A22,999)</f>
        <v>999</v>
      </c>
      <c r="AG22" s="9">
        <f>IF(AE22&gt;=Resumo!$E$6,A22,999)</f>
        <v>999</v>
      </c>
      <c r="AH22" s="7">
        <f>AB22+Capital!$A$5</f>
        <v>44400.15</v>
      </c>
      <c r="AI22" s="7">
        <f>AB22+Capital!$A$6</f>
        <v>94400.15</v>
      </c>
      <c r="AJ22" s="7">
        <f>AB22+Capital!$A$7</f>
        <v>144400.15</v>
      </c>
    </row>
    <row r="23" spans="1:36">
      <c r="A23" s="9">
        <v>19</v>
      </c>
      <c r="B23" s="10">
        <v>3000</v>
      </c>
      <c r="C23" s="9">
        <f>ROUNDUP(B23/'Premissas'!$B$14,0)</f>
        <v>150000</v>
      </c>
      <c r="D23" s="10">
        <v>2</v>
      </c>
      <c r="E23" s="9">
        <f>D23*'Premissas'!$B$16</f>
        <v>160</v>
      </c>
      <c r="F23" s="7">
        <f>ROUND(B23*'Premissas'!$B$5,2)</f>
        <v>87000</v>
      </c>
      <c r="G23" s="7">
        <f>ROUND(F23*'Premissas'!$B$6,2)</f>
        <v>435000</v>
      </c>
      <c r="H23" s="7">
        <f>ROUND(G23*'Premissas'!$B$7,2)</f>
        <v>34800</v>
      </c>
      <c r="I23" s="7">
        <f>ROUND(G23-H23,2)</f>
        <v>400200</v>
      </c>
      <c r="J23" s="7">
        <f>ROUND(I23*'Premissas'!$B$8+B23*(1-'Premissas'!$B$7)*'Premissas'!$B$9*'Premissas'!$B$6,2)</f>
        <v>53419.8</v>
      </c>
      <c r="K23" s="7">
        <f>ROUND(I23-J23,2)</f>
        <v>346780.2</v>
      </c>
      <c r="L23" s="7">
        <f>IF(A23&gt;'Premissas'!$B$20,INDEX($K$5:$K$28,MAX(1,A23-'Premissas'!$B$20)),0)</f>
        <v>346780.2</v>
      </c>
      <c r="M23" s="7">
        <f>ROUND(I23*'Premissas'!$B$10,2)</f>
        <v>60030</v>
      </c>
      <c r="N23" s="7">
        <f>ROUND(I23*'Premissas'!$B$11,2)</f>
        <v>12006</v>
      </c>
      <c r="O23" s="7">
        <f>ROUND(B23*'Premissas'!$B$12*'Premissas'!$B$6,2)</f>
        <v>150000</v>
      </c>
      <c r="P23" s="7">
        <f>ROUND(B23*'Premissas'!$B$13*'Premissas'!$B$6,2)</f>
        <v>15000</v>
      </c>
      <c r="Q23" s="7">
        <f>ROUND(D23*'Premissas'!$B$15,2)</f>
        <v>60000</v>
      </c>
      <c r="R23" s="7">
        <f>ROUND(Q23*'Premissas'!$B$19+Q22*(1-'Premissas'!$B$19),2)</f>
        <v>60000</v>
      </c>
      <c r="S23" s="7">
        <f>ROUND(E23*'Premissas'!$B$17,2)</f>
        <v>28800</v>
      </c>
      <c r="T23" s="7">
        <f>ROUND(Q23*'Premissas'!$B$10,2)</f>
        <v>9000</v>
      </c>
      <c r="U23" s="7">
        <f>ROUND(R23*'Premissas'!$B$18,2)</f>
        <v>3000</v>
      </c>
      <c r="V23" s="7">
        <f>IF(A23&lt;=12,'Premissas'!$B$24,'Premissas'!$B$25)</f>
        <v>42000</v>
      </c>
      <c r="W23" s="7">
        <f>ROUND(G23+Q23,2)</f>
        <v>495000</v>
      </c>
      <c r="X23" s="7">
        <f>ROUND(I23+Q23,2)</f>
        <v>460200</v>
      </c>
      <c r="Y23" s="7">
        <f>ROUND(L23+R23,2)</f>
        <v>406780.2</v>
      </c>
      <c r="Z23" s="7">
        <f>ROUND(SUM(M23:P23)+SUM(S23:V23),2)</f>
        <v>319836</v>
      </c>
      <c r="AA23" s="7">
        <f>ROUND(Y23-Z23,2)</f>
        <v>86944.2</v>
      </c>
      <c r="AB23" s="7">
        <f>ROUND(AB22+AA23,2)</f>
        <v>31344.35</v>
      </c>
      <c r="AC23" s="7">
        <f>ROUND(X23-J23-SUM(M23:P23)-S23-T23-ROUND(Q23*'Premissas'!$B$18,2)-V23,2)</f>
        <v>86944.2</v>
      </c>
      <c r="AD23" s="7">
        <f>ROUND(SUM($K$5:K23)-SUM($L$5:L23)+SUM($Q$5:Q23)-SUM($R$5:R23),2)</f>
        <v>376780.2</v>
      </c>
      <c r="AE23" s="7">
        <f>MAX(0,AB23)*'Premissas'!$B$28</f>
        <v>15672.175</v>
      </c>
      <c r="AF23" s="9">
        <f>IF(AB23&gt;=0,A23,999)</f>
        <v>19</v>
      </c>
      <c r="AG23" s="9">
        <f>IF(AE23&gt;=Resumo!$E$6,A23,999)</f>
        <v>999</v>
      </c>
      <c r="AH23" s="7">
        <f>AB23+Capital!$A$5</f>
        <v>131344.35</v>
      </c>
      <c r="AI23" s="7">
        <f>AB23+Capital!$A$6</f>
        <v>181344.35</v>
      </c>
      <c r="AJ23" s="7">
        <f>AB23+Capital!$A$7</f>
        <v>231344.35</v>
      </c>
    </row>
    <row r="24" spans="1:36">
      <c r="A24" s="9">
        <v>20</v>
      </c>
      <c r="B24" s="10">
        <v>3000</v>
      </c>
      <c r="C24" s="9">
        <f>ROUNDUP(B24/'Premissas'!$B$14,0)</f>
        <v>150000</v>
      </c>
      <c r="D24" s="10">
        <v>2</v>
      </c>
      <c r="E24" s="9">
        <f>D24*'Premissas'!$B$16</f>
        <v>160</v>
      </c>
      <c r="F24" s="7">
        <f>ROUND(B24*'Premissas'!$B$5,2)</f>
        <v>87000</v>
      </c>
      <c r="G24" s="7">
        <f>ROUND(F24*'Premissas'!$B$6,2)</f>
        <v>435000</v>
      </c>
      <c r="H24" s="7">
        <f>ROUND(G24*'Premissas'!$B$7,2)</f>
        <v>34800</v>
      </c>
      <c r="I24" s="7">
        <f>ROUND(G24-H24,2)</f>
        <v>400200</v>
      </c>
      <c r="J24" s="7">
        <f>ROUND(I24*'Premissas'!$B$8+B24*(1-'Premissas'!$B$7)*'Premissas'!$B$9*'Premissas'!$B$6,2)</f>
        <v>53419.8</v>
      </c>
      <c r="K24" s="7">
        <f>ROUND(I24-J24,2)</f>
        <v>346780.2</v>
      </c>
      <c r="L24" s="7">
        <f>IF(A24&gt;'Premissas'!$B$20,INDEX($K$5:$K$28,MAX(1,A24-'Premissas'!$B$20)),0)</f>
        <v>346780.2</v>
      </c>
      <c r="M24" s="7">
        <f>ROUND(I24*'Premissas'!$B$10,2)</f>
        <v>60030</v>
      </c>
      <c r="N24" s="7">
        <f>ROUND(I24*'Premissas'!$B$11,2)</f>
        <v>12006</v>
      </c>
      <c r="O24" s="7">
        <f>ROUND(B24*'Premissas'!$B$12*'Premissas'!$B$6,2)</f>
        <v>150000</v>
      </c>
      <c r="P24" s="7">
        <f>ROUND(B24*'Premissas'!$B$13*'Premissas'!$B$6,2)</f>
        <v>15000</v>
      </c>
      <c r="Q24" s="7">
        <f>ROUND(D24*'Premissas'!$B$15,2)</f>
        <v>60000</v>
      </c>
      <c r="R24" s="7">
        <f>ROUND(Q24*'Premissas'!$B$19+Q23*(1-'Premissas'!$B$19),2)</f>
        <v>60000</v>
      </c>
      <c r="S24" s="7">
        <f>ROUND(E24*'Premissas'!$B$17,2)</f>
        <v>28800</v>
      </c>
      <c r="T24" s="7">
        <f>ROUND(Q24*'Premissas'!$B$10,2)</f>
        <v>9000</v>
      </c>
      <c r="U24" s="7">
        <f>ROUND(R24*'Premissas'!$B$18,2)</f>
        <v>3000</v>
      </c>
      <c r="V24" s="7">
        <f>IF(A24&lt;=12,'Premissas'!$B$24,'Premissas'!$B$25)</f>
        <v>42000</v>
      </c>
      <c r="W24" s="7">
        <f>ROUND(G24+Q24,2)</f>
        <v>495000</v>
      </c>
      <c r="X24" s="7">
        <f>ROUND(I24+Q24,2)</f>
        <v>460200</v>
      </c>
      <c r="Y24" s="7">
        <f>ROUND(L24+R24,2)</f>
        <v>406780.2</v>
      </c>
      <c r="Z24" s="7">
        <f>ROUND(SUM(M24:P24)+SUM(S24:V24),2)</f>
        <v>319836</v>
      </c>
      <c r="AA24" s="7">
        <f>ROUND(Y24-Z24,2)</f>
        <v>86944.2</v>
      </c>
      <c r="AB24" s="7">
        <f>ROUND(AB23+AA24,2)</f>
        <v>118288.55</v>
      </c>
      <c r="AC24" s="7">
        <f>ROUND(X24-J24-SUM(M24:P24)-S24-T24-ROUND(Q24*'Premissas'!$B$18,2)-V24,2)</f>
        <v>86944.2</v>
      </c>
      <c r="AD24" s="7">
        <f>ROUND(SUM($K$5:K24)-SUM($L$5:L24)+SUM($Q$5:Q24)-SUM($R$5:R24),2)</f>
        <v>376780.2</v>
      </c>
      <c r="AE24" s="7">
        <f>MAX(0,AB24)*'Premissas'!$B$28</f>
        <v>59144.275</v>
      </c>
      <c r="AF24" s="9">
        <f>IF(AB24&gt;=0,A24,999)</f>
        <v>20</v>
      </c>
      <c r="AG24" s="9">
        <f>IF(AE24&gt;=Resumo!$E$6,A24,999)</f>
        <v>999</v>
      </c>
      <c r="AH24" s="7">
        <f>AB24+Capital!$A$5</f>
        <v>218288.55</v>
      </c>
      <c r="AI24" s="7">
        <f>AB24+Capital!$A$6</f>
        <v>268288.55</v>
      </c>
      <c r="AJ24" s="7">
        <f>AB24+Capital!$A$7</f>
        <v>318288.55</v>
      </c>
    </row>
    <row r="25" spans="1:36">
      <c r="A25" s="9">
        <v>21</v>
      </c>
      <c r="B25" s="10">
        <v>3000</v>
      </c>
      <c r="C25" s="9">
        <f>ROUNDUP(B25/'Premissas'!$B$14,0)</f>
        <v>150000</v>
      </c>
      <c r="D25" s="10">
        <v>2</v>
      </c>
      <c r="E25" s="9">
        <f>D25*'Premissas'!$B$16</f>
        <v>160</v>
      </c>
      <c r="F25" s="7">
        <f>ROUND(B25*'Premissas'!$B$5,2)</f>
        <v>87000</v>
      </c>
      <c r="G25" s="7">
        <f>ROUND(F25*'Premissas'!$B$6,2)</f>
        <v>435000</v>
      </c>
      <c r="H25" s="7">
        <f>ROUND(G25*'Premissas'!$B$7,2)</f>
        <v>34800</v>
      </c>
      <c r="I25" s="7">
        <f>ROUND(G25-H25,2)</f>
        <v>400200</v>
      </c>
      <c r="J25" s="7">
        <f>ROUND(I25*'Premissas'!$B$8+B25*(1-'Premissas'!$B$7)*'Premissas'!$B$9*'Premissas'!$B$6,2)</f>
        <v>53419.8</v>
      </c>
      <c r="K25" s="7">
        <f>ROUND(I25-J25,2)</f>
        <v>346780.2</v>
      </c>
      <c r="L25" s="7">
        <f>IF(A25&gt;'Premissas'!$B$20,INDEX($K$5:$K$28,MAX(1,A25-'Premissas'!$B$20)),0)</f>
        <v>346780.2</v>
      </c>
      <c r="M25" s="7">
        <f>ROUND(I25*'Premissas'!$B$10,2)</f>
        <v>60030</v>
      </c>
      <c r="N25" s="7">
        <f>ROUND(I25*'Premissas'!$B$11,2)</f>
        <v>12006</v>
      </c>
      <c r="O25" s="7">
        <f>ROUND(B25*'Premissas'!$B$12*'Premissas'!$B$6,2)</f>
        <v>150000</v>
      </c>
      <c r="P25" s="7">
        <f>ROUND(B25*'Premissas'!$B$13*'Premissas'!$B$6,2)</f>
        <v>15000</v>
      </c>
      <c r="Q25" s="7">
        <f>ROUND(D25*'Premissas'!$B$15,2)</f>
        <v>60000</v>
      </c>
      <c r="R25" s="7">
        <f>ROUND(Q25*'Premissas'!$B$19+Q24*(1-'Premissas'!$B$19),2)</f>
        <v>60000</v>
      </c>
      <c r="S25" s="7">
        <f>ROUND(E25*'Premissas'!$B$17,2)</f>
        <v>28800</v>
      </c>
      <c r="T25" s="7">
        <f>ROUND(Q25*'Premissas'!$B$10,2)</f>
        <v>9000</v>
      </c>
      <c r="U25" s="7">
        <f>ROUND(R25*'Premissas'!$B$18,2)</f>
        <v>3000</v>
      </c>
      <c r="V25" s="7">
        <f>IF(A25&lt;=12,'Premissas'!$B$24,'Premissas'!$B$25)</f>
        <v>42000</v>
      </c>
      <c r="W25" s="7">
        <f>ROUND(G25+Q25,2)</f>
        <v>495000</v>
      </c>
      <c r="X25" s="7">
        <f>ROUND(I25+Q25,2)</f>
        <v>460200</v>
      </c>
      <c r="Y25" s="7">
        <f>ROUND(L25+R25,2)</f>
        <v>406780.2</v>
      </c>
      <c r="Z25" s="7">
        <f>ROUND(SUM(M25:P25)+SUM(S25:V25),2)</f>
        <v>319836</v>
      </c>
      <c r="AA25" s="7">
        <f>ROUND(Y25-Z25,2)</f>
        <v>86944.2</v>
      </c>
      <c r="AB25" s="7">
        <f>ROUND(AB24+AA25,2)</f>
        <v>205232.75</v>
      </c>
      <c r="AC25" s="7">
        <f>ROUND(X25-J25-SUM(M25:P25)-S25-T25-ROUND(Q25*'Premissas'!$B$18,2)-V25,2)</f>
        <v>86944.2</v>
      </c>
      <c r="AD25" s="7">
        <f>ROUND(SUM($K$5:K25)-SUM($L$5:L25)+SUM($Q$5:Q25)-SUM($R$5:R25),2)</f>
        <v>376780.2</v>
      </c>
      <c r="AE25" s="7">
        <f>MAX(0,AB25)*'Premissas'!$B$28</f>
        <v>102616.375</v>
      </c>
      <c r="AF25" s="9">
        <f>IF(AB25&gt;=0,A25,999)</f>
        <v>21</v>
      </c>
      <c r="AG25" s="9">
        <f>IF(AE25&gt;=Resumo!$E$6,A25,999)</f>
        <v>999</v>
      </c>
      <c r="AH25" s="7">
        <f>AB25+Capital!$A$5</f>
        <v>305232.75</v>
      </c>
      <c r="AI25" s="7">
        <f>AB25+Capital!$A$6</f>
        <v>355232.75</v>
      </c>
      <c r="AJ25" s="7">
        <f>AB25+Capital!$A$7</f>
        <v>405232.75</v>
      </c>
    </row>
    <row r="26" spans="1:36">
      <c r="A26" s="9">
        <v>22</v>
      </c>
      <c r="B26" s="10">
        <v>3000</v>
      </c>
      <c r="C26" s="9">
        <f>ROUNDUP(B26/'Premissas'!$B$14,0)</f>
        <v>150000</v>
      </c>
      <c r="D26" s="10">
        <v>2</v>
      </c>
      <c r="E26" s="9">
        <f>D26*'Premissas'!$B$16</f>
        <v>160</v>
      </c>
      <c r="F26" s="7">
        <f>ROUND(B26*'Premissas'!$B$5,2)</f>
        <v>87000</v>
      </c>
      <c r="G26" s="7">
        <f>ROUND(F26*'Premissas'!$B$6,2)</f>
        <v>435000</v>
      </c>
      <c r="H26" s="7">
        <f>ROUND(G26*'Premissas'!$B$7,2)</f>
        <v>34800</v>
      </c>
      <c r="I26" s="7">
        <f>ROUND(G26-H26,2)</f>
        <v>400200</v>
      </c>
      <c r="J26" s="7">
        <f>ROUND(I26*'Premissas'!$B$8+B26*(1-'Premissas'!$B$7)*'Premissas'!$B$9*'Premissas'!$B$6,2)</f>
        <v>53419.8</v>
      </c>
      <c r="K26" s="7">
        <f>ROUND(I26-J26,2)</f>
        <v>346780.2</v>
      </c>
      <c r="L26" s="7">
        <f>IF(A26&gt;'Premissas'!$B$20,INDEX($K$5:$K$28,MAX(1,A26-'Premissas'!$B$20)),0)</f>
        <v>346780.2</v>
      </c>
      <c r="M26" s="7">
        <f>ROUND(I26*'Premissas'!$B$10,2)</f>
        <v>60030</v>
      </c>
      <c r="N26" s="7">
        <f>ROUND(I26*'Premissas'!$B$11,2)</f>
        <v>12006</v>
      </c>
      <c r="O26" s="7">
        <f>ROUND(B26*'Premissas'!$B$12*'Premissas'!$B$6,2)</f>
        <v>150000</v>
      </c>
      <c r="P26" s="7">
        <f>ROUND(B26*'Premissas'!$B$13*'Premissas'!$B$6,2)</f>
        <v>15000</v>
      </c>
      <c r="Q26" s="7">
        <f>ROUND(D26*'Premissas'!$B$15,2)</f>
        <v>60000</v>
      </c>
      <c r="R26" s="7">
        <f>ROUND(Q26*'Premissas'!$B$19+Q25*(1-'Premissas'!$B$19),2)</f>
        <v>60000</v>
      </c>
      <c r="S26" s="7">
        <f>ROUND(E26*'Premissas'!$B$17,2)</f>
        <v>28800</v>
      </c>
      <c r="T26" s="7">
        <f>ROUND(Q26*'Premissas'!$B$10,2)</f>
        <v>9000</v>
      </c>
      <c r="U26" s="7">
        <f>ROUND(R26*'Premissas'!$B$18,2)</f>
        <v>3000</v>
      </c>
      <c r="V26" s="7">
        <f>IF(A26&lt;=12,'Premissas'!$B$24,'Premissas'!$B$25)</f>
        <v>42000</v>
      </c>
      <c r="W26" s="7">
        <f>ROUND(G26+Q26,2)</f>
        <v>495000</v>
      </c>
      <c r="X26" s="7">
        <f>ROUND(I26+Q26,2)</f>
        <v>460200</v>
      </c>
      <c r="Y26" s="7">
        <f>ROUND(L26+R26,2)</f>
        <v>406780.2</v>
      </c>
      <c r="Z26" s="7">
        <f>ROUND(SUM(M26:P26)+SUM(S26:V26),2)</f>
        <v>319836</v>
      </c>
      <c r="AA26" s="7">
        <f>ROUND(Y26-Z26,2)</f>
        <v>86944.2</v>
      </c>
      <c r="AB26" s="7">
        <f>ROUND(AB25+AA26,2)</f>
        <v>292176.95</v>
      </c>
      <c r="AC26" s="7">
        <f>ROUND(X26-J26-SUM(M26:P26)-S26-T26-ROUND(Q26*'Premissas'!$B$18,2)-V26,2)</f>
        <v>86944.2</v>
      </c>
      <c r="AD26" s="7">
        <f>ROUND(SUM($K$5:K26)-SUM($L$5:L26)+SUM($Q$5:Q26)-SUM($R$5:R26),2)</f>
        <v>376780.2</v>
      </c>
      <c r="AE26" s="7">
        <f>MAX(0,AB26)*'Premissas'!$B$28</f>
        <v>146088.475</v>
      </c>
      <c r="AF26" s="9">
        <f>IF(AB26&gt;=0,A26,999)</f>
        <v>22</v>
      </c>
      <c r="AG26" s="9">
        <f>IF(AE26&gt;=Resumo!$E$6,A26,999)</f>
        <v>999</v>
      </c>
      <c r="AH26" s="7">
        <f>AB26+Capital!$A$5</f>
        <v>392176.95</v>
      </c>
      <c r="AI26" s="7">
        <f>AB26+Capital!$A$6</f>
        <v>442176.95</v>
      </c>
      <c r="AJ26" s="7">
        <f>AB26+Capital!$A$7</f>
        <v>492176.95</v>
      </c>
    </row>
    <row r="27" spans="1:36">
      <c r="A27" s="9">
        <v>23</v>
      </c>
      <c r="B27" s="10">
        <v>3000</v>
      </c>
      <c r="C27" s="9">
        <f>ROUNDUP(B27/'Premissas'!$B$14,0)</f>
        <v>150000</v>
      </c>
      <c r="D27" s="10">
        <v>2</v>
      </c>
      <c r="E27" s="9">
        <f>D27*'Premissas'!$B$16</f>
        <v>160</v>
      </c>
      <c r="F27" s="7">
        <f>ROUND(B27*'Premissas'!$B$5,2)</f>
        <v>87000</v>
      </c>
      <c r="G27" s="7">
        <f>ROUND(F27*'Premissas'!$B$6,2)</f>
        <v>435000</v>
      </c>
      <c r="H27" s="7">
        <f>ROUND(G27*'Premissas'!$B$7,2)</f>
        <v>34800</v>
      </c>
      <c r="I27" s="7">
        <f>ROUND(G27-H27,2)</f>
        <v>400200</v>
      </c>
      <c r="J27" s="7">
        <f>ROUND(I27*'Premissas'!$B$8+B27*(1-'Premissas'!$B$7)*'Premissas'!$B$9*'Premissas'!$B$6,2)</f>
        <v>53419.8</v>
      </c>
      <c r="K27" s="7">
        <f>ROUND(I27-J27,2)</f>
        <v>346780.2</v>
      </c>
      <c r="L27" s="7">
        <f>IF(A27&gt;'Premissas'!$B$20,INDEX($K$5:$K$28,MAX(1,A27-'Premissas'!$B$20)),0)</f>
        <v>346780.2</v>
      </c>
      <c r="M27" s="7">
        <f>ROUND(I27*'Premissas'!$B$10,2)</f>
        <v>60030</v>
      </c>
      <c r="N27" s="7">
        <f>ROUND(I27*'Premissas'!$B$11,2)</f>
        <v>12006</v>
      </c>
      <c r="O27" s="7">
        <f>ROUND(B27*'Premissas'!$B$12*'Premissas'!$B$6,2)</f>
        <v>150000</v>
      </c>
      <c r="P27" s="7">
        <f>ROUND(B27*'Premissas'!$B$13*'Premissas'!$B$6,2)</f>
        <v>15000</v>
      </c>
      <c r="Q27" s="7">
        <f>ROUND(D27*'Premissas'!$B$15,2)</f>
        <v>60000</v>
      </c>
      <c r="R27" s="7">
        <f>ROUND(Q27*'Premissas'!$B$19+Q26*(1-'Premissas'!$B$19),2)</f>
        <v>60000</v>
      </c>
      <c r="S27" s="7">
        <f>ROUND(E27*'Premissas'!$B$17,2)</f>
        <v>28800</v>
      </c>
      <c r="T27" s="7">
        <f>ROUND(Q27*'Premissas'!$B$10,2)</f>
        <v>9000</v>
      </c>
      <c r="U27" s="7">
        <f>ROUND(R27*'Premissas'!$B$18,2)</f>
        <v>3000</v>
      </c>
      <c r="V27" s="7">
        <f>IF(A27&lt;=12,'Premissas'!$B$24,'Premissas'!$B$25)</f>
        <v>42000</v>
      </c>
      <c r="W27" s="7">
        <f>ROUND(G27+Q27,2)</f>
        <v>495000</v>
      </c>
      <c r="X27" s="7">
        <f>ROUND(I27+Q27,2)</f>
        <v>460200</v>
      </c>
      <c r="Y27" s="7">
        <f>ROUND(L27+R27,2)</f>
        <v>406780.2</v>
      </c>
      <c r="Z27" s="7">
        <f>ROUND(SUM(M27:P27)+SUM(S27:V27),2)</f>
        <v>319836</v>
      </c>
      <c r="AA27" s="7">
        <f>ROUND(Y27-Z27,2)</f>
        <v>86944.2</v>
      </c>
      <c r="AB27" s="7">
        <f>ROUND(AB26+AA27,2)</f>
        <v>379121.15</v>
      </c>
      <c r="AC27" s="7">
        <f>ROUND(X27-J27-SUM(M27:P27)-S27-T27-ROUND(Q27*'Premissas'!$B$18,2)-V27,2)</f>
        <v>86944.2</v>
      </c>
      <c r="AD27" s="7">
        <f>ROUND(SUM($K$5:K27)-SUM($L$5:L27)+SUM($Q$5:Q27)-SUM($R$5:R27),2)</f>
        <v>376780.2</v>
      </c>
      <c r="AE27" s="7">
        <f>MAX(0,AB27)*'Premissas'!$B$28</f>
        <v>189560.575</v>
      </c>
      <c r="AF27" s="9">
        <f>IF(AB27&gt;=0,A27,999)</f>
        <v>23</v>
      </c>
      <c r="AG27" s="9">
        <f>IF(AE27&gt;=Resumo!$E$6,A27,999)</f>
        <v>999</v>
      </c>
      <c r="AH27" s="7">
        <f>AB27+Capital!$A$5</f>
        <v>479121.15</v>
      </c>
      <c r="AI27" s="7">
        <f>AB27+Capital!$A$6</f>
        <v>529121.15</v>
      </c>
      <c r="AJ27" s="7">
        <f>AB27+Capital!$A$7</f>
        <v>579121.15</v>
      </c>
    </row>
    <row r="28" spans="1:36">
      <c r="A28" s="9">
        <v>24</v>
      </c>
      <c r="B28" s="10">
        <v>3000</v>
      </c>
      <c r="C28" s="9">
        <f>ROUNDUP(B28/'Premissas'!$B$14,0)</f>
        <v>150000</v>
      </c>
      <c r="D28" s="10">
        <v>2</v>
      </c>
      <c r="E28" s="9">
        <f>D28*'Premissas'!$B$16</f>
        <v>160</v>
      </c>
      <c r="F28" s="7">
        <f>ROUND(B28*'Premissas'!$B$5,2)</f>
        <v>87000</v>
      </c>
      <c r="G28" s="7">
        <f>ROUND(F28*'Premissas'!$B$6,2)</f>
        <v>435000</v>
      </c>
      <c r="H28" s="7">
        <f>ROUND(G28*'Premissas'!$B$7,2)</f>
        <v>34800</v>
      </c>
      <c r="I28" s="7">
        <f>ROUND(G28-H28,2)</f>
        <v>400200</v>
      </c>
      <c r="J28" s="7">
        <f>ROUND(I28*'Premissas'!$B$8+B28*(1-'Premissas'!$B$7)*'Premissas'!$B$9*'Premissas'!$B$6,2)</f>
        <v>53419.8</v>
      </c>
      <c r="K28" s="7">
        <f>ROUND(I28-J28,2)</f>
        <v>346780.2</v>
      </c>
      <c r="L28" s="7">
        <f>IF(A28&gt;'Premissas'!$B$20,INDEX($K$5:$K$28,MAX(1,A28-'Premissas'!$B$20)),0)</f>
        <v>346780.2</v>
      </c>
      <c r="M28" s="7">
        <f>ROUND(I28*'Premissas'!$B$10,2)</f>
        <v>60030</v>
      </c>
      <c r="N28" s="7">
        <f>ROUND(I28*'Premissas'!$B$11,2)</f>
        <v>12006</v>
      </c>
      <c r="O28" s="7">
        <f>ROUND(B28*'Premissas'!$B$12*'Premissas'!$B$6,2)</f>
        <v>150000</v>
      </c>
      <c r="P28" s="7">
        <f>ROUND(B28*'Premissas'!$B$13*'Premissas'!$B$6,2)</f>
        <v>15000</v>
      </c>
      <c r="Q28" s="7">
        <f>ROUND(D28*'Premissas'!$B$15,2)</f>
        <v>60000</v>
      </c>
      <c r="R28" s="7">
        <f>ROUND(Q28*'Premissas'!$B$19+Q27*(1-'Premissas'!$B$19),2)</f>
        <v>60000</v>
      </c>
      <c r="S28" s="7">
        <f>ROUND(E28*'Premissas'!$B$17,2)</f>
        <v>28800</v>
      </c>
      <c r="T28" s="7">
        <f>ROUND(Q28*'Premissas'!$B$10,2)</f>
        <v>9000</v>
      </c>
      <c r="U28" s="7">
        <f>ROUND(R28*'Premissas'!$B$18,2)</f>
        <v>3000</v>
      </c>
      <c r="V28" s="7">
        <f>IF(A28&lt;=12,'Premissas'!$B$24,'Premissas'!$B$25)</f>
        <v>42000</v>
      </c>
      <c r="W28" s="7">
        <f>ROUND(G28+Q28,2)</f>
        <v>495000</v>
      </c>
      <c r="X28" s="7">
        <f>ROUND(I28+Q28,2)</f>
        <v>460200</v>
      </c>
      <c r="Y28" s="7">
        <f>ROUND(L28+R28,2)</f>
        <v>406780.2</v>
      </c>
      <c r="Z28" s="7">
        <f>ROUND(SUM(M28:P28)+SUM(S28:V28),2)</f>
        <v>319836</v>
      </c>
      <c r="AA28" s="7">
        <f>ROUND(Y28-Z28,2)</f>
        <v>86944.2</v>
      </c>
      <c r="AB28" s="7">
        <f>ROUND(AB27+AA28,2)</f>
        <v>466065.35</v>
      </c>
      <c r="AC28" s="7">
        <f>ROUND(X28-J28-SUM(M28:P28)-S28-T28-ROUND(Q28*'Premissas'!$B$18,2)-V28,2)</f>
        <v>86944.2</v>
      </c>
      <c r="AD28" s="7">
        <f>ROUND(SUM($K$5:K28)-SUM($L$5:L28)+SUM($Q$5:Q28)-SUM($R$5:R28),2)</f>
        <v>376780.2</v>
      </c>
      <c r="AE28" s="7">
        <f>MAX(0,AB28)*'Premissas'!$B$28</f>
        <v>233032.675</v>
      </c>
      <c r="AF28" s="9">
        <f>IF(AB28&gt;=0,A28,999)</f>
        <v>24</v>
      </c>
      <c r="AG28" s="9">
        <f>IF(AE28&gt;=Resumo!$E$6,A28,999)</f>
        <v>999</v>
      </c>
      <c r="AH28" s="7">
        <f>AB28+Capital!$A$5</f>
        <v>566065.35</v>
      </c>
      <c r="AI28" s="7">
        <f>AB28+Capital!$A$6</f>
        <v>616065.35</v>
      </c>
      <c r="AJ28" s="7">
        <f>AB28+Capital!$A$7</f>
        <v>666065.35</v>
      </c>
    </row>
  </sheetData>
  <autoFilter ref="A4:AD28"/>
  <mergeCells count="2">
    <mergeCell ref="A1:AJ1"/>
    <mergeCell ref="A2:AJ2"/>
  </mergeCells>
  <conditionalFormatting sqref="AB5:AB28">
    <cfRule type="cellIs" dxfId="0" priority="1" operator="lessThan">
      <formula>0</formula>
    </cfRule>
  </conditionalFormatting>
  <dataValidations count="48">
    <dataValidation type="whole" operator="greaterThanOrEqual" allowBlank="1" showInputMessage="1" showErrorMessage="1" sqref="B5">
      <formula1>0</formula1>
    </dataValidation>
    <dataValidation type="whole" operator="greaterThanOrEqual" allowBlank="1" showInputMessage="1" showErrorMessage="1" sqref="D5">
      <formula1>0</formula1>
    </dataValidation>
    <dataValidation type="whole" operator="greaterThanOrEqual" allowBlank="1" showInputMessage="1" showErrorMessage="1" sqref="B6">
      <formula1>0</formula1>
    </dataValidation>
    <dataValidation type="whole" operator="greaterThanOrEqual" allowBlank="1" showInputMessage="1" showErrorMessage="1" sqref="D6">
      <formula1>0</formula1>
    </dataValidation>
    <dataValidation type="whole" operator="greaterThanOrEqual" allowBlank="1" showInputMessage="1" showErrorMessage="1" sqref="B7">
      <formula1>0</formula1>
    </dataValidation>
    <dataValidation type="whole" operator="greaterThanOrEqual" allowBlank="1" showInputMessage="1" showErrorMessage="1" sqref="D7">
      <formula1>0</formula1>
    </dataValidation>
    <dataValidation type="whole" operator="greaterThanOrEqual" allowBlank="1" showInputMessage="1" showErrorMessage="1" sqref="B8">
      <formula1>0</formula1>
    </dataValidation>
    <dataValidation type="whole" operator="greaterThanOrEqual" allowBlank="1" showInputMessage="1" showErrorMessage="1" sqref="D8">
      <formula1>0</formula1>
    </dataValidation>
    <dataValidation type="whole" operator="greaterThanOrEqual" allowBlank="1" showInputMessage="1" showErrorMessage="1" sqref="B9">
      <formula1>0</formula1>
    </dataValidation>
    <dataValidation type="whole" operator="greaterThanOrEqual" allowBlank="1" showInputMessage="1" showErrorMessage="1" sqref="D9">
      <formula1>0</formula1>
    </dataValidation>
    <dataValidation type="whole" operator="greaterThanOrEqual" allowBlank="1" showInputMessage="1" showErrorMessage="1" sqref="B10">
      <formula1>0</formula1>
    </dataValidation>
    <dataValidation type="whole" operator="greaterThanOrEqual" allowBlank="1" showInputMessage="1" showErrorMessage="1" sqref="D10">
      <formula1>0</formula1>
    </dataValidation>
    <dataValidation type="whole" operator="greaterThanOrEqual" allowBlank="1" showInputMessage="1" showErrorMessage="1" sqref="B11">
      <formula1>0</formula1>
    </dataValidation>
    <dataValidation type="whole" operator="greaterThanOrEqual" allowBlank="1" showInputMessage="1" showErrorMessage="1" sqref="D11">
      <formula1>0</formula1>
    </dataValidation>
    <dataValidation type="whole" operator="greaterThanOrEqual" allowBlank="1" showInputMessage="1" showErrorMessage="1" sqref="B12">
      <formula1>0</formula1>
    </dataValidation>
    <dataValidation type="whole" operator="greaterThanOrEqual" allowBlank="1" showInputMessage="1" showErrorMessage="1" sqref="D12">
      <formula1>0</formula1>
    </dataValidation>
    <dataValidation type="whole" operator="greaterThanOrEqual" allowBlank="1" showInputMessage="1" showErrorMessage="1" sqref="B13">
      <formula1>0</formula1>
    </dataValidation>
    <dataValidation type="whole" operator="greaterThanOrEqual" allowBlank="1" showInputMessage="1" showErrorMessage="1" sqref="D13">
      <formula1>0</formula1>
    </dataValidation>
    <dataValidation type="whole" operator="greaterThanOrEqual" allowBlank="1" showInputMessage="1" showErrorMessage="1" sqref="B14">
      <formula1>0</formula1>
    </dataValidation>
    <dataValidation type="whole" operator="greaterThanOrEqual" allowBlank="1" showInputMessage="1" showErrorMessage="1" sqref="D14">
      <formula1>0</formula1>
    </dataValidation>
    <dataValidation type="whole" operator="greaterThanOrEqual" allowBlank="1" showInputMessage="1" showErrorMessage="1" sqref="B15">
      <formula1>0</formula1>
    </dataValidation>
    <dataValidation type="whole" operator="greaterThanOrEqual" allowBlank="1" showInputMessage="1" showErrorMessage="1" sqref="D15">
      <formula1>0</formula1>
    </dataValidation>
    <dataValidation type="whole" operator="greaterThanOrEqual" allowBlank="1" showInputMessage="1" showErrorMessage="1" sqref="B16">
      <formula1>0</formula1>
    </dataValidation>
    <dataValidation type="whole" operator="greaterThanOrEqual" allowBlank="1" showInputMessage="1" showErrorMessage="1" sqref="D16">
      <formula1>0</formula1>
    </dataValidation>
    <dataValidation type="whole" operator="greaterThanOrEqual" allowBlank="1" showInputMessage="1" showErrorMessage="1" sqref="B17">
      <formula1>0</formula1>
    </dataValidation>
    <dataValidation type="whole" operator="greaterThanOrEqual" allowBlank="1" showInputMessage="1" showErrorMessage="1" sqref="D17">
      <formula1>0</formula1>
    </dataValidation>
    <dataValidation type="whole" operator="greaterThanOrEqual" allowBlank="1" showInputMessage="1" showErrorMessage="1" sqref="B18">
      <formula1>0</formula1>
    </dataValidation>
    <dataValidation type="whole" operator="greaterThanOrEqual" allowBlank="1" showInputMessage="1" showErrorMessage="1" sqref="D18">
      <formula1>0</formula1>
    </dataValidation>
    <dataValidation type="whole" operator="greaterThanOrEqual" allowBlank="1" showInputMessage="1" showErrorMessage="1" sqref="B19">
      <formula1>0</formula1>
    </dataValidation>
    <dataValidation type="whole" operator="greaterThanOrEqual" allowBlank="1" showInputMessage="1" showErrorMessage="1" sqref="D19">
      <formula1>0</formula1>
    </dataValidation>
    <dataValidation type="whole" operator="greaterThanOrEqual" allowBlank="1" showInputMessage="1" showErrorMessage="1" sqref="B20">
      <formula1>0</formula1>
    </dataValidation>
    <dataValidation type="whole" operator="greaterThanOrEqual" allowBlank="1" showInputMessage="1" showErrorMessage="1" sqref="D20">
      <formula1>0</formula1>
    </dataValidation>
    <dataValidation type="whole" operator="greaterThanOrEqual" allowBlank="1" showInputMessage="1" showErrorMessage="1" sqref="B21">
      <formula1>0</formula1>
    </dataValidation>
    <dataValidation type="whole" operator="greaterThanOrEqual" allowBlank="1" showInputMessage="1" showErrorMessage="1" sqref="D21">
      <formula1>0</formula1>
    </dataValidation>
    <dataValidation type="whole" operator="greaterThanOrEqual" allowBlank="1" showInputMessage="1" showErrorMessage="1" sqref="B22">
      <formula1>0</formula1>
    </dataValidation>
    <dataValidation type="whole" operator="greaterThanOrEqual" allowBlank="1" showInputMessage="1" showErrorMessage="1" sqref="D22">
      <formula1>0</formula1>
    </dataValidation>
    <dataValidation type="whole" operator="greaterThanOrEqual" allowBlank="1" showInputMessage="1" showErrorMessage="1" sqref="B23">
      <formula1>0</formula1>
    </dataValidation>
    <dataValidation type="whole" operator="greaterThanOrEqual" allowBlank="1" showInputMessage="1" showErrorMessage="1" sqref="D23">
      <formula1>0</formula1>
    </dataValidation>
    <dataValidation type="whole" operator="greaterThanOrEqual" allowBlank="1" showInputMessage="1" showErrorMessage="1" sqref="B24">
      <formula1>0</formula1>
    </dataValidation>
    <dataValidation type="whole" operator="greaterThanOrEqual" allowBlank="1" showInputMessage="1" showErrorMessage="1" sqref="D24">
      <formula1>0</formula1>
    </dataValidation>
    <dataValidation type="whole" operator="greaterThanOrEqual" allowBlank="1" showInputMessage="1" showErrorMessage="1" sqref="B25">
      <formula1>0</formula1>
    </dataValidation>
    <dataValidation type="whole" operator="greaterThanOrEqual" allowBlank="1" showInputMessage="1" showErrorMessage="1" sqref="D25">
      <formula1>0</formula1>
    </dataValidation>
    <dataValidation type="whole" operator="greaterThanOrEqual" allowBlank="1" showInputMessage="1" showErrorMessage="1" sqref="B26">
      <formula1>0</formula1>
    </dataValidation>
    <dataValidation type="whole" operator="greaterThanOrEqual" allowBlank="1" showInputMessage="1" showErrorMessage="1" sqref="D26">
      <formula1>0</formula1>
    </dataValidation>
    <dataValidation type="whole" operator="greaterThanOrEqual" allowBlank="1" showInputMessage="1" showErrorMessage="1" sqref="B27">
      <formula1>0</formula1>
    </dataValidation>
    <dataValidation type="whole" operator="greaterThanOrEqual" allowBlank="1" showInputMessage="1" showErrorMessage="1" sqref="D27">
      <formula1>0</formula1>
    </dataValidation>
    <dataValidation type="whole" operator="greaterThanOrEqual" allowBlank="1" showInputMessage="1" showErrorMessage="1" sqref="B28">
      <formula1>0</formula1>
    </dataValidation>
    <dataValidation type="whole" operator="greaterThanOrEqual" allowBlank="1" showInputMessage="1" showErrorMessage="1" sqref="D28">
      <formula1>0</formula1>
    </dataValidation>
  </dataValidation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rowBreaks count="1" manualBreakCount="1">
    <brk id="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36" width="18.7109375" customWidth="1"/>
  </cols>
  <sheetData>
    <row r="1" spans="1:36" ht="32" customHeight="1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5" customHeight="1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spans="1:36" ht="48" customHeight="1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  <c r="O4" s="3" t="s">
        <v>133</v>
      </c>
      <c r="P4" s="3" t="s">
        <v>134</v>
      </c>
      <c r="Q4" s="3" t="s">
        <v>135</v>
      </c>
      <c r="R4" s="3" t="s">
        <v>136</v>
      </c>
      <c r="S4" s="3" t="s">
        <v>137</v>
      </c>
      <c r="T4" s="3" t="s">
        <v>138</v>
      </c>
      <c r="U4" s="3" t="s">
        <v>139</v>
      </c>
      <c r="V4" s="3" t="s">
        <v>140</v>
      </c>
      <c r="W4" s="3" t="s">
        <v>141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146</v>
      </c>
      <c r="AC4" s="3" t="s">
        <v>147</v>
      </c>
      <c r="AD4" s="3" t="s">
        <v>148</v>
      </c>
      <c r="AE4" s="3" t="s">
        <v>149</v>
      </c>
      <c r="AF4" s="3" t="s">
        <v>150</v>
      </c>
      <c r="AG4" s="3" t="s">
        <v>151</v>
      </c>
      <c r="AH4" s="3" t="s">
        <v>152</v>
      </c>
      <c r="AI4" s="3" t="s">
        <v>153</v>
      </c>
      <c r="AJ4" s="3" t="s">
        <v>154</v>
      </c>
    </row>
    <row r="5" spans="1:36">
      <c r="A5" s="9">
        <v>1</v>
      </c>
      <c r="B5" s="10">
        <v>0</v>
      </c>
      <c r="C5" s="9">
        <f>ROUNDUP(B5/'Premissas'!$B$14,0)</f>
        <v>0</v>
      </c>
      <c r="D5" s="10">
        <v>0</v>
      </c>
      <c r="E5" s="9">
        <f>D5*'Premissas'!$B$16</f>
        <v>0</v>
      </c>
      <c r="F5" s="7">
        <f>ROUND(B5*'Premissas'!$B$5,2)</f>
        <v>0</v>
      </c>
      <c r="G5" s="7">
        <f>ROUND(F5*'Premissas'!$B$6,2)</f>
        <v>0</v>
      </c>
      <c r="H5" s="7">
        <f>ROUND(G5*'Premissas'!$B$7,2)</f>
        <v>0</v>
      </c>
      <c r="I5" s="7">
        <f>ROUND(G5-H5,2)</f>
        <v>0</v>
      </c>
      <c r="J5" s="7">
        <f>ROUND(I5*'Premissas'!$B$8+B5*(1-'Premissas'!$B$7)*'Premissas'!$B$9*'Premissas'!$B$6,2)</f>
        <v>0</v>
      </c>
      <c r="K5" s="7">
        <f>ROUND(I5-J5,2)</f>
        <v>0</v>
      </c>
      <c r="L5" s="7">
        <f>IF(A5&gt;'Premissas'!$B$20,INDEX($K$5:$K$28,MAX(1,A5-'Premissas'!$B$20)),0)</f>
        <v>0</v>
      </c>
      <c r="M5" s="7">
        <f>ROUND(I5*'Premissas'!$B$10,2)</f>
        <v>0</v>
      </c>
      <c r="N5" s="7">
        <f>ROUND(I5*'Premissas'!$B$11,2)</f>
        <v>0</v>
      </c>
      <c r="O5" s="7">
        <f>ROUND(B5*'Premissas'!$B$12*'Premissas'!$B$6,2)</f>
        <v>0</v>
      </c>
      <c r="P5" s="7">
        <f>ROUND(B5*'Premissas'!$B$13*'Premissas'!$B$6,2)</f>
        <v>0</v>
      </c>
      <c r="Q5" s="7">
        <f>ROUND(D5*'Premissas'!$B$15,2)</f>
        <v>0</v>
      </c>
      <c r="R5" s="7">
        <f>ROUND(Q5*'Premissas'!$B$19+0*(1-'Premissas'!$B$19),2)</f>
        <v>0</v>
      </c>
      <c r="S5" s="7">
        <f>ROUND(E5*'Premissas'!$B$17,2)</f>
        <v>0</v>
      </c>
      <c r="T5" s="7">
        <f>ROUND(Q5*'Premissas'!$B$10,2)</f>
        <v>0</v>
      </c>
      <c r="U5" s="7">
        <f>ROUND(R5*'Premissas'!$B$18,2)</f>
        <v>0</v>
      </c>
      <c r="V5" s="7">
        <f>IF(A5&lt;=12,'Premissas'!$B$24,'Premissas'!$B$25)</f>
        <v>37000</v>
      </c>
      <c r="W5" s="7">
        <f>ROUND(G5+Q5,2)</f>
        <v>0</v>
      </c>
      <c r="X5" s="7">
        <f>ROUND(I5+Q5,2)</f>
        <v>0</v>
      </c>
      <c r="Y5" s="7">
        <f>ROUND(L5+R5,2)</f>
        <v>0</v>
      </c>
      <c r="Z5" s="7">
        <f>ROUND(SUM(M5:P5)+SUM(S5:V5),2)</f>
        <v>37000</v>
      </c>
      <c r="AA5" s="7">
        <f>ROUND(Y5-Z5,2)</f>
        <v>-37000</v>
      </c>
      <c r="AB5" s="7">
        <f>ROUND(-'Premissas'!$B$23+AA5,2)</f>
        <v>-137000</v>
      </c>
      <c r="AC5" s="7">
        <f>ROUND(X5-J5-SUM(M5:P5)-S5-T5-ROUND(Q5*'Premissas'!$B$18,2)-V5,2)</f>
        <v>-37000</v>
      </c>
      <c r="AD5" s="7">
        <f>ROUND(SUM($K$5:K5)-SUM($L$5:L5)+SUM($Q$5:Q5)-SUM($R$5:R5),2)</f>
        <v>0</v>
      </c>
      <c r="AE5" s="7">
        <f>MAX(0,AB5)*'Premissas'!$B$28</f>
        <v>0.0</v>
      </c>
      <c r="AF5" s="9">
        <f>IF(AB5&gt;=0,A5,999)</f>
        <v>999</v>
      </c>
      <c r="AG5" s="9">
        <f>IF(AE5&gt;=Resumo!$E$7,A5,999)</f>
        <v>999</v>
      </c>
      <c r="AH5" s="7">
        <f>AB5+Capital!$A$5</f>
        <v>-37000</v>
      </c>
      <c r="AI5" s="7">
        <f>AB5+Capital!$A$6</f>
        <v>13000</v>
      </c>
      <c r="AJ5" s="7">
        <f>AB5+Capital!$A$7</f>
        <v>63000</v>
      </c>
    </row>
    <row r="6" spans="1:36">
      <c r="A6" s="9">
        <v>2</v>
      </c>
      <c r="B6" s="10">
        <v>0</v>
      </c>
      <c r="C6" s="9">
        <f>ROUNDUP(B6/'Premissas'!$B$14,0)</f>
        <v>0</v>
      </c>
      <c r="D6" s="10">
        <v>0</v>
      </c>
      <c r="E6" s="9">
        <f>D6*'Premissas'!$B$16</f>
        <v>0</v>
      </c>
      <c r="F6" s="7">
        <f>ROUND(B6*'Premissas'!$B$5,2)</f>
        <v>0</v>
      </c>
      <c r="G6" s="7">
        <f>ROUND(F6*'Premissas'!$B$6,2)</f>
        <v>0</v>
      </c>
      <c r="H6" s="7">
        <f>ROUND(G6*'Premissas'!$B$7,2)</f>
        <v>0</v>
      </c>
      <c r="I6" s="7">
        <f>ROUND(G6-H6,2)</f>
        <v>0</v>
      </c>
      <c r="J6" s="7">
        <f>ROUND(I6*'Premissas'!$B$8+B6*(1-'Premissas'!$B$7)*'Premissas'!$B$9*'Premissas'!$B$6,2)</f>
        <v>0</v>
      </c>
      <c r="K6" s="7">
        <f>ROUND(I6-J6,2)</f>
        <v>0</v>
      </c>
      <c r="L6" s="7">
        <f>IF(A6&gt;'Premissas'!$B$20,INDEX($K$5:$K$28,MAX(1,A6-'Premissas'!$B$20)),0)</f>
        <v>0</v>
      </c>
      <c r="M6" s="7">
        <f>ROUND(I6*'Premissas'!$B$10,2)</f>
        <v>0</v>
      </c>
      <c r="N6" s="7">
        <f>ROUND(I6*'Premissas'!$B$11,2)</f>
        <v>0</v>
      </c>
      <c r="O6" s="7">
        <f>ROUND(B6*'Premissas'!$B$12*'Premissas'!$B$6,2)</f>
        <v>0</v>
      </c>
      <c r="P6" s="7">
        <f>ROUND(B6*'Premissas'!$B$13*'Premissas'!$B$6,2)</f>
        <v>0</v>
      </c>
      <c r="Q6" s="7">
        <f>ROUND(D6*'Premissas'!$B$15,2)</f>
        <v>0</v>
      </c>
      <c r="R6" s="7">
        <f>ROUND(Q6*'Premissas'!$B$19+Q5*(1-'Premissas'!$B$19),2)</f>
        <v>0</v>
      </c>
      <c r="S6" s="7">
        <f>ROUND(E6*'Premissas'!$B$17,2)</f>
        <v>0</v>
      </c>
      <c r="T6" s="7">
        <f>ROUND(Q6*'Premissas'!$B$10,2)</f>
        <v>0</v>
      </c>
      <c r="U6" s="7">
        <f>ROUND(R6*'Premissas'!$B$18,2)</f>
        <v>0</v>
      </c>
      <c r="V6" s="7">
        <f>IF(A6&lt;=12,'Premissas'!$B$24,'Premissas'!$B$25)</f>
        <v>37000</v>
      </c>
      <c r="W6" s="7">
        <f>ROUND(G6+Q6,2)</f>
        <v>0</v>
      </c>
      <c r="X6" s="7">
        <f>ROUND(I6+Q6,2)</f>
        <v>0</v>
      </c>
      <c r="Y6" s="7">
        <f>ROUND(L6+R6,2)</f>
        <v>0</v>
      </c>
      <c r="Z6" s="7">
        <f>ROUND(SUM(M6:P6)+SUM(S6:V6),2)</f>
        <v>37000</v>
      </c>
      <c r="AA6" s="7">
        <f>ROUND(Y6-Z6,2)</f>
        <v>-37000</v>
      </c>
      <c r="AB6" s="7">
        <f>ROUND(AB5+AA6,2)</f>
        <v>-174000</v>
      </c>
      <c r="AC6" s="7">
        <f>ROUND(X6-J6-SUM(M6:P6)-S6-T6-ROUND(Q6*'Premissas'!$B$18,2)-V6,2)</f>
        <v>-37000</v>
      </c>
      <c r="AD6" s="7">
        <f>ROUND(SUM($K$5:K6)-SUM($L$5:L6)+SUM($Q$5:Q6)-SUM($R$5:R6),2)</f>
        <v>0</v>
      </c>
      <c r="AE6" s="7">
        <f>MAX(0,AB6)*'Premissas'!$B$28</f>
        <v>0.0</v>
      </c>
      <c r="AF6" s="9">
        <f>IF(AB6&gt;=0,A6,999)</f>
        <v>999</v>
      </c>
      <c r="AG6" s="9">
        <f>IF(AE6&gt;=Resumo!$E$7,A6,999)</f>
        <v>999</v>
      </c>
      <c r="AH6" s="7">
        <f>AB6+Capital!$A$5</f>
        <v>-74000</v>
      </c>
      <c r="AI6" s="7">
        <f>AB6+Capital!$A$6</f>
        <v>-24000</v>
      </c>
      <c r="AJ6" s="7">
        <f>AB6+Capital!$A$7</f>
        <v>26000</v>
      </c>
    </row>
    <row r="7" spans="1:36">
      <c r="A7" s="9">
        <v>3</v>
      </c>
      <c r="B7" s="10">
        <v>100</v>
      </c>
      <c r="C7" s="9">
        <f>ROUNDUP(B7/'Premissas'!$B$14,0)</f>
        <v>5000</v>
      </c>
      <c r="D7" s="10">
        <v>1</v>
      </c>
      <c r="E7" s="9">
        <f>D7*'Premissas'!$B$16</f>
        <v>80</v>
      </c>
      <c r="F7" s="7">
        <f>ROUND(B7*'Premissas'!$B$5,2)</f>
        <v>2900</v>
      </c>
      <c r="G7" s="7">
        <f>ROUND(F7*'Premissas'!$B$6,2)</f>
        <v>14500</v>
      </c>
      <c r="H7" s="7">
        <f>ROUND(G7*'Premissas'!$B$7,2)</f>
        <v>1160</v>
      </c>
      <c r="I7" s="7">
        <f>ROUND(G7-H7,2)</f>
        <v>13340</v>
      </c>
      <c r="J7" s="7">
        <f>ROUND(I7*'Premissas'!$B$8+B7*(1-'Premissas'!$B$7)*'Premissas'!$B$9*'Premissas'!$B$6,2)</f>
        <v>1780.66</v>
      </c>
      <c r="K7" s="7">
        <f>ROUND(I7-J7,2)</f>
        <v>11559.34</v>
      </c>
      <c r="L7" s="7">
        <f>IF(A7&gt;'Premissas'!$B$20,INDEX($K$5:$K$28,MAX(1,A7-'Premissas'!$B$20)),0)</f>
        <v>0</v>
      </c>
      <c r="M7" s="7">
        <f>ROUND(I7*'Premissas'!$B$10,2)</f>
        <v>2001</v>
      </c>
      <c r="N7" s="7">
        <f>ROUND(I7*'Premissas'!$B$11,2)</f>
        <v>400.2</v>
      </c>
      <c r="O7" s="7">
        <f>ROUND(B7*'Premissas'!$B$12*'Premissas'!$B$6,2)</f>
        <v>5000</v>
      </c>
      <c r="P7" s="7">
        <f>ROUND(B7*'Premissas'!$B$13*'Premissas'!$B$6,2)</f>
        <v>500</v>
      </c>
      <c r="Q7" s="7">
        <f>ROUND(D7*'Premissas'!$B$15,2)</f>
        <v>30000</v>
      </c>
      <c r="R7" s="7">
        <f>ROUND(Q7*'Premissas'!$B$19+Q6*(1-'Premissas'!$B$19),2)</f>
        <v>15000</v>
      </c>
      <c r="S7" s="7">
        <f>ROUND(E7*'Premissas'!$B$17,2)</f>
        <v>14400</v>
      </c>
      <c r="T7" s="7">
        <f>ROUND(Q7*'Premissas'!$B$10,2)</f>
        <v>4500</v>
      </c>
      <c r="U7" s="7">
        <f>ROUND(R7*'Premissas'!$B$18,2)</f>
        <v>750</v>
      </c>
      <c r="V7" s="7">
        <f>IF(A7&lt;=12,'Premissas'!$B$24,'Premissas'!$B$25)</f>
        <v>37000</v>
      </c>
      <c r="W7" s="7">
        <f>ROUND(G7+Q7,2)</f>
        <v>44500</v>
      </c>
      <c r="X7" s="7">
        <f>ROUND(I7+Q7,2)</f>
        <v>43340</v>
      </c>
      <c r="Y7" s="7">
        <f>ROUND(L7+R7,2)</f>
        <v>15000</v>
      </c>
      <c r="Z7" s="7">
        <f>ROUND(SUM(M7:P7)+SUM(S7:V7),2)</f>
        <v>64551.2</v>
      </c>
      <c r="AA7" s="7">
        <f>ROUND(Y7-Z7,2)</f>
        <v>-49551.2</v>
      </c>
      <c r="AB7" s="7">
        <f>ROUND(AB6+AA7,2)</f>
        <v>-223551.2</v>
      </c>
      <c r="AC7" s="7">
        <f>ROUND(X7-J7-SUM(M7:P7)-S7-T7-ROUND(Q7*'Premissas'!$B$18,2)-V7,2)</f>
        <v>-23741.86</v>
      </c>
      <c r="AD7" s="7">
        <f>ROUND(SUM($K$5:K7)-SUM($L$5:L7)+SUM($Q$5:Q7)-SUM($R$5:R7),2)</f>
        <v>26559.34</v>
      </c>
      <c r="AE7" s="7">
        <f>MAX(0,AB7)*'Premissas'!$B$28</f>
        <v>0.0</v>
      </c>
      <c r="AF7" s="9">
        <f>IF(AB7&gt;=0,A7,999)</f>
        <v>999</v>
      </c>
      <c r="AG7" s="9">
        <f>IF(AE7&gt;=Resumo!$E$7,A7,999)</f>
        <v>999</v>
      </c>
      <c r="AH7" s="7">
        <f>AB7+Capital!$A$5</f>
        <v>-123551.20000000001</v>
      </c>
      <c r="AI7" s="7">
        <f>AB7+Capital!$A$6</f>
        <v>-73551.20000000001</v>
      </c>
      <c r="AJ7" s="7">
        <f>AB7+Capital!$A$7</f>
        <v>-23551.20000000001</v>
      </c>
    </row>
    <row r="8" spans="1:36">
      <c r="A8" s="9">
        <v>4</v>
      </c>
      <c r="B8" s="10">
        <v>300</v>
      </c>
      <c r="C8" s="9">
        <f>ROUNDUP(B8/'Premissas'!$B$14,0)</f>
        <v>15000</v>
      </c>
      <c r="D8" s="10">
        <v>1</v>
      </c>
      <c r="E8" s="9">
        <f>D8*'Premissas'!$B$16</f>
        <v>80</v>
      </c>
      <c r="F8" s="7">
        <f>ROUND(B8*'Premissas'!$B$5,2)</f>
        <v>8700</v>
      </c>
      <c r="G8" s="7">
        <f>ROUND(F8*'Premissas'!$B$6,2)</f>
        <v>43500</v>
      </c>
      <c r="H8" s="7">
        <f>ROUND(G8*'Premissas'!$B$7,2)</f>
        <v>3480</v>
      </c>
      <c r="I8" s="7">
        <f>ROUND(G8-H8,2)</f>
        <v>40020</v>
      </c>
      <c r="J8" s="7">
        <f>ROUND(I8*'Premissas'!$B$8+B8*(1-'Premissas'!$B$7)*'Premissas'!$B$9*'Premissas'!$B$6,2)</f>
        <v>5341.98</v>
      </c>
      <c r="K8" s="7">
        <f>ROUND(I8-J8,2)</f>
        <v>34678.02</v>
      </c>
      <c r="L8" s="7">
        <f>IF(A8&gt;'Premissas'!$B$20,INDEX($K$5:$K$28,MAX(1,A8-'Premissas'!$B$20)),0)</f>
        <v>11559.34</v>
      </c>
      <c r="M8" s="7">
        <f>ROUND(I8*'Premissas'!$B$10,2)</f>
        <v>6003</v>
      </c>
      <c r="N8" s="7">
        <f>ROUND(I8*'Premissas'!$B$11,2)</f>
        <v>1200.6</v>
      </c>
      <c r="O8" s="7">
        <f>ROUND(B8*'Premissas'!$B$12*'Premissas'!$B$6,2)</f>
        <v>15000</v>
      </c>
      <c r="P8" s="7">
        <f>ROUND(B8*'Premissas'!$B$13*'Premissas'!$B$6,2)</f>
        <v>1500</v>
      </c>
      <c r="Q8" s="7">
        <f>ROUND(D8*'Premissas'!$B$15,2)</f>
        <v>30000</v>
      </c>
      <c r="R8" s="7">
        <f>ROUND(Q8*'Premissas'!$B$19+Q7*(1-'Premissas'!$B$19),2)</f>
        <v>30000</v>
      </c>
      <c r="S8" s="7">
        <f>ROUND(E8*'Premissas'!$B$17,2)</f>
        <v>14400</v>
      </c>
      <c r="T8" s="7">
        <f>ROUND(Q8*'Premissas'!$B$10,2)</f>
        <v>4500</v>
      </c>
      <c r="U8" s="7">
        <f>ROUND(R8*'Premissas'!$B$18,2)</f>
        <v>1500</v>
      </c>
      <c r="V8" s="7">
        <f>IF(A8&lt;=12,'Premissas'!$B$24,'Premissas'!$B$25)</f>
        <v>37000</v>
      </c>
      <c r="W8" s="7">
        <f>ROUND(G8+Q8,2)</f>
        <v>73500</v>
      </c>
      <c r="X8" s="7">
        <f>ROUND(I8+Q8,2)</f>
        <v>70020</v>
      </c>
      <c r="Y8" s="7">
        <f>ROUND(L8+R8,2)</f>
        <v>41559.34</v>
      </c>
      <c r="Z8" s="7">
        <f>ROUND(SUM(M8:P8)+SUM(S8:V8),2)</f>
        <v>81103.6</v>
      </c>
      <c r="AA8" s="7">
        <f>ROUND(Y8-Z8,2)</f>
        <v>-39544.26</v>
      </c>
      <c r="AB8" s="7">
        <f>ROUND(AB7+AA8,2)</f>
        <v>-263095.46</v>
      </c>
      <c r="AC8" s="7">
        <f>ROUND(X8-J8-SUM(M8:P8)-S8-T8-ROUND(Q8*'Premissas'!$B$18,2)-V8,2)</f>
        <v>-16425.58</v>
      </c>
      <c r="AD8" s="7">
        <f>ROUND(SUM($K$5:K8)-SUM($L$5:L8)+SUM($Q$5:Q8)-SUM($R$5:R8),2)</f>
        <v>49678.02</v>
      </c>
      <c r="AE8" s="7">
        <f>MAX(0,AB8)*'Premissas'!$B$28</f>
        <v>0.0</v>
      </c>
      <c r="AF8" s="9">
        <f>IF(AB8&gt;=0,A8,999)</f>
        <v>999</v>
      </c>
      <c r="AG8" s="9">
        <f>IF(AE8&gt;=Resumo!$E$7,A8,999)</f>
        <v>999</v>
      </c>
      <c r="AH8" s="7">
        <f>AB8+Capital!$A$5</f>
        <v>-163095.46000000002</v>
      </c>
      <c r="AI8" s="7">
        <f>AB8+Capital!$A$6</f>
        <v>-113095.46000000002</v>
      </c>
      <c r="AJ8" s="7">
        <f>AB8+Capital!$A$7</f>
        <v>-63095.46000000002</v>
      </c>
    </row>
    <row r="9" spans="1:36">
      <c r="A9" s="9">
        <v>5</v>
      </c>
      <c r="B9" s="10">
        <v>600</v>
      </c>
      <c r="C9" s="9">
        <f>ROUNDUP(B9/'Premissas'!$B$14,0)</f>
        <v>30000</v>
      </c>
      <c r="D9" s="10">
        <v>1</v>
      </c>
      <c r="E9" s="9">
        <f>D9*'Premissas'!$B$16</f>
        <v>80</v>
      </c>
      <c r="F9" s="7">
        <f>ROUND(B9*'Premissas'!$B$5,2)</f>
        <v>17400</v>
      </c>
      <c r="G9" s="7">
        <f>ROUND(F9*'Premissas'!$B$6,2)</f>
        <v>87000</v>
      </c>
      <c r="H9" s="7">
        <f>ROUND(G9*'Premissas'!$B$7,2)</f>
        <v>6960</v>
      </c>
      <c r="I9" s="7">
        <f>ROUND(G9-H9,2)</f>
        <v>80040</v>
      </c>
      <c r="J9" s="7">
        <f>ROUND(I9*'Premissas'!$B$8+B9*(1-'Premissas'!$B$7)*'Premissas'!$B$9*'Premissas'!$B$6,2)</f>
        <v>10683.96</v>
      </c>
      <c r="K9" s="7">
        <f>ROUND(I9-J9,2)</f>
        <v>69356.04</v>
      </c>
      <c r="L9" s="7">
        <f>IF(A9&gt;'Premissas'!$B$20,INDEX($K$5:$K$28,MAX(1,A9-'Premissas'!$B$20)),0)</f>
        <v>34678.02</v>
      </c>
      <c r="M9" s="7">
        <f>ROUND(I9*'Premissas'!$B$10,2)</f>
        <v>12006</v>
      </c>
      <c r="N9" s="7">
        <f>ROUND(I9*'Premissas'!$B$11,2)</f>
        <v>2401.2</v>
      </c>
      <c r="O9" s="7">
        <f>ROUND(B9*'Premissas'!$B$12*'Premissas'!$B$6,2)</f>
        <v>30000</v>
      </c>
      <c r="P9" s="7">
        <f>ROUND(B9*'Premissas'!$B$13*'Premissas'!$B$6,2)</f>
        <v>3000</v>
      </c>
      <c r="Q9" s="7">
        <f>ROUND(D9*'Premissas'!$B$15,2)</f>
        <v>30000</v>
      </c>
      <c r="R9" s="7">
        <f>ROUND(Q9*'Premissas'!$B$19+Q8*(1-'Premissas'!$B$19),2)</f>
        <v>30000</v>
      </c>
      <c r="S9" s="7">
        <f>ROUND(E9*'Premissas'!$B$17,2)</f>
        <v>14400</v>
      </c>
      <c r="T9" s="7">
        <f>ROUND(Q9*'Premissas'!$B$10,2)</f>
        <v>4500</v>
      </c>
      <c r="U9" s="7">
        <f>ROUND(R9*'Premissas'!$B$18,2)</f>
        <v>1500</v>
      </c>
      <c r="V9" s="7">
        <f>IF(A9&lt;=12,'Premissas'!$B$24,'Premissas'!$B$25)</f>
        <v>37000</v>
      </c>
      <c r="W9" s="7">
        <f>ROUND(G9+Q9,2)</f>
        <v>117000</v>
      </c>
      <c r="X9" s="7">
        <f>ROUND(I9+Q9,2)</f>
        <v>110040</v>
      </c>
      <c r="Y9" s="7">
        <f>ROUND(L9+R9,2)</f>
        <v>64678.02</v>
      </c>
      <c r="Z9" s="7">
        <f>ROUND(SUM(M9:P9)+SUM(S9:V9),2)</f>
        <v>104807.2</v>
      </c>
      <c r="AA9" s="7">
        <f>ROUND(Y9-Z9,2)</f>
        <v>-40129.18</v>
      </c>
      <c r="AB9" s="7">
        <f>ROUND(AB8+AA9,2)</f>
        <v>-303224.64</v>
      </c>
      <c r="AC9" s="7">
        <f>ROUND(X9-J9-SUM(M9:P9)-S9-T9-ROUND(Q9*'Premissas'!$B$18,2)-V9,2)</f>
        <v>-5451.16</v>
      </c>
      <c r="AD9" s="7">
        <f>ROUND(SUM($K$5:K9)-SUM($L$5:L9)+SUM($Q$5:Q9)-SUM($R$5:R9),2)</f>
        <v>84356.04</v>
      </c>
      <c r="AE9" s="7">
        <f>MAX(0,AB9)*'Premissas'!$B$28</f>
        <v>0.0</v>
      </c>
      <c r="AF9" s="9">
        <f>IF(AB9&gt;=0,A9,999)</f>
        <v>999</v>
      </c>
      <c r="AG9" s="9">
        <f>IF(AE9&gt;=Resumo!$E$7,A9,999)</f>
        <v>999</v>
      </c>
      <c r="AH9" s="7">
        <f>AB9+Capital!$A$5</f>
        <v>-203224.64</v>
      </c>
      <c r="AI9" s="7">
        <f>AB9+Capital!$A$6</f>
        <v>-153224.64</v>
      </c>
      <c r="AJ9" s="7">
        <f>AB9+Capital!$A$7</f>
        <v>-103224.64000000001</v>
      </c>
    </row>
    <row r="10" spans="1:36">
      <c r="A10" s="9">
        <v>6</v>
      </c>
      <c r="B10" s="10">
        <v>1000</v>
      </c>
      <c r="C10" s="9">
        <f>ROUNDUP(B10/'Premissas'!$B$14,0)</f>
        <v>50000</v>
      </c>
      <c r="D10" s="10">
        <v>2</v>
      </c>
      <c r="E10" s="9">
        <f>D10*'Premissas'!$B$16</f>
        <v>160</v>
      </c>
      <c r="F10" s="7">
        <f>ROUND(B10*'Premissas'!$B$5,2)</f>
        <v>29000</v>
      </c>
      <c r="G10" s="7">
        <f>ROUND(F10*'Premissas'!$B$6,2)</f>
        <v>145000</v>
      </c>
      <c r="H10" s="7">
        <f>ROUND(G10*'Premissas'!$B$7,2)</f>
        <v>11600</v>
      </c>
      <c r="I10" s="7">
        <f>ROUND(G10-H10,2)</f>
        <v>133400</v>
      </c>
      <c r="J10" s="7">
        <f>ROUND(I10*'Premissas'!$B$8+B10*(1-'Premissas'!$B$7)*'Premissas'!$B$9*'Premissas'!$B$6,2)</f>
        <v>17806.6</v>
      </c>
      <c r="K10" s="7">
        <f>ROUND(I10-J10,2)</f>
        <v>115593.4</v>
      </c>
      <c r="L10" s="7">
        <f>IF(A10&gt;'Premissas'!$B$20,INDEX($K$5:$K$28,MAX(1,A10-'Premissas'!$B$20)),0)</f>
        <v>69356.04</v>
      </c>
      <c r="M10" s="7">
        <f>ROUND(I10*'Premissas'!$B$10,2)</f>
        <v>20010</v>
      </c>
      <c r="N10" s="7">
        <f>ROUND(I10*'Premissas'!$B$11,2)</f>
        <v>4002</v>
      </c>
      <c r="O10" s="7">
        <f>ROUND(B10*'Premissas'!$B$12*'Premissas'!$B$6,2)</f>
        <v>50000</v>
      </c>
      <c r="P10" s="7">
        <f>ROUND(B10*'Premissas'!$B$13*'Premissas'!$B$6,2)</f>
        <v>5000</v>
      </c>
      <c r="Q10" s="7">
        <f>ROUND(D10*'Premissas'!$B$15,2)</f>
        <v>60000</v>
      </c>
      <c r="R10" s="7">
        <f>ROUND(Q10*'Premissas'!$B$19+Q9*(1-'Premissas'!$B$19),2)</f>
        <v>45000</v>
      </c>
      <c r="S10" s="7">
        <f>ROUND(E10*'Premissas'!$B$17,2)</f>
        <v>28800</v>
      </c>
      <c r="T10" s="7">
        <f>ROUND(Q10*'Premissas'!$B$10,2)</f>
        <v>9000</v>
      </c>
      <c r="U10" s="7">
        <f>ROUND(R10*'Premissas'!$B$18,2)</f>
        <v>2250</v>
      </c>
      <c r="V10" s="7">
        <f>IF(A10&lt;=12,'Premissas'!$B$24,'Premissas'!$B$25)</f>
        <v>37000</v>
      </c>
      <c r="W10" s="7">
        <f>ROUND(G10+Q10,2)</f>
        <v>205000</v>
      </c>
      <c r="X10" s="7">
        <f>ROUND(I10+Q10,2)</f>
        <v>193400</v>
      </c>
      <c r="Y10" s="7">
        <f>ROUND(L10+R10,2)</f>
        <v>114356.04</v>
      </c>
      <c r="Z10" s="7">
        <f>ROUND(SUM(M10:P10)+SUM(S10:V10),2)</f>
        <v>156062</v>
      </c>
      <c r="AA10" s="7">
        <f>ROUND(Y10-Z10,2)</f>
        <v>-41705.96</v>
      </c>
      <c r="AB10" s="7">
        <f>ROUND(AB9+AA10,2)</f>
        <v>-344930.6</v>
      </c>
      <c r="AC10" s="7">
        <f>ROUND(X10-J10-SUM(M10:P10)-S10-T10-ROUND(Q10*'Premissas'!$B$18,2)-V10,2)</f>
        <v>18781.4</v>
      </c>
      <c r="AD10" s="7">
        <f>ROUND(SUM($K$5:K10)-SUM($L$5:L10)+SUM($Q$5:Q10)-SUM($R$5:R10),2)</f>
        <v>145593.4</v>
      </c>
      <c r="AE10" s="7">
        <f>MAX(0,AB10)*'Premissas'!$B$28</f>
        <v>0.0</v>
      </c>
      <c r="AF10" s="9">
        <f>IF(AB10&gt;=0,A10,999)</f>
        <v>999</v>
      </c>
      <c r="AG10" s="9">
        <f>IF(AE10&gt;=Resumo!$E$7,A10,999)</f>
        <v>999</v>
      </c>
      <c r="AH10" s="7">
        <f>AB10+Capital!$A$5</f>
        <v>-244930.59999999998</v>
      </c>
      <c r="AI10" s="7">
        <f>AB10+Capital!$A$6</f>
        <v>-194930.59999999998</v>
      </c>
      <c r="AJ10" s="7">
        <f>AB10+Capital!$A$7</f>
        <v>-144930.59999999998</v>
      </c>
    </row>
    <row r="11" spans="1:36">
      <c r="A11" s="9">
        <v>7</v>
      </c>
      <c r="B11" s="10">
        <v>1500</v>
      </c>
      <c r="C11" s="9">
        <f>ROUNDUP(B11/'Premissas'!$B$14,0)</f>
        <v>75000</v>
      </c>
      <c r="D11" s="10">
        <v>2</v>
      </c>
      <c r="E11" s="9">
        <f>D11*'Premissas'!$B$16</f>
        <v>160</v>
      </c>
      <c r="F11" s="7">
        <f>ROUND(B11*'Premissas'!$B$5,2)</f>
        <v>43500</v>
      </c>
      <c r="G11" s="7">
        <f>ROUND(F11*'Premissas'!$B$6,2)</f>
        <v>217500</v>
      </c>
      <c r="H11" s="7">
        <f>ROUND(G11*'Premissas'!$B$7,2)</f>
        <v>17400</v>
      </c>
      <c r="I11" s="7">
        <f>ROUND(G11-H11,2)</f>
        <v>200100</v>
      </c>
      <c r="J11" s="7">
        <f>ROUND(I11*'Premissas'!$B$8+B11*(1-'Premissas'!$B$7)*'Premissas'!$B$9*'Premissas'!$B$6,2)</f>
        <v>26709.9</v>
      </c>
      <c r="K11" s="7">
        <f>ROUND(I11-J11,2)</f>
        <v>173390.1</v>
      </c>
      <c r="L11" s="7">
        <f>IF(A11&gt;'Premissas'!$B$20,INDEX($K$5:$K$28,MAX(1,A11-'Premissas'!$B$20)),0)</f>
        <v>115593.4</v>
      </c>
      <c r="M11" s="7">
        <f>ROUND(I11*'Premissas'!$B$10,2)</f>
        <v>30015</v>
      </c>
      <c r="N11" s="7">
        <f>ROUND(I11*'Premissas'!$B$11,2)</f>
        <v>6003</v>
      </c>
      <c r="O11" s="7">
        <f>ROUND(B11*'Premissas'!$B$12*'Premissas'!$B$6,2)</f>
        <v>75000</v>
      </c>
      <c r="P11" s="7">
        <f>ROUND(B11*'Premissas'!$B$13*'Premissas'!$B$6,2)</f>
        <v>7500</v>
      </c>
      <c r="Q11" s="7">
        <f>ROUND(D11*'Premissas'!$B$15,2)</f>
        <v>60000</v>
      </c>
      <c r="R11" s="7">
        <f>ROUND(Q11*'Premissas'!$B$19+Q10*(1-'Premissas'!$B$19),2)</f>
        <v>60000</v>
      </c>
      <c r="S11" s="7">
        <f>ROUND(E11*'Premissas'!$B$17,2)</f>
        <v>28800</v>
      </c>
      <c r="T11" s="7">
        <f>ROUND(Q11*'Premissas'!$B$10,2)</f>
        <v>9000</v>
      </c>
      <c r="U11" s="7">
        <f>ROUND(R11*'Premissas'!$B$18,2)</f>
        <v>3000</v>
      </c>
      <c r="V11" s="7">
        <f>IF(A11&lt;=12,'Premissas'!$B$24,'Premissas'!$B$25)</f>
        <v>37000</v>
      </c>
      <c r="W11" s="7">
        <f>ROUND(G11+Q11,2)</f>
        <v>277500</v>
      </c>
      <c r="X11" s="7">
        <f>ROUND(I11+Q11,2)</f>
        <v>260100</v>
      </c>
      <c r="Y11" s="7">
        <f>ROUND(L11+R11,2)</f>
        <v>175593.4</v>
      </c>
      <c r="Z11" s="7">
        <f>ROUND(SUM(M11:P11)+SUM(S11:V11),2)</f>
        <v>196318</v>
      </c>
      <c r="AA11" s="7">
        <f>ROUND(Y11-Z11,2)</f>
        <v>-20724.6</v>
      </c>
      <c r="AB11" s="7">
        <f>ROUND(AB10+AA11,2)</f>
        <v>-365655.2</v>
      </c>
      <c r="AC11" s="7">
        <f>ROUND(X11-J11-SUM(M11:P11)-S11-T11-ROUND(Q11*'Premissas'!$B$18,2)-V11,2)</f>
        <v>37072.1</v>
      </c>
      <c r="AD11" s="7">
        <f>ROUND(SUM($K$5:K11)-SUM($L$5:L11)+SUM($Q$5:Q11)-SUM($R$5:R11),2)</f>
        <v>203390.1</v>
      </c>
      <c r="AE11" s="7">
        <f>MAX(0,AB11)*'Premissas'!$B$28</f>
        <v>0.0</v>
      </c>
      <c r="AF11" s="9">
        <f>IF(AB11&gt;=0,A11,999)</f>
        <v>999</v>
      </c>
      <c r="AG11" s="9">
        <f>IF(AE11&gt;=Resumo!$E$7,A11,999)</f>
        <v>999</v>
      </c>
      <c r="AH11" s="7">
        <f>AB11+Capital!$A$5</f>
        <v>-265655.2</v>
      </c>
      <c r="AI11" s="7">
        <f>AB11+Capital!$A$6</f>
        <v>-215655.2</v>
      </c>
      <c r="AJ11" s="7">
        <f>AB11+Capital!$A$7</f>
        <v>-165655.2</v>
      </c>
    </row>
    <row r="12" spans="1:36">
      <c r="A12" s="9">
        <v>8</v>
      </c>
      <c r="B12" s="10">
        <v>2200</v>
      </c>
      <c r="C12" s="9">
        <f>ROUNDUP(B12/'Premissas'!$B$14,0)</f>
        <v>110000</v>
      </c>
      <c r="D12" s="10">
        <v>2</v>
      </c>
      <c r="E12" s="9">
        <f>D12*'Premissas'!$B$16</f>
        <v>160</v>
      </c>
      <c r="F12" s="7">
        <f>ROUND(B12*'Premissas'!$B$5,2)</f>
        <v>63800</v>
      </c>
      <c r="G12" s="7">
        <f>ROUND(F12*'Premissas'!$B$6,2)</f>
        <v>319000</v>
      </c>
      <c r="H12" s="7">
        <f>ROUND(G12*'Premissas'!$B$7,2)</f>
        <v>25520</v>
      </c>
      <c r="I12" s="7">
        <f>ROUND(G12-H12,2)</f>
        <v>293480</v>
      </c>
      <c r="J12" s="7">
        <f>ROUND(I12*'Premissas'!$B$8+B12*(1-'Premissas'!$B$7)*'Premissas'!$B$9*'Premissas'!$B$6,2)</f>
        <v>39174.52</v>
      </c>
      <c r="K12" s="7">
        <f>ROUND(I12-J12,2)</f>
        <v>254305.48</v>
      </c>
      <c r="L12" s="7">
        <f>IF(A12&gt;'Premissas'!$B$20,INDEX($K$5:$K$28,MAX(1,A12-'Premissas'!$B$20)),0)</f>
        <v>173390.1</v>
      </c>
      <c r="M12" s="7">
        <f>ROUND(I12*'Premissas'!$B$10,2)</f>
        <v>44022</v>
      </c>
      <c r="N12" s="7">
        <f>ROUND(I12*'Premissas'!$B$11,2)</f>
        <v>8804.4</v>
      </c>
      <c r="O12" s="7">
        <f>ROUND(B12*'Premissas'!$B$12*'Premissas'!$B$6,2)</f>
        <v>110000</v>
      </c>
      <c r="P12" s="7">
        <f>ROUND(B12*'Premissas'!$B$13*'Premissas'!$B$6,2)</f>
        <v>11000</v>
      </c>
      <c r="Q12" s="7">
        <f>ROUND(D12*'Premissas'!$B$15,2)</f>
        <v>60000</v>
      </c>
      <c r="R12" s="7">
        <f>ROUND(Q12*'Premissas'!$B$19+Q11*(1-'Premissas'!$B$19),2)</f>
        <v>60000</v>
      </c>
      <c r="S12" s="7">
        <f>ROUND(E12*'Premissas'!$B$17,2)</f>
        <v>28800</v>
      </c>
      <c r="T12" s="7">
        <f>ROUND(Q12*'Premissas'!$B$10,2)</f>
        <v>9000</v>
      </c>
      <c r="U12" s="7">
        <f>ROUND(R12*'Premissas'!$B$18,2)</f>
        <v>3000</v>
      </c>
      <c r="V12" s="7">
        <f>IF(A12&lt;=12,'Premissas'!$B$24,'Premissas'!$B$25)</f>
        <v>37000</v>
      </c>
      <c r="W12" s="7">
        <f>ROUND(G12+Q12,2)</f>
        <v>379000</v>
      </c>
      <c r="X12" s="7">
        <f>ROUND(I12+Q12,2)</f>
        <v>353480</v>
      </c>
      <c r="Y12" s="7">
        <f>ROUND(L12+R12,2)</f>
        <v>233390.1</v>
      </c>
      <c r="Z12" s="7">
        <f>ROUND(SUM(M12:P12)+SUM(S12:V12),2)</f>
        <v>251626.4</v>
      </c>
      <c r="AA12" s="7">
        <f>ROUND(Y12-Z12,2)</f>
        <v>-18236.3</v>
      </c>
      <c r="AB12" s="7">
        <f>ROUND(AB11+AA12,2)</f>
        <v>-383891.5</v>
      </c>
      <c r="AC12" s="7">
        <f>ROUND(X12-J12-SUM(M12:P12)-S12-T12-ROUND(Q12*'Premissas'!$B$18,2)-V12,2)</f>
        <v>62679.08</v>
      </c>
      <c r="AD12" s="7">
        <f>ROUND(SUM($K$5:K12)-SUM($L$5:L12)+SUM($Q$5:Q12)-SUM($R$5:R12),2)</f>
        <v>284305.48</v>
      </c>
      <c r="AE12" s="7">
        <f>MAX(0,AB12)*'Premissas'!$B$28</f>
        <v>0.0</v>
      </c>
      <c r="AF12" s="9">
        <f>IF(AB12&gt;=0,A12,999)</f>
        <v>999</v>
      </c>
      <c r="AG12" s="9">
        <f>IF(AE12&gt;=Resumo!$E$7,A12,999)</f>
        <v>999</v>
      </c>
      <c r="AH12" s="7">
        <f>AB12+Capital!$A$5</f>
        <v>-283891.5</v>
      </c>
      <c r="AI12" s="7">
        <f>AB12+Capital!$A$6</f>
        <v>-233891.5</v>
      </c>
      <c r="AJ12" s="7">
        <f>AB12+Capital!$A$7</f>
        <v>-183891.5</v>
      </c>
    </row>
    <row r="13" spans="1:36">
      <c r="A13" s="9">
        <v>9</v>
      </c>
      <c r="B13" s="10">
        <v>3000</v>
      </c>
      <c r="C13" s="9">
        <f>ROUNDUP(B13/'Premissas'!$B$14,0)</f>
        <v>150000</v>
      </c>
      <c r="D13" s="10">
        <v>2</v>
      </c>
      <c r="E13" s="9">
        <f>D13*'Premissas'!$B$16</f>
        <v>160</v>
      </c>
      <c r="F13" s="7">
        <f>ROUND(B13*'Premissas'!$B$5,2)</f>
        <v>87000</v>
      </c>
      <c r="G13" s="7">
        <f>ROUND(F13*'Premissas'!$B$6,2)</f>
        <v>435000</v>
      </c>
      <c r="H13" s="7">
        <f>ROUND(G13*'Premissas'!$B$7,2)</f>
        <v>34800</v>
      </c>
      <c r="I13" s="7">
        <f>ROUND(G13-H13,2)</f>
        <v>400200</v>
      </c>
      <c r="J13" s="7">
        <f>ROUND(I13*'Premissas'!$B$8+B13*(1-'Premissas'!$B$7)*'Premissas'!$B$9*'Premissas'!$B$6,2)</f>
        <v>53419.8</v>
      </c>
      <c r="K13" s="7">
        <f>ROUND(I13-J13,2)</f>
        <v>346780.2</v>
      </c>
      <c r="L13" s="7">
        <f>IF(A13&gt;'Premissas'!$B$20,INDEX($K$5:$K$28,MAX(1,A13-'Premissas'!$B$20)),0)</f>
        <v>254305.48</v>
      </c>
      <c r="M13" s="7">
        <f>ROUND(I13*'Premissas'!$B$10,2)</f>
        <v>60030</v>
      </c>
      <c r="N13" s="7">
        <f>ROUND(I13*'Premissas'!$B$11,2)</f>
        <v>12006</v>
      </c>
      <c r="O13" s="7">
        <f>ROUND(B13*'Premissas'!$B$12*'Premissas'!$B$6,2)</f>
        <v>150000</v>
      </c>
      <c r="P13" s="7">
        <f>ROUND(B13*'Premissas'!$B$13*'Premissas'!$B$6,2)</f>
        <v>15000</v>
      </c>
      <c r="Q13" s="7">
        <f>ROUND(D13*'Premissas'!$B$15,2)</f>
        <v>60000</v>
      </c>
      <c r="R13" s="7">
        <f>ROUND(Q13*'Premissas'!$B$19+Q12*(1-'Premissas'!$B$19),2)</f>
        <v>60000</v>
      </c>
      <c r="S13" s="7">
        <f>ROUND(E13*'Premissas'!$B$17,2)</f>
        <v>28800</v>
      </c>
      <c r="T13" s="7">
        <f>ROUND(Q13*'Premissas'!$B$10,2)</f>
        <v>9000</v>
      </c>
      <c r="U13" s="7">
        <f>ROUND(R13*'Premissas'!$B$18,2)</f>
        <v>3000</v>
      </c>
      <c r="V13" s="7">
        <f>IF(A13&lt;=12,'Premissas'!$B$24,'Premissas'!$B$25)</f>
        <v>37000</v>
      </c>
      <c r="W13" s="7">
        <f>ROUND(G13+Q13,2)</f>
        <v>495000</v>
      </c>
      <c r="X13" s="7">
        <f>ROUND(I13+Q13,2)</f>
        <v>460200</v>
      </c>
      <c r="Y13" s="7">
        <f>ROUND(L13+R13,2)</f>
        <v>314305.48</v>
      </c>
      <c r="Z13" s="7">
        <f>ROUND(SUM(M13:P13)+SUM(S13:V13),2)</f>
        <v>314836</v>
      </c>
      <c r="AA13" s="7">
        <f>ROUND(Y13-Z13,2)</f>
        <v>-530.52</v>
      </c>
      <c r="AB13" s="7">
        <f>ROUND(AB12+AA13,2)</f>
        <v>-384422.02</v>
      </c>
      <c r="AC13" s="7">
        <f>ROUND(X13-J13-SUM(M13:P13)-S13-T13-ROUND(Q13*'Premissas'!$B$18,2)-V13,2)</f>
        <v>91944.2</v>
      </c>
      <c r="AD13" s="7">
        <f>ROUND(SUM($K$5:K13)-SUM($L$5:L13)+SUM($Q$5:Q13)-SUM($R$5:R13),2)</f>
        <v>376780.2</v>
      </c>
      <c r="AE13" s="7">
        <f>MAX(0,AB13)*'Premissas'!$B$28</f>
        <v>0.0</v>
      </c>
      <c r="AF13" s="9">
        <f>IF(AB13&gt;=0,A13,999)</f>
        <v>999</v>
      </c>
      <c r="AG13" s="9">
        <f>IF(AE13&gt;=Resumo!$E$7,A13,999)</f>
        <v>999</v>
      </c>
      <c r="AH13" s="7">
        <f>AB13+Capital!$A$5</f>
        <v>-284422.02</v>
      </c>
      <c r="AI13" s="7">
        <f>AB13+Capital!$A$6</f>
        <v>-234422.02000000002</v>
      </c>
      <c r="AJ13" s="7">
        <f>AB13+Capital!$A$7</f>
        <v>-184422.02000000002</v>
      </c>
    </row>
    <row r="14" spans="1:36">
      <c r="A14" s="9">
        <v>10</v>
      </c>
      <c r="B14" s="10">
        <v>3500</v>
      </c>
      <c r="C14" s="9">
        <f>ROUNDUP(B14/'Premissas'!$B$14,0)</f>
        <v>175000</v>
      </c>
      <c r="D14" s="10">
        <v>3</v>
      </c>
      <c r="E14" s="9">
        <f>D14*'Premissas'!$B$16</f>
        <v>240</v>
      </c>
      <c r="F14" s="7">
        <f>ROUND(B14*'Premissas'!$B$5,2)</f>
        <v>101500</v>
      </c>
      <c r="G14" s="7">
        <f>ROUND(F14*'Premissas'!$B$6,2)</f>
        <v>507500</v>
      </c>
      <c r="H14" s="7">
        <f>ROUND(G14*'Premissas'!$B$7,2)</f>
        <v>40600</v>
      </c>
      <c r="I14" s="7">
        <f>ROUND(G14-H14,2)</f>
        <v>466900</v>
      </c>
      <c r="J14" s="7">
        <f>ROUND(I14*'Premissas'!$B$8+B14*(1-'Premissas'!$B$7)*'Premissas'!$B$9*'Premissas'!$B$6,2)</f>
        <v>62323.1</v>
      </c>
      <c r="K14" s="7">
        <f>ROUND(I14-J14,2)</f>
        <v>404576.9</v>
      </c>
      <c r="L14" s="7">
        <f>IF(A14&gt;'Premissas'!$B$20,INDEX($K$5:$K$28,MAX(1,A14-'Premissas'!$B$20)),0)</f>
        <v>346780.2</v>
      </c>
      <c r="M14" s="7">
        <f>ROUND(I14*'Premissas'!$B$10,2)</f>
        <v>70035</v>
      </c>
      <c r="N14" s="7">
        <f>ROUND(I14*'Premissas'!$B$11,2)</f>
        <v>14007</v>
      </c>
      <c r="O14" s="7">
        <f>ROUND(B14*'Premissas'!$B$12*'Premissas'!$B$6,2)</f>
        <v>175000</v>
      </c>
      <c r="P14" s="7">
        <f>ROUND(B14*'Premissas'!$B$13*'Premissas'!$B$6,2)</f>
        <v>17500</v>
      </c>
      <c r="Q14" s="7">
        <f>ROUND(D14*'Premissas'!$B$15,2)</f>
        <v>90000</v>
      </c>
      <c r="R14" s="7">
        <f>ROUND(Q14*'Premissas'!$B$19+Q13*(1-'Premissas'!$B$19),2)</f>
        <v>75000</v>
      </c>
      <c r="S14" s="7">
        <f>ROUND(E14*'Premissas'!$B$17,2)</f>
        <v>43200</v>
      </c>
      <c r="T14" s="7">
        <f>ROUND(Q14*'Premissas'!$B$10,2)</f>
        <v>13500</v>
      </c>
      <c r="U14" s="7">
        <f>ROUND(R14*'Premissas'!$B$18,2)</f>
        <v>3750</v>
      </c>
      <c r="V14" s="7">
        <f>IF(A14&lt;=12,'Premissas'!$B$24,'Premissas'!$B$25)</f>
        <v>37000</v>
      </c>
      <c r="W14" s="7">
        <f>ROUND(G14+Q14,2)</f>
        <v>597500</v>
      </c>
      <c r="X14" s="7">
        <f>ROUND(I14+Q14,2)</f>
        <v>556900</v>
      </c>
      <c r="Y14" s="7">
        <f>ROUND(L14+R14,2)</f>
        <v>421780.2</v>
      </c>
      <c r="Z14" s="7">
        <f>ROUND(SUM(M14:P14)+SUM(S14:V14),2)</f>
        <v>373992</v>
      </c>
      <c r="AA14" s="7">
        <f>ROUND(Y14-Z14,2)</f>
        <v>47788.2</v>
      </c>
      <c r="AB14" s="7">
        <f>ROUND(AB13+AA14,2)</f>
        <v>-336633.82</v>
      </c>
      <c r="AC14" s="7">
        <f>ROUND(X14-J14-SUM(M14:P14)-S14-T14-ROUND(Q14*'Premissas'!$B$18,2)-V14,2)</f>
        <v>119834.9</v>
      </c>
      <c r="AD14" s="7">
        <f>ROUND(SUM($K$5:K14)-SUM($L$5:L14)+SUM($Q$5:Q14)-SUM($R$5:R14),2)</f>
        <v>449576.9</v>
      </c>
      <c r="AE14" s="7">
        <f>MAX(0,AB14)*'Premissas'!$B$28</f>
        <v>0.0</v>
      </c>
      <c r="AF14" s="9">
        <f>IF(AB14&gt;=0,A14,999)</f>
        <v>999</v>
      </c>
      <c r="AG14" s="9">
        <f>IF(AE14&gt;=Resumo!$E$7,A14,999)</f>
        <v>999</v>
      </c>
      <c r="AH14" s="7">
        <f>AB14+Capital!$A$5</f>
        <v>-236633.82</v>
      </c>
      <c r="AI14" s="7">
        <f>AB14+Capital!$A$6</f>
        <v>-186633.82</v>
      </c>
      <c r="AJ14" s="7">
        <f>AB14+Capital!$A$7</f>
        <v>-136633.82</v>
      </c>
    </row>
    <row r="15" spans="1:36">
      <c r="A15" s="9">
        <v>11</v>
      </c>
      <c r="B15" s="10">
        <v>4000</v>
      </c>
      <c r="C15" s="9">
        <f>ROUNDUP(B15/'Premissas'!$B$14,0)</f>
        <v>200000</v>
      </c>
      <c r="D15" s="10">
        <v>3</v>
      </c>
      <c r="E15" s="9">
        <f>D15*'Premissas'!$B$16</f>
        <v>240</v>
      </c>
      <c r="F15" s="7">
        <f>ROUND(B15*'Premissas'!$B$5,2)</f>
        <v>116000</v>
      </c>
      <c r="G15" s="7">
        <f>ROUND(F15*'Premissas'!$B$6,2)</f>
        <v>580000</v>
      </c>
      <c r="H15" s="7">
        <f>ROUND(G15*'Premissas'!$B$7,2)</f>
        <v>46400</v>
      </c>
      <c r="I15" s="7">
        <f>ROUND(G15-H15,2)</f>
        <v>533600</v>
      </c>
      <c r="J15" s="7">
        <f>ROUND(I15*'Premissas'!$B$8+B15*(1-'Premissas'!$B$7)*'Premissas'!$B$9*'Premissas'!$B$6,2)</f>
        <v>71226.4</v>
      </c>
      <c r="K15" s="7">
        <f>ROUND(I15-J15,2)</f>
        <v>462373.6</v>
      </c>
      <c r="L15" s="7">
        <f>IF(A15&gt;'Premissas'!$B$20,INDEX($K$5:$K$28,MAX(1,A15-'Premissas'!$B$20)),0)</f>
        <v>404576.9</v>
      </c>
      <c r="M15" s="7">
        <f>ROUND(I15*'Premissas'!$B$10,2)</f>
        <v>80040</v>
      </c>
      <c r="N15" s="7">
        <f>ROUND(I15*'Premissas'!$B$11,2)</f>
        <v>16008</v>
      </c>
      <c r="O15" s="7">
        <f>ROUND(B15*'Premissas'!$B$12*'Premissas'!$B$6,2)</f>
        <v>200000</v>
      </c>
      <c r="P15" s="7">
        <f>ROUND(B15*'Premissas'!$B$13*'Premissas'!$B$6,2)</f>
        <v>20000</v>
      </c>
      <c r="Q15" s="7">
        <f>ROUND(D15*'Premissas'!$B$15,2)</f>
        <v>90000</v>
      </c>
      <c r="R15" s="7">
        <f>ROUND(Q15*'Premissas'!$B$19+Q14*(1-'Premissas'!$B$19),2)</f>
        <v>90000</v>
      </c>
      <c r="S15" s="7">
        <f>ROUND(E15*'Premissas'!$B$17,2)</f>
        <v>43200</v>
      </c>
      <c r="T15" s="7">
        <f>ROUND(Q15*'Premissas'!$B$10,2)</f>
        <v>13500</v>
      </c>
      <c r="U15" s="7">
        <f>ROUND(R15*'Premissas'!$B$18,2)</f>
        <v>4500</v>
      </c>
      <c r="V15" s="7">
        <f>IF(A15&lt;=12,'Premissas'!$B$24,'Premissas'!$B$25)</f>
        <v>37000</v>
      </c>
      <c r="W15" s="7">
        <f>ROUND(G15+Q15,2)</f>
        <v>670000</v>
      </c>
      <c r="X15" s="7">
        <f>ROUND(I15+Q15,2)</f>
        <v>623600</v>
      </c>
      <c r="Y15" s="7">
        <f>ROUND(L15+R15,2)</f>
        <v>494576.9</v>
      </c>
      <c r="Z15" s="7">
        <f>ROUND(SUM(M15:P15)+SUM(S15:V15),2)</f>
        <v>414248</v>
      </c>
      <c r="AA15" s="7">
        <f>ROUND(Y15-Z15,2)</f>
        <v>80328.9</v>
      </c>
      <c r="AB15" s="7">
        <f>ROUND(AB14+AA15,2)</f>
        <v>-256304.92</v>
      </c>
      <c r="AC15" s="7">
        <f>ROUND(X15-J15-SUM(M15:P15)-S15-T15-ROUND(Q15*'Premissas'!$B$18,2)-V15,2)</f>
        <v>138125.6</v>
      </c>
      <c r="AD15" s="7">
        <f>ROUND(SUM($K$5:K15)-SUM($L$5:L15)+SUM($Q$5:Q15)-SUM($R$5:R15),2)</f>
        <v>507373.6</v>
      </c>
      <c r="AE15" s="7">
        <f>MAX(0,AB15)*'Premissas'!$B$28</f>
        <v>0.0</v>
      </c>
      <c r="AF15" s="9">
        <f>IF(AB15&gt;=0,A15,999)</f>
        <v>999</v>
      </c>
      <c r="AG15" s="9">
        <f>IF(AE15&gt;=Resumo!$E$7,A15,999)</f>
        <v>999</v>
      </c>
      <c r="AH15" s="7">
        <f>AB15+Capital!$A$5</f>
        <v>-156304.92</v>
      </c>
      <c r="AI15" s="7">
        <f>AB15+Capital!$A$6</f>
        <v>-106304.92000000001</v>
      </c>
      <c r="AJ15" s="7">
        <f>AB15+Capital!$A$7</f>
        <v>-56304.92000000001</v>
      </c>
    </row>
    <row r="16" spans="1:36">
      <c r="A16" s="9">
        <v>12</v>
      </c>
      <c r="B16" s="10">
        <v>4500</v>
      </c>
      <c r="C16" s="9">
        <f>ROUNDUP(B16/'Premissas'!$B$14,0)</f>
        <v>225000</v>
      </c>
      <c r="D16" s="10">
        <v>3</v>
      </c>
      <c r="E16" s="9">
        <f>D16*'Premissas'!$B$16</f>
        <v>240</v>
      </c>
      <c r="F16" s="7">
        <f>ROUND(B16*'Premissas'!$B$5,2)</f>
        <v>130500</v>
      </c>
      <c r="G16" s="7">
        <f>ROUND(F16*'Premissas'!$B$6,2)</f>
        <v>652500</v>
      </c>
      <c r="H16" s="7">
        <f>ROUND(G16*'Premissas'!$B$7,2)</f>
        <v>52200</v>
      </c>
      <c r="I16" s="7">
        <f>ROUND(G16-H16,2)</f>
        <v>600300</v>
      </c>
      <c r="J16" s="7">
        <f>ROUND(I16*'Premissas'!$B$8+B16*(1-'Premissas'!$B$7)*'Premissas'!$B$9*'Premissas'!$B$6,2)</f>
        <v>80129.7</v>
      </c>
      <c r="K16" s="7">
        <f>ROUND(I16-J16,2)</f>
        <v>520170.3</v>
      </c>
      <c r="L16" s="7">
        <f>IF(A16&gt;'Premissas'!$B$20,INDEX($K$5:$K$28,MAX(1,A16-'Premissas'!$B$20)),0)</f>
        <v>462373.6</v>
      </c>
      <c r="M16" s="7">
        <f>ROUND(I16*'Premissas'!$B$10,2)</f>
        <v>90045</v>
      </c>
      <c r="N16" s="7">
        <f>ROUND(I16*'Premissas'!$B$11,2)</f>
        <v>18009</v>
      </c>
      <c r="O16" s="7">
        <f>ROUND(B16*'Premissas'!$B$12*'Premissas'!$B$6,2)</f>
        <v>225000</v>
      </c>
      <c r="P16" s="7">
        <f>ROUND(B16*'Premissas'!$B$13*'Premissas'!$B$6,2)</f>
        <v>22500</v>
      </c>
      <c r="Q16" s="7">
        <f>ROUND(D16*'Premissas'!$B$15,2)</f>
        <v>90000</v>
      </c>
      <c r="R16" s="7">
        <f>ROUND(Q16*'Premissas'!$B$19+Q15*(1-'Premissas'!$B$19),2)</f>
        <v>90000</v>
      </c>
      <c r="S16" s="7">
        <f>ROUND(E16*'Premissas'!$B$17,2)</f>
        <v>43200</v>
      </c>
      <c r="T16" s="7">
        <f>ROUND(Q16*'Premissas'!$B$10,2)</f>
        <v>13500</v>
      </c>
      <c r="U16" s="7">
        <f>ROUND(R16*'Premissas'!$B$18,2)</f>
        <v>4500</v>
      </c>
      <c r="V16" s="7">
        <f>IF(A16&lt;=12,'Premissas'!$B$24,'Premissas'!$B$25)</f>
        <v>37000</v>
      </c>
      <c r="W16" s="7">
        <f>ROUND(G16+Q16,2)</f>
        <v>742500</v>
      </c>
      <c r="X16" s="7">
        <f>ROUND(I16+Q16,2)</f>
        <v>690300</v>
      </c>
      <c r="Y16" s="7">
        <f>ROUND(L16+R16,2)</f>
        <v>552373.6</v>
      </c>
      <c r="Z16" s="7">
        <f>ROUND(SUM(M16:P16)+SUM(S16:V16),2)</f>
        <v>453754</v>
      </c>
      <c r="AA16" s="7">
        <f>ROUND(Y16-Z16,2)</f>
        <v>98619.6</v>
      </c>
      <c r="AB16" s="7">
        <f>ROUND(AB15+AA16,2)</f>
        <v>-157685.32</v>
      </c>
      <c r="AC16" s="7">
        <f>ROUND(X16-J16-SUM(M16:P16)-S16-T16-ROUND(Q16*'Premissas'!$B$18,2)-V16,2)</f>
        <v>156416.3</v>
      </c>
      <c r="AD16" s="7">
        <f>ROUND(SUM($K$5:K16)-SUM($L$5:L16)+SUM($Q$5:Q16)-SUM($R$5:R16),2)</f>
        <v>565170.3</v>
      </c>
      <c r="AE16" s="7">
        <f>MAX(0,AB16)*'Premissas'!$B$28</f>
        <v>0.0</v>
      </c>
      <c r="AF16" s="9">
        <f>IF(AB16&gt;=0,A16,999)</f>
        <v>999</v>
      </c>
      <c r="AG16" s="9">
        <f>IF(AE16&gt;=Resumo!$E$7,A16,999)</f>
        <v>999</v>
      </c>
      <c r="AH16" s="7">
        <f>AB16+Capital!$A$5</f>
        <v>-57685.32000000001</v>
      </c>
      <c r="AI16" s="7">
        <f>AB16+Capital!$A$6</f>
        <v>-7685.320000000007</v>
      </c>
      <c r="AJ16" s="7">
        <f>AB16+Capital!$A$7</f>
        <v>42314.67999999999</v>
      </c>
    </row>
    <row r="17" spans="1:36">
      <c r="A17" s="9">
        <v>13</v>
      </c>
      <c r="B17" s="10">
        <v>5000</v>
      </c>
      <c r="C17" s="9">
        <f>ROUNDUP(B17/'Premissas'!$B$14,0)</f>
        <v>250000</v>
      </c>
      <c r="D17" s="10">
        <v>3</v>
      </c>
      <c r="E17" s="9">
        <f>D17*'Premissas'!$B$16</f>
        <v>240</v>
      </c>
      <c r="F17" s="7">
        <f>ROUND(B17*'Premissas'!$B$5,2)</f>
        <v>145000</v>
      </c>
      <c r="G17" s="7">
        <f>ROUND(F17*'Premissas'!$B$6,2)</f>
        <v>725000</v>
      </c>
      <c r="H17" s="7">
        <f>ROUND(G17*'Premissas'!$B$7,2)</f>
        <v>58000</v>
      </c>
      <c r="I17" s="7">
        <f>ROUND(G17-H17,2)</f>
        <v>667000</v>
      </c>
      <c r="J17" s="7">
        <f>ROUND(I17*'Premissas'!$B$8+B17*(1-'Premissas'!$B$7)*'Premissas'!$B$9*'Premissas'!$B$6,2)</f>
        <v>89033</v>
      </c>
      <c r="K17" s="7">
        <f>ROUND(I17-J17,2)</f>
        <v>577967</v>
      </c>
      <c r="L17" s="7">
        <f>IF(A17&gt;'Premissas'!$B$20,INDEX($K$5:$K$28,MAX(1,A17-'Premissas'!$B$20)),0)</f>
        <v>520170.3</v>
      </c>
      <c r="M17" s="7">
        <f>ROUND(I17*'Premissas'!$B$10,2)</f>
        <v>100050</v>
      </c>
      <c r="N17" s="7">
        <f>ROUND(I17*'Premissas'!$B$11,2)</f>
        <v>20010</v>
      </c>
      <c r="O17" s="7">
        <f>ROUND(B17*'Premissas'!$B$12*'Premissas'!$B$6,2)</f>
        <v>250000</v>
      </c>
      <c r="P17" s="7">
        <f>ROUND(B17*'Premissas'!$B$13*'Premissas'!$B$6,2)</f>
        <v>25000</v>
      </c>
      <c r="Q17" s="7">
        <f>ROUND(D17*'Premissas'!$B$15,2)</f>
        <v>90000</v>
      </c>
      <c r="R17" s="7">
        <f>ROUND(Q17*'Premissas'!$B$19+Q16*(1-'Premissas'!$B$19),2)</f>
        <v>90000</v>
      </c>
      <c r="S17" s="7">
        <f>ROUND(E17*'Premissas'!$B$17,2)</f>
        <v>43200</v>
      </c>
      <c r="T17" s="7">
        <f>ROUND(Q17*'Premissas'!$B$10,2)</f>
        <v>13500</v>
      </c>
      <c r="U17" s="7">
        <f>ROUND(R17*'Premissas'!$B$18,2)</f>
        <v>4500</v>
      </c>
      <c r="V17" s="7">
        <f>IF(A17&lt;=12,'Premissas'!$B$24,'Premissas'!$B$25)</f>
        <v>42000</v>
      </c>
      <c r="W17" s="7">
        <f>ROUND(G17+Q17,2)</f>
        <v>815000</v>
      </c>
      <c r="X17" s="7">
        <f>ROUND(I17+Q17,2)</f>
        <v>757000</v>
      </c>
      <c r="Y17" s="7">
        <f>ROUND(L17+R17,2)</f>
        <v>610170.3</v>
      </c>
      <c r="Z17" s="7">
        <f>ROUND(SUM(M17:P17)+SUM(S17:V17),2)</f>
        <v>498260</v>
      </c>
      <c r="AA17" s="7">
        <f>ROUND(Y17-Z17,2)</f>
        <v>111910.3</v>
      </c>
      <c r="AB17" s="7">
        <f>ROUND(AB16+AA17,2)</f>
        <v>-45775.02</v>
      </c>
      <c r="AC17" s="7">
        <f>ROUND(X17-J17-SUM(M17:P17)-S17-T17-ROUND(Q17*'Premissas'!$B$18,2)-V17,2)</f>
        <v>169707</v>
      </c>
      <c r="AD17" s="7">
        <f>ROUND(SUM($K$5:K17)-SUM($L$5:L17)+SUM($Q$5:Q17)-SUM($R$5:R17),2)</f>
        <v>622967</v>
      </c>
      <c r="AE17" s="7">
        <f>MAX(0,AB17)*'Premissas'!$B$28</f>
        <v>0.0</v>
      </c>
      <c r="AF17" s="9">
        <f>IF(AB17&gt;=0,A17,999)</f>
        <v>999</v>
      </c>
      <c r="AG17" s="9">
        <f>IF(AE17&gt;=Resumo!$E$7,A17,999)</f>
        <v>999</v>
      </c>
      <c r="AH17" s="7">
        <f>AB17+Capital!$A$5</f>
        <v>54224.98</v>
      </c>
      <c r="AI17" s="7">
        <f>AB17+Capital!$A$6</f>
        <v>104224.98000000001</v>
      </c>
      <c r="AJ17" s="7">
        <f>AB17+Capital!$A$7</f>
        <v>154224.98</v>
      </c>
    </row>
    <row r="18" spans="1:36">
      <c r="A18" s="9">
        <v>14</v>
      </c>
      <c r="B18" s="10">
        <v>5000</v>
      </c>
      <c r="C18" s="9">
        <f>ROUNDUP(B18/'Premissas'!$B$14,0)</f>
        <v>250000</v>
      </c>
      <c r="D18" s="10">
        <v>3</v>
      </c>
      <c r="E18" s="9">
        <f>D18*'Premissas'!$B$16</f>
        <v>240</v>
      </c>
      <c r="F18" s="7">
        <f>ROUND(B18*'Premissas'!$B$5,2)</f>
        <v>145000</v>
      </c>
      <c r="G18" s="7">
        <f>ROUND(F18*'Premissas'!$B$6,2)</f>
        <v>725000</v>
      </c>
      <c r="H18" s="7">
        <f>ROUND(G18*'Premissas'!$B$7,2)</f>
        <v>58000</v>
      </c>
      <c r="I18" s="7">
        <f>ROUND(G18-H18,2)</f>
        <v>667000</v>
      </c>
      <c r="J18" s="7">
        <f>ROUND(I18*'Premissas'!$B$8+B18*(1-'Premissas'!$B$7)*'Premissas'!$B$9*'Premissas'!$B$6,2)</f>
        <v>89033</v>
      </c>
      <c r="K18" s="7">
        <f>ROUND(I18-J18,2)</f>
        <v>577967</v>
      </c>
      <c r="L18" s="7">
        <f>IF(A18&gt;'Premissas'!$B$20,INDEX($K$5:$K$28,MAX(1,A18-'Premissas'!$B$20)),0)</f>
        <v>577967</v>
      </c>
      <c r="M18" s="7">
        <f>ROUND(I18*'Premissas'!$B$10,2)</f>
        <v>100050</v>
      </c>
      <c r="N18" s="7">
        <f>ROUND(I18*'Premissas'!$B$11,2)</f>
        <v>20010</v>
      </c>
      <c r="O18" s="7">
        <f>ROUND(B18*'Premissas'!$B$12*'Premissas'!$B$6,2)</f>
        <v>250000</v>
      </c>
      <c r="P18" s="7">
        <f>ROUND(B18*'Premissas'!$B$13*'Premissas'!$B$6,2)</f>
        <v>25000</v>
      </c>
      <c r="Q18" s="7">
        <f>ROUND(D18*'Premissas'!$B$15,2)</f>
        <v>90000</v>
      </c>
      <c r="R18" s="7">
        <f>ROUND(Q18*'Premissas'!$B$19+Q17*(1-'Premissas'!$B$19),2)</f>
        <v>90000</v>
      </c>
      <c r="S18" s="7">
        <f>ROUND(E18*'Premissas'!$B$17,2)</f>
        <v>43200</v>
      </c>
      <c r="T18" s="7">
        <f>ROUND(Q18*'Premissas'!$B$10,2)</f>
        <v>13500</v>
      </c>
      <c r="U18" s="7">
        <f>ROUND(R18*'Premissas'!$B$18,2)</f>
        <v>4500</v>
      </c>
      <c r="V18" s="7">
        <f>IF(A18&lt;=12,'Premissas'!$B$24,'Premissas'!$B$25)</f>
        <v>42000</v>
      </c>
      <c r="W18" s="7">
        <f>ROUND(G18+Q18,2)</f>
        <v>815000</v>
      </c>
      <c r="X18" s="7">
        <f>ROUND(I18+Q18,2)</f>
        <v>757000</v>
      </c>
      <c r="Y18" s="7">
        <f>ROUND(L18+R18,2)</f>
        <v>667967</v>
      </c>
      <c r="Z18" s="7">
        <f>ROUND(SUM(M18:P18)+SUM(S18:V18),2)</f>
        <v>498260</v>
      </c>
      <c r="AA18" s="7">
        <f>ROUND(Y18-Z18,2)</f>
        <v>169707</v>
      </c>
      <c r="AB18" s="7">
        <f>ROUND(AB17+AA18,2)</f>
        <v>123931.98</v>
      </c>
      <c r="AC18" s="7">
        <f>ROUND(X18-J18-SUM(M18:P18)-S18-T18-ROUND(Q18*'Premissas'!$B$18,2)-V18,2)</f>
        <v>169707</v>
      </c>
      <c r="AD18" s="7">
        <f>ROUND(SUM($K$5:K18)-SUM($L$5:L18)+SUM($Q$5:Q18)-SUM($R$5:R18),2)</f>
        <v>622967</v>
      </c>
      <c r="AE18" s="7">
        <f>MAX(0,AB18)*'Premissas'!$B$28</f>
        <v>61965.99</v>
      </c>
      <c r="AF18" s="9">
        <f>IF(AB18&gt;=0,A18,999)</f>
        <v>14</v>
      </c>
      <c r="AG18" s="9">
        <f>IF(AE18&gt;=Resumo!$E$7,A18,999)</f>
        <v>999</v>
      </c>
      <c r="AH18" s="7">
        <f>AB18+Capital!$A$5</f>
        <v>223931.97999999998</v>
      </c>
      <c r="AI18" s="7">
        <f>AB18+Capital!$A$6</f>
        <v>273931.98</v>
      </c>
      <c r="AJ18" s="7">
        <f>AB18+Capital!$A$7</f>
        <v>323931.98</v>
      </c>
    </row>
    <row r="19" spans="1:36">
      <c r="A19" s="9">
        <v>15</v>
      </c>
      <c r="B19" s="10">
        <v>5000</v>
      </c>
      <c r="C19" s="9">
        <f>ROUNDUP(B19/'Premissas'!$B$14,0)</f>
        <v>250000</v>
      </c>
      <c r="D19" s="10">
        <v>3</v>
      </c>
      <c r="E19" s="9">
        <f>D19*'Premissas'!$B$16</f>
        <v>240</v>
      </c>
      <c r="F19" s="7">
        <f>ROUND(B19*'Premissas'!$B$5,2)</f>
        <v>145000</v>
      </c>
      <c r="G19" s="7">
        <f>ROUND(F19*'Premissas'!$B$6,2)</f>
        <v>725000</v>
      </c>
      <c r="H19" s="7">
        <f>ROUND(G19*'Premissas'!$B$7,2)</f>
        <v>58000</v>
      </c>
      <c r="I19" s="7">
        <f>ROUND(G19-H19,2)</f>
        <v>667000</v>
      </c>
      <c r="J19" s="7">
        <f>ROUND(I19*'Premissas'!$B$8+B19*(1-'Premissas'!$B$7)*'Premissas'!$B$9*'Premissas'!$B$6,2)</f>
        <v>89033</v>
      </c>
      <c r="K19" s="7">
        <f>ROUND(I19-J19,2)</f>
        <v>577967</v>
      </c>
      <c r="L19" s="7">
        <f>IF(A19&gt;'Premissas'!$B$20,INDEX($K$5:$K$28,MAX(1,A19-'Premissas'!$B$20)),0)</f>
        <v>577967</v>
      </c>
      <c r="M19" s="7">
        <f>ROUND(I19*'Premissas'!$B$10,2)</f>
        <v>100050</v>
      </c>
      <c r="N19" s="7">
        <f>ROUND(I19*'Premissas'!$B$11,2)</f>
        <v>20010</v>
      </c>
      <c r="O19" s="7">
        <f>ROUND(B19*'Premissas'!$B$12*'Premissas'!$B$6,2)</f>
        <v>250000</v>
      </c>
      <c r="P19" s="7">
        <f>ROUND(B19*'Premissas'!$B$13*'Premissas'!$B$6,2)</f>
        <v>25000</v>
      </c>
      <c r="Q19" s="7">
        <f>ROUND(D19*'Premissas'!$B$15,2)</f>
        <v>90000</v>
      </c>
      <c r="R19" s="7">
        <f>ROUND(Q19*'Premissas'!$B$19+Q18*(1-'Premissas'!$B$19),2)</f>
        <v>90000</v>
      </c>
      <c r="S19" s="7">
        <f>ROUND(E19*'Premissas'!$B$17,2)</f>
        <v>43200</v>
      </c>
      <c r="T19" s="7">
        <f>ROUND(Q19*'Premissas'!$B$10,2)</f>
        <v>13500</v>
      </c>
      <c r="U19" s="7">
        <f>ROUND(R19*'Premissas'!$B$18,2)</f>
        <v>4500</v>
      </c>
      <c r="V19" s="7">
        <f>IF(A19&lt;=12,'Premissas'!$B$24,'Premissas'!$B$25)</f>
        <v>42000</v>
      </c>
      <c r="W19" s="7">
        <f>ROUND(G19+Q19,2)</f>
        <v>815000</v>
      </c>
      <c r="X19" s="7">
        <f>ROUND(I19+Q19,2)</f>
        <v>757000</v>
      </c>
      <c r="Y19" s="7">
        <f>ROUND(L19+R19,2)</f>
        <v>667967</v>
      </c>
      <c r="Z19" s="7">
        <f>ROUND(SUM(M19:P19)+SUM(S19:V19),2)</f>
        <v>498260</v>
      </c>
      <c r="AA19" s="7">
        <f>ROUND(Y19-Z19,2)</f>
        <v>169707</v>
      </c>
      <c r="AB19" s="7">
        <f>ROUND(AB18+AA19,2)</f>
        <v>293638.98</v>
      </c>
      <c r="AC19" s="7">
        <f>ROUND(X19-J19-SUM(M19:P19)-S19-T19-ROUND(Q19*'Premissas'!$B$18,2)-V19,2)</f>
        <v>169707</v>
      </c>
      <c r="AD19" s="7">
        <f>ROUND(SUM($K$5:K19)-SUM($L$5:L19)+SUM($Q$5:Q19)-SUM($R$5:R19),2)</f>
        <v>622967</v>
      </c>
      <c r="AE19" s="7">
        <f>MAX(0,AB19)*'Premissas'!$B$28</f>
        <v>146819.49</v>
      </c>
      <c r="AF19" s="9">
        <f>IF(AB19&gt;=0,A19,999)</f>
        <v>15</v>
      </c>
      <c r="AG19" s="9">
        <f>IF(AE19&gt;=Resumo!$E$7,A19,999)</f>
        <v>999</v>
      </c>
      <c r="AH19" s="7">
        <f>AB19+Capital!$A$5</f>
        <v>393638.98</v>
      </c>
      <c r="AI19" s="7">
        <f>AB19+Capital!$A$6</f>
        <v>443638.98</v>
      </c>
      <c r="AJ19" s="7">
        <f>AB19+Capital!$A$7</f>
        <v>493638.98</v>
      </c>
    </row>
    <row r="20" spans="1:36">
      <c r="A20" s="9">
        <v>16</v>
      </c>
      <c r="B20" s="10">
        <v>5000</v>
      </c>
      <c r="C20" s="9">
        <f>ROUNDUP(B20/'Premissas'!$B$14,0)</f>
        <v>250000</v>
      </c>
      <c r="D20" s="10">
        <v>3</v>
      </c>
      <c r="E20" s="9">
        <f>D20*'Premissas'!$B$16</f>
        <v>240</v>
      </c>
      <c r="F20" s="7">
        <f>ROUND(B20*'Premissas'!$B$5,2)</f>
        <v>145000</v>
      </c>
      <c r="G20" s="7">
        <f>ROUND(F20*'Premissas'!$B$6,2)</f>
        <v>725000</v>
      </c>
      <c r="H20" s="7">
        <f>ROUND(G20*'Premissas'!$B$7,2)</f>
        <v>58000</v>
      </c>
      <c r="I20" s="7">
        <f>ROUND(G20-H20,2)</f>
        <v>667000</v>
      </c>
      <c r="J20" s="7">
        <f>ROUND(I20*'Premissas'!$B$8+B20*(1-'Premissas'!$B$7)*'Premissas'!$B$9*'Premissas'!$B$6,2)</f>
        <v>89033</v>
      </c>
      <c r="K20" s="7">
        <f>ROUND(I20-J20,2)</f>
        <v>577967</v>
      </c>
      <c r="L20" s="7">
        <f>IF(A20&gt;'Premissas'!$B$20,INDEX($K$5:$K$28,MAX(1,A20-'Premissas'!$B$20)),0)</f>
        <v>577967</v>
      </c>
      <c r="M20" s="7">
        <f>ROUND(I20*'Premissas'!$B$10,2)</f>
        <v>100050</v>
      </c>
      <c r="N20" s="7">
        <f>ROUND(I20*'Premissas'!$B$11,2)</f>
        <v>20010</v>
      </c>
      <c r="O20" s="7">
        <f>ROUND(B20*'Premissas'!$B$12*'Premissas'!$B$6,2)</f>
        <v>250000</v>
      </c>
      <c r="P20" s="7">
        <f>ROUND(B20*'Premissas'!$B$13*'Premissas'!$B$6,2)</f>
        <v>25000</v>
      </c>
      <c r="Q20" s="7">
        <f>ROUND(D20*'Premissas'!$B$15,2)</f>
        <v>90000</v>
      </c>
      <c r="R20" s="7">
        <f>ROUND(Q20*'Premissas'!$B$19+Q19*(1-'Premissas'!$B$19),2)</f>
        <v>90000</v>
      </c>
      <c r="S20" s="7">
        <f>ROUND(E20*'Premissas'!$B$17,2)</f>
        <v>43200</v>
      </c>
      <c r="T20" s="7">
        <f>ROUND(Q20*'Premissas'!$B$10,2)</f>
        <v>13500</v>
      </c>
      <c r="U20" s="7">
        <f>ROUND(R20*'Premissas'!$B$18,2)</f>
        <v>4500</v>
      </c>
      <c r="V20" s="7">
        <f>IF(A20&lt;=12,'Premissas'!$B$24,'Premissas'!$B$25)</f>
        <v>42000</v>
      </c>
      <c r="W20" s="7">
        <f>ROUND(G20+Q20,2)</f>
        <v>815000</v>
      </c>
      <c r="X20" s="7">
        <f>ROUND(I20+Q20,2)</f>
        <v>757000</v>
      </c>
      <c r="Y20" s="7">
        <f>ROUND(L20+R20,2)</f>
        <v>667967</v>
      </c>
      <c r="Z20" s="7">
        <f>ROUND(SUM(M20:P20)+SUM(S20:V20),2)</f>
        <v>498260</v>
      </c>
      <c r="AA20" s="7">
        <f>ROUND(Y20-Z20,2)</f>
        <v>169707</v>
      </c>
      <c r="AB20" s="7">
        <f>ROUND(AB19+AA20,2)</f>
        <v>463345.98</v>
      </c>
      <c r="AC20" s="7">
        <f>ROUND(X20-J20-SUM(M20:P20)-S20-T20-ROUND(Q20*'Premissas'!$B$18,2)-V20,2)</f>
        <v>169707</v>
      </c>
      <c r="AD20" s="7">
        <f>ROUND(SUM($K$5:K20)-SUM($L$5:L20)+SUM($Q$5:Q20)-SUM($R$5:R20),2)</f>
        <v>622967</v>
      </c>
      <c r="AE20" s="7">
        <f>MAX(0,AB20)*'Premissas'!$B$28</f>
        <v>231672.99</v>
      </c>
      <c r="AF20" s="9">
        <f>IF(AB20&gt;=0,A20,999)</f>
        <v>16</v>
      </c>
      <c r="AG20" s="9">
        <f>IF(AE20&gt;=Resumo!$E$7,A20,999)</f>
        <v>999</v>
      </c>
      <c r="AH20" s="7">
        <f>AB20+Capital!$A$5</f>
        <v>563345.98</v>
      </c>
      <c r="AI20" s="7">
        <f>AB20+Capital!$A$6</f>
        <v>613345.98</v>
      </c>
      <c r="AJ20" s="7">
        <f>AB20+Capital!$A$7</f>
        <v>663345.98</v>
      </c>
    </row>
    <row r="21" spans="1:36">
      <c r="A21" s="9">
        <v>17</v>
      </c>
      <c r="B21" s="10">
        <v>5000</v>
      </c>
      <c r="C21" s="9">
        <f>ROUNDUP(B21/'Premissas'!$B$14,0)</f>
        <v>250000</v>
      </c>
      <c r="D21" s="10">
        <v>3</v>
      </c>
      <c r="E21" s="9">
        <f>D21*'Premissas'!$B$16</f>
        <v>240</v>
      </c>
      <c r="F21" s="7">
        <f>ROUND(B21*'Premissas'!$B$5,2)</f>
        <v>145000</v>
      </c>
      <c r="G21" s="7">
        <f>ROUND(F21*'Premissas'!$B$6,2)</f>
        <v>725000</v>
      </c>
      <c r="H21" s="7">
        <f>ROUND(G21*'Premissas'!$B$7,2)</f>
        <v>58000</v>
      </c>
      <c r="I21" s="7">
        <f>ROUND(G21-H21,2)</f>
        <v>667000</v>
      </c>
      <c r="J21" s="7">
        <f>ROUND(I21*'Premissas'!$B$8+B21*(1-'Premissas'!$B$7)*'Premissas'!$B$9*'Premissas'!$B$6,2)</f>
        <v>89033</v>
      </c>
      <c r="K21" s="7">
        <f>ROUND(I21-J21,2)</f>
        <v>577967</v>
      </c>
      <c r="L21" s="7">
        <f>IF(A21&gt;'Premissas'!$B$20,INDEX($K$5:$K$28,MAX(1,A21-'Premissas'!$B$20)),0)</f>
        <v>577967</v>
      </c>
      <c r="M21" s="7">
        <f>ROUND(I21*'Premissas'!$B$10,2)</f>
        <v>100050</v>
      </c>
      <c r="N21" s="7">
        <f>ROUND(I21*'Premissas'!$B$11,2)</f>
        <v>20010</v>
      </c>
      <c r="O21" s="7">
        <f>ROUND(B21*'Premissas'!$B$12*'Premissas'!$B$6,2)</f>
        <v>250000</v>
      </c>
      <c r="P21" s="7">
        <f>ROUND(B21*'Premissas'!$B$13*'Premissas'!$B$6,2)</f>
        <v>25000</v>
      </c>
      <c r="Q21" s="7">
        <f>ROUND(D21*'Premissas'!$B$15,2)</f>
        <v>90000</v>
      </c>
      <c r="R21" s="7">
        <f>ROUND(Q21*'Premissas'!$B$19+Q20*(1-'Premissas'!$B$19),2)</f>
        <v>90000</v>
      </c>
      <c r="S21" s="7">
        <f>ROUND(E21*'Premissas'!$B$17,2)</f>
        <v>43200</v>
      </c>
      <c r="T21" s="7">
        <f>ROUND(Q21*'Premissas'!$B$10,2)</f>
        <v>13500</v>
      </c>
      <c r="U21" s="7">
        <f>ROUND(R21*'Premissas'!$B$18,2)</f>
        <v>4500</v>
      </c>
      <c r="V21" s="7">
        <f>IF(A21&lt;=12,'Premissas'!$B$24,'Premissas'!$B$25)</f>
        <v>42000</v>
      </c>
      <c r="W21" s="7">
        <f>ROUND(G21+Q21,2)</f>
        <v>815000</v>
      </c>
      <c r="X21" s="7">
        <f>ROUND(I21+Q21,2)</f>
        <v>757000</v>
      </c>
      <c r="Y21" s="7">
        <f>ROUND(L21+R21,2)</f>
        <v>667967</v>
      </c>
      <c r="Z21" s="7">
        <f>ROUND(SUM(M21:P21)+SUM(S21:V21),2)</f>
        <v>498260</v>
      </c>
      <c r="AA21" s="7">
        <f>ROUND(Y21-Z21,2)</f>
        <v>169707</v>
      </c>
      <c r="AB21" s="7">
        <f>ROUND(AB20+AA21,2)</f>
        <v>633052.98</v>
      </c>
      <c r="AC21" s="7">
        <f>ROUND(X21-J21-SUM(M21:P21)-S21-T21-ROUND(Q21*'Premissas'!$B$18,2)-V21,2)</f>
        <v>169707</v>
      </c>
      <c r="AD21" s="7">
        <f>ROUND(SUM($K$5:K21)-SUM($L$5:L21)+SUM($Q$5:Q21)-SUM($R$5:R21),2)</f>
        <v>622967</v>
      </c>
      <c r="AE21" s="7">
        <f>MAX(0,AB21)*'Premissas'!$B$28</f>
        <v>316526.49</v>
      </c>
      <c r="AF21" s="9">
        <f>IF(AB21&gt;=0,A21,999)</f>
        <v>17</v>
      </c>
      <c r="AG21" s="9">
        <f>IF(AE21&gt;=Resumo!$E$7,A21,999)</f>
        <v>999</v>
      </c>
      <c r="AH21" s="7">
        <f>AB21+Capital!$A$5</f>
        <v>733052.98</v>
      </c>
      <c r="AI21" s="7">
        <f>AB21+Capital!$A$6</f>
        <v>783052.98</v>
      </c>
      <c r="AJ21" s="7">
        <f>AB21+Capital!$A$7</f>
        <v>833052.98</v>
      </c>
    </row>
    <row r="22" spans="1:36">
      <c r="A22" s="9">
        <v>18</v>
      </c>
      <c r="B22" s="10">
        <v>5000</v>
      </c>
      <c r="C22" s="9">
        <f>ROUNDUP(B22/'Premissas'!$B$14,0)</f>
        <v>250000</v>
      </c>
      <c r="D22" s="10">
        <v>3</v>
      </c>
      <c r="E22" s="9">
        <f>D22*'Premissas'!$B$16</f>
        <v>240</v>
      </c>
      <c r="F22" s="7">
        <f>ROUND(B22*'Premissas'!$B$5,2)</f>
        <v>145000</v>
      </c>
      <c r="G22" s="7">
        <f>ROUND(F22*'Premissas'!$B$6,2)</f>
        <v>725000</v>
      </c>
      <c r="H22" s="7">
        <f>ROUND(G22*'Premissas'!$B$7,2)</f>
        <v>58000</v>
      </c>
      <c r="I22" s="7">
        <f>ROUND(G22-H22,2)</f>
        <v>667000</v>
      </c>
      <c r="J22" s="7">
        <f>ROUND(I22*'Premissas'!$B$8+B22*(1-'Premissas'!$B$7)*'Premissas'!$B$9*'Premissas'!$B$6,2)</f>
        <v>89033</v>
      </c>
      <c r="K22" s="7">
        <f>ROUND(I22-J22,2)</f>
        <v>577967</v>
      </c>
      <c r="L22" s="7">
        <f>IF(A22&gt;'Premissas'!$B$20,INDEX($K$5:$K$28,MAX(1,A22-'Premissas'!$B$20)),0)</f>
        <v>577967</v>
      </c>
      <c r="M22" s="7">
        <f>ROUND(I22*'Premissas'!$B$10,2)</f>
        <v>100050</v>
      </c>
      <c r="N22" s="7">
        <f>ROUND(I22*'Premissas'!$B$11,2)</f>
        <v>20010</v>
      </c>
      <c r="O22" s="7">
        <f>ROUND(B22*'Premissas'!$B$12*'Premissas'!$B$6,2)</f>
        <v>250000</v>
      </c>
      <c r="P22" s="7">
        <f>ROUND(B22*'Premissas'!$B$13*'Premissas'!$B$6,2)</f>
        <v>25000</v>
      </c>
      <c r="Q22" s="7">
        <f>ROUND(D22*'Premissas'!$B$15,2)</f>
        <v>90000</v>
      </c>
      <c r="R22" s="7">
        <f>ROUND(Q22*'Premissas'!$B$19+Q21*(1-'Premissas'!$B$19),2)</f>
        <v>90000</v>
      </c>
      <c r="S22" s="7">
        <f>ROUND(E22*'Premissas'!$B$17,2)</f>
        <v>43200</v>
      </c>
      <c r="T22" s="7">
        <f>ROUND(Q22*'Premissas'!$B$10,2)</f>
        <v>13500</v>
      </c>
      <c r="U22" s="7">
        <f>ROUND(R22*'Premissas'!$B$18,2)</f>
        <v>4500</v>
      </c>
      <c r="V22" s="7">
        <f>IF(A22&lt;=12,'Premissas'!$B$24,'Premissas'!$B$25)</f>
        <v>42000</v>
      </c>
      <c r="W22" s="7">
        <f>ROUND(G22+Q22,2)</f>
        <v>815000</v>
      </c>
      <c r="X22" s="7">
        <f>ROUND(I22+Q22,2)</f>
        <v>757000</v>
      </c>
      <c r="Y22" s="7">
        <f>ROUND(L22+R22,2)</f>
        <v>667967</v>
      </c>
      <c r="Z22" s="7">
        <f>ROUND(SUM(M22:P22)+SUM(S22:V22),2)</f>
        <v>498260</v>
      </c>
      <c r="AA22" s="7">
        <f>ROUND(Y22-Z22,2)</f>
        <v>169707</v>
      </c>
      <c r="AB22" s="7">
        <f>ROUND(AB21+AA22,2)</f>
        <v>802759.98</v>
      </c>
      <c r="AC22" s="7">
        <f>ROUND(X22-J22-SUM(M22:P22)-S22-T22-ROUND(Q22*'Premissas'!$B$18,2)-V22,2)</f>
        <v>169707</v>
      </c>
      <c r="AD22" s="7">
        <f>ROUND(SUM($K$5:K22)-SUM($L$5:L22)+SUM($Q$5:Q22)-SUM($R$5:R22),2)</f>
        <v>622967</v>
      </c>
      <c r="AE22" s="7">
        <f>MAX(0,AB22)*'Premissas'!$B$28</f>
        <v>401379.99</v>
      </c>
      <c r="AF22" s="9">
        <f>IF(AB22&gt;=0,A22,999)</f>
        <v>18</v>
      </c>
      <c r="AG22" s="9">
        <f>IF(AE22&gt;=Resumo!$E$7,A22,999)</f>
        <v>999</v>
      </c>
      <c r="AH22" s="7">
        <f>AB22+Capital!$A$5</f>
        <v>902759.98</v>
      </c>
      <c r="AI22" s="7">
        <f>AB22+Capital!$A$6</f>
        <v>952759.98</v>
      </c>
      <c r="AJ22" s="7">
        <f>AB22+Capital!$A$7</f>
        <v>1002759.98</v>
      </c>
    </row>
    <row r="23" spans="1:36">
      <c r="A23" s="9">
        <v>19</v>
      </c>
      <c r="B23" s="10">
        <v>5000</v>
      </c>
      <c r="C23" s="9">
        <f>ROUNDUP(B23/'Premissas'!$B$14,0)</f>
        <v>250000</v>
      </c>
      <c r="D23" s="10">
        <v>3</v>
      </c>
      <c r="E23" s="9">
        <f>D23*'Premissas'!$B$16</f>
        <v>240</v>
      </c>
      <c r="F23" s="7">
        <f>ROUND(B23*'Premissas'!$B$5,2)</f>
        <v>145000</v>
      </c>
      <c r="G23" s="7">
        <f>ROUND(F23*'Premissas'!$B$6,2)</f>
        <v>725000</v>
      </c>
      <c r="H23" s="7">
        <f>ROUND(G23*'Premissas'!$B$7,2)</f>
        <v>58000</v>
      </c>
      <c r="I23" s="7">
        <f>ROUND(G23-H23,2)</f>
        <v>667000</v>
      </c>
      <c r="J23" s="7">
        <f>ROUND(I23*'Premissas'!$B$8+B23*(1-'Premissas'!$B$7)*'Premissas'!$B$9*'Premissas'!$B$6,2)</f>
        <v>89033</v>
      </c>
      <c r="K23" s="7">
        <f>ROUND(I23-J23,2)</f>
        <v>577967</v>
      </c>
      <c r="L23" s="7">
        <f>IF(A23&gt;'Premissas'!$B$20,INDEX($K$5:$K$28,MAX(1,A23-'Premissas'!$B$20)),0)</f>
        <v>577967</v>
      </c>
      <c r="M23" s="7">
        <f>ROUND(I23*'Premissas'!$B$10,2)</f>
        <v>100050</v>
      </c>
      <c r="N23" s="7">
        <f>ROUND(I23*'Premissas'!$B$11,2)</f>
        <v>20010</v>
      </c>
      <c r="O23" s="7">
        <f>ROUND(B23*'Premissas'!$B$12*'Premissas'!$B$6,2)</f>
        <v>250000</v>
      </c>
      <c r="P23" s="7">
        <f>ROUND(B23*'Premissas'!$B$13*'Premissas'!$B$6,2)</f>
        <v>25000</v>
      </c>
      <c r="Q23" s="7">
        <f>ROUND(D23*'Premissas'!$B$15,2)</f>
        <v>90000</v>
      </c>
      <c r="R23" s="7">
        <f>ROUND(Q23*'Premissas'!$B$19+Q22*(1-'Premissas'!$B$19),2)</f>
        <v>90000</v>
      </c>
      <c r="S23" s="7">
        <f>ROUND(E23*'Premissas'!$B$17,2)</f>
        <v>43200</v>
      </c>
      <c r="T23" s="7">
        <f>ROUND(Q23*'Premissas'!$B$10,2)</f>
        <v>13500</v>
      </c>
      <c r="U23" s="7">
        <f>ROUND(R23*'Premissas'!$B$18,2)</f>
        <v>4500</v>
      </c>
      <c r="V23" s="7">
        <f>IF(A23&lt;=12,'Premissas'!$B$24,'Premissas'!$B$25)</f>
        <v>42000</v>
      </c>
      <c r="W23" s="7">
        <f>ROUND(G23+Q23,2)</f>
        <v>815000</v>
      </c>
      <c r="X23" s="7">
        <f>ROUND(I23+Q23,2)</f>
        <v>757000</v>
      </c>
      <c r="Y23" s="7">
        <f>ROUND(L23+R23,2)</f>
        <v>667967</v>
      </c>
      <c r="Z23" s="7">
        <f>ROUND(SUM(M23:P23)+SUM(S23:V23),2)</f>
        <v>498260</v>
      </c>
      <c r="AA23" s="7">
        <f>ROUND(Y23-Z23,2)</f>
        <v>169707</v>
      </c>
      <c r="AB23" s="7">
        <f>ROUND(AB22+AA23,2)</f>
        <v>972466.98</v>
      </c>
      <c r="AC23" s="7">
        <f>ROUND(X23-J23-SUM(M23:P23)-S23-T23-ROUND(Q23*'Premissas'!$B$18,2)-V23,2)</f>
        <v>169707</v>
      </c>
      <c r="AD23" s="7">
        <f>ROUND(SUM($K$5:K23)-SUM($L$5:L23)+SUM($Q$5:Q23)-SUM($R$5:R23),2)</f>
        <v>622967</v>
      </c>
      <c r="AE23" s="7">
        <f>MAX(0,AB23)*'Premissas'!$B$28</f>
        <v>486233.49</v>
      </c>
      <c r="AF23" s="9">
        <f>IF(AB23&gt;=0,A23,999)</f>
        <v>19</v>
      </c>
      <c r="AG23" s="9">
        <f>IF(AE23&gt;=Resumo!$E$7,A23,999)</f>
        <v>999</v>
      </c>
      <c r="AH23" s="7">
        <f>AB23+Capital!$A$5</f>
        <v>1072466.98</v>
      </c>
      <c r="AI23" s="7">
        <f>AB23+Capital!$A$6</f>
        <v>1122466.98</v>
      </c>
      <c r="AJ23" s="7">
        <f>AB23+Capital!$A$7</f>
        <v>1172466.98</v>
      </c>
    </row>
    <row r="24" spans="1:36">
      <c r="A24" s="9">
        <v>20</v>
      </c>
      <c r="B24" s="10">
        <v>5000</v>
      </c>
      <c r="C24" s="9">
        <f>ROUNDUP(B24/'Premissas'!$B$14,0)</f>
        <v>250000</v>
      </c>
      <c r="D24" s="10">
        <v>3</v>
      </c>
      <c r="E24" s="9">
        <f>D24*'Premissas'!$B$16</f>
        <v>240</v>
      </c>
      <c r="F24" s="7">
        <f>ROUND(B24*'Premissas'!$B$5,2)</f>
        <v>145000</v>
      </c>
      <c r="G24" s="7">
        <f>ROUND(F24*'Premissas'!$B$6,2)</f>
        <v>725000</v>
      </c>
      <c r="H24" s="7">
        <f>ROUND(G24*'Premissas'!$B$7,2)</f>
        <v>58000</v>
      </c>
      <c r="I24" s="7">
        <f>ROUND(G24-H24,2)</f>
        <v>667000</v>
      </c>
      <c r="J24" s="7">
        <f>ROUND(I24*'Premissas'!$B$8+B24*(1-'Premissas'!$B$7)*'Premissas'!$B$9*'Premissas'!$B$6,2)</f>
        <v>89033</v>
      </c>
      <c r="K24" s="7">
        <f>ROUND(I24-J24,2)</f>
        <v>577967</v>
      </c>
      <c r="L24" s="7">
        <f>IF(A24&gt;'Premissas'!$B$20,INDEX($K$5:$K$28,MAX(1,A24-'Premissas'!$B$20)),0)</f>
        <v>577967</v>
      </c>
      <c r="M24" s="7">
        <f>ROUND(I24*'Premissas'!$B$10,2)</f>
        <v>100050</v>
      </c>
      <c r="N24" s="7">
        <f>ROUND(I24*'Premissas'!$B$11,2)</f>
        <v>20010</v>
      </c>
      <c r="O24" s="7">
        <f>ROUND(B24*'Premissas'!$B$12*'Premissas'!$B$6,2)</f>
        <v>250000</v>
      </c>
      <c r="P24" s="7">
        <f>ROUND(B24*'Premissas'!$B$13*'Premissas'!$B$6,2)</f>
        <v>25000</v>
      </c>
      <c r="Q24" s="7">
        <f>ROUND(D24*'Premissas'!$B$15,2)</f>
        <v>90000</v>
      </c>
      <c r="R24" s="7">
        <f>ROUND(Q24*'Premissas'!$B$19+Q23*(1-'Premissas'!$B$19),2)</f>
        <v>90000</v>
      </c>
      <c r="S24" s="7">
        <f>ROUND(E24*'Premissas'!$B$17,2)</f>
        <v>43200</v>
      </c>
      <c r="T24" s="7">
        <f>ROUND(Q24*'Premissas'!$B$10,2)</f>
        <v>13500</v>
      </c>
      <c r="U24" s="7">
        <f>ROUND(R24*'Premissas'!$B$18,2)</f>
        <v>4500</v>
      </c>
      <c r="V24" s="7">
        <f>IF(A24&lt;=12,'Premissas'!$B$24,'Premissas'!$B$25)</f>
        <v>42000</v>
      </c>
      <c r="W24" s="7">
        <f>ROUND(G24+Q24,2)</f>
        <v>815000</v>
      </c>
      <c r="X24" s="7">
        <f>ROUND(I24+Q24,2)</f>
        <v>757000</v>
      </c>
      <c r="Y24" s="7">
        <f>ROUND(L24+R24,2)</f>
        <v>667967</v>
      </c>
      <c r="Z24" s="7">
        <f>ROUND(SUM(M24:P24)+SUM(S24:V24),2)</f>
        <v>498260</v>
      </c>
      <c r="AA24" s="7">
        <f>ROUND(Y24-Z24,2)</f>
        <v>169707</v>
      </c>
      <c r="AB24" s="7">
        <f>ROUND(AB23+AA24,2)</f>
        <v>1142173.98</v>
      </c>
      <c r="AC24" s="7">
        <f>ROUND(X24-J24-SUM(M24:P24)-S24-T24-ROUND(Q24*'Premissas'!$B$18,2)-V24,2)</f>
        <v>169707</v>
      </c>
      <c r="AD24" s="7">
        <f>ROUND(SUM($K$5:K24)-SUM($L$5:L24)+SUM($Q$5:Q24)-SUM($R$5:R24),2)</f>
        <v>622967</v>
      </c>
      <c r="AE24" s="7">
        <f>MAX(0,AB24)*'Premissas'!$B$28</f>
        <v>571086.99</v>
      </c>
      <c r="AF24" s="9">
        <f>IF(AB24&gt;=0,A24,999)</f>
        <v>20</v>
      </c>
      <c r="AG24" s="9">
        <f>IF(AE24&gt;=Resumo!$E$7,A24,999)</f>
        <v>20</v>
      </c>
      <c r="AH24" s="7">
        <f>AB24+Capital!$A$5</f>
        <v>1242173.98</v>
      </c>
      <c r="AI24" s="7">
        <f>AB24+Capital!$A$6</f>
        <v>1292173.98</v>
      </c>
      <c r="AJ24" s="7">
        <f>AB24+Capital!$A$7</f>
        <v>1342173.98</v>
      </c>
    </row>
    <row r="25" spans="1:36">
      <c r="A25" s="9">
        <v>21</v>
      </c>
      <c r="B25" s="10">
        <v>5000</v>
      </c>
      <c r="C25" s="9">
        <f>ROUNDUP(B25/'Premissas'!$B$14,0)</f>
        <v>250000</v>
      </c>
      <c r="D25" s="10">
        <v>3</v>
      </c>
      <c r="E25" s="9">
        <f>D25*'Premissas'!$B$16</f>
        <v>240</v>
      </c>
      <c r="F25" s="7">
        <f>ROUND(B25*'Premissas'!$B$5,2)</f>
        <v>145000</v>
      </c>
      <c r="G25" s="7">
        <f>ROUND(F25*'Premissas'!$B$6,2)</f>
        <v>725000</v>
      </c>
      <c r="H25" s="7">
        <f>ROUND(G25*'Premissas'!$B$7,2)</f>
        <v>58000</v>
      </c>
      <c r="I25" s="7">
        <f>ROUND(G25-H25,2)</f>
        <v>667000</v>
      </c>
      <c r="J25" s="7">
        <f>ROUND(I25*'Premissas'!$B$8+B25*(1-'Premissas'!$B$7)*'Premissas'!$B$9*'Premissas'!$B$6,2)</f>
        <v>89033</v>
      </c>
      <c r="K25" s="7">
        <f>ROUND(I25-J25,2)</f>
        <v>577967</v>
      </c>
      <c r="L25" s="7">
        <f>IF(A25&gt;'Premissas'!$B$20,INDEX($K$5:$K$28,MAX(1,A25-'Premissas'!$B$20)),0)</f>
        <v>577967</v>
      </c>
      <c r="M25" s="7">
        <f>ROUND(I25*'Premissas'!$B$10,2)</f>
        <v>100050</v>
      </c>
      <c r="N25" s="7">
        <f>ROUND(I25*'Premissas'!$B$11,2)</f>
        <v>20010</v>
      </c>
      <c r="O25" s="7">
        <f>ROUND(B25*'Premissas'!$B$12*'Premissas'!$B$6,2)</f>
        <v>250000</v>
      </c>
      <c r="P25" s="7">
        <f>ROUND(B25*'Premissas'!$B$13*'Premissas'!$B$6,2)</f>
        <v>25000</v>
      </c>
      <c r="Q25" s="7">
        <f>ROUND(D25*'Premissas'!$B$15,2)</f>
        <v>90000</v>
      </c>
      <c r="R25" s="7">
        <f>ROUND(Q25*'Premissas'!$B$19+Q24*(1-'Premissas'!$B$19),2)</f>
        <v>90000</v>
      </c>
      <c r="S25" s="7">
        <f>ROUND(E25*'Premissas'!$B$17,2)</f>
        <v>43200</v>
      </c>
      <c r="T25" s="7">
        <f>ROUND(Q25*'Premissas'!$B$10,2)</f>
        <v>13500</v>
      </c>
      <c r="U25" s="7">
        <f>ROUND(R25*'Premissas'!$B$18,2)</f>
        <v>4500</v>
      </c>
      <c r="V25" s="7">
        <f>IF(A25&lt;=12,'Premissas'!$B$24,'Premissas'!$B$25)</f>
        <v>42000</v>
      </c>
      <c r="W25" s="7">
        <f>ROUND(G25+Q25,2)</f>
        <v>815000</v>
      </c>
      <c r="X25" s="7">
        <f>ROUND(I25+Q25,2)</f>
        <v>757000</v>
      </c>
      <c r="Y25" s="7">
        <f>ROUND(L25+R25,2)</f>
        <v>667967</v>
      </c>
      <c r="Z25" s="7">
        <f>ROUND(SUM(M25:P25)+SUM(S25:V25),2)</f>
        <v>498260</v>
      </c>
      <c r="AA25" s="7">
        <f>ROUND(Y25-Z25,2)</f>
        <v>169707</v>
      </c>
      <c r="AB25" s="7">
        <f>ROUND(AB24+AA25,2)</f>
        <v>1311880.98</v>
      </c>
      <c r="AC25" s="7">
        <f>ROUND(X25-J25-SUM(M25:P25)-S25-T25-ROUND(Q25*'Premissas'!$B$18,2)-V25,2)</f>
        <v>169707</v>
      </c>
      <c r="AD25" s="7">
        <f>ROUND(SUM($K$5:K25)-SUM($L$5:L25)+SUM($Q$5:Q25)-SUM($R$5:R25),2)</f>
        <v>622967</v>
      </c>
      <c r="AE25" s="7">
        <f>MAX(0,AB25)*'Premissas'!$B$28</f>
        <v>655940.49</v>
      </c>
      <c r="AF25" s="9">
        <f>IF(AB25&gt;=0,A25,999)</f>
        <v>21</v>
      </c>
      <c r="AG25" s="9">
        <f>IF(AE25&gt;=Resumo!$E$7,A25,999)</f>
        <v>21</v>
      </c>
      <c r="AH25" s="7">
        <f>AB25+Capital!$A$5</f>
        <v>1411880.98</v>
      </c>
      <c r="AI25" s="7">
        <f>AB25+Capital!$A$6</f>
        <v>1461880.98</v>
      </c>
      <c r="AJ25" s="7">
        <f>AB25+Capital!$A$7</f>
        <v>1511880.98</v>
      </c>
    </row>
    <row r="26" spans="1:36">
      <c r="A26" s="9">
        <v>22</v>
      </c>
      <c r="B26" s="10">
        <v>5000</v>
      </c>
      <c r="C26" s="9">
        <f>ROUNDUP(B26/'Premissas'!$B$14,0)</f>
        <v>250000</v>
      </c>
      <c r="D26" s="10">
        <v>3</v>
      </c>
      <c r="E26" s="9">
        <f>D26*'Premissas'!$B$16</f>
        <v>240</v>
      </c>
      <c r="F26" s="7">
        <f>ROUND(B26*'Premissas'!$B$5,2)</f>
        <v>145000</v>
      </c>
      <c r="G26" s="7">
        <f>ROUND(F26*'Premissas'!$B$6,2)</f>
        <v>725000</v>
      </c>
      <c r="H26" s="7">
        <f>ROUND(G26*'Premissas'!$B$7,2)</f>
        <v>58000</v>
      </c>
      <c r="I26" s="7">
        <f>ROUND(G26-H26,2)</f>
        <v>667000</v>
      </c>
      <c r="J26" s="7">
        <f>ROUND(I26*'Premissas'!$B$8+B26*(1-'Premissas'!$B$7)*'Premissas'!$B$9*'Premissas'!$B$6,2)</f>
        <v>89033</v>
      </c>
      <c r="K26" s="7">
        <f>ROUND(I26-J26,2)</f>
        <v>577967</v>
      </c>
      <c r="L26" s="7">
        <f>IF(A26&gt;'Premissas'!$B$20,INDEX($K$5:$K$28,MAX(1,A26-'Premissas'!$B$20)),0)</f>
        <v>577967</v>
      </c>
      <c r="M26" s="7">
        <f>ROUND(I26*'Premissas'!$B$10,2)</f>
        <v>100050</v>
      </c>
      <c r="N26" s="7">
        <f>ROUND(I26*'Premissas'!$B$11,2)</f>
        <v>20010</v>
      </c>
      <c r="O26" s="7">
        <f>ROUND(B26*'Premissas'!$B$12*'Premissas'!$B$6,2)</f>
        <v>250000</v>
      </c>
      <c r="P26" s="7">
        <f>ROUND(B26*'Premissas'!$B$13*'Premissas'!$B$6,2)</f>
        <v>25000</v>
      </c>
      <c r="Q26" s="7">
        <f>ROUND(D26*'Premissas'!$B$15,2)</f>
        <v>90000</v>
      </c>
      <c r="R26" s="7">
        <f>ROUND(Q26*'Premissas'!$B$19+Q25*(1-'Premissas'!$B$19),2)</f>
        <v>90000</v>
      </c>
      <c r="S26" s="7">
        <f>ROUND(E26*'Premissas'!$B$17,2)</f>
        <v>43200</v>
      </c>
      <c r="T26" s="7">
        <f>ROUND(Q26*'Premissas'!$B$10,2)</f>
        <v>13500</v>
      </c>
      <c r="U26" s="7">
        <f>ROUND(R26*'Premissas'!$B$18,2)</f>
        <v>4500</v>
      </c>
      <c r="V26" s="7">
        <f>IF(A26&lt;=12,'Premissas'!$B$24,'Premissas'!$B$25)</f>
        <v>42000</v>
      </c>
      <c r="W26" s="7">
        <f>ROUND(G26+Q26,2)</f>
        <v>815000</v>
      </c>
      <c r="X26" s="7">
        <f>ROUND(I26+Q26,2)</f>
        <v>757000</v>
      </c>
      <c r="Y26" s="7">
        <f>ROUND(L26+R26,2)</f>
        <v>667967</v>
      </c>
      <c r="Z26" s="7">
        <f>ROUND(SUM(M26:P26)+SUM(S26:V26),2)</f>
        <v>498260</v>
      </c>
      <c r="AA26" s="7">
        <f>ROUND(Y26-Z26,2)</f>
        <v>169707</v>
      </c>
      <c r="AB26" s="7">
        <f>ROUND(AB25+AA26,2)</f>
        <v>1481587.98</v>
      </c>
      <c r="AC26" s="7">
        <f>ROUND(X26-J26-SUM(M26:P26)-S26-T26-ROUND(Q26*'Premissas'!$B$18,2)-V26,2)</f>
        <v>169707</v>
      </c>
      <c r="AD26" s="7">
        <f>ROUND(SUM($K$5:K26)-SUM($L$5:L26)+SUM($Q$5:Q26)-SUM($R$5:R26),2)</f>
        <v>622967</v>
      </c>
      <c r="AE26" s="7">
        <f>MAX(0,AB26)*'Premissas'!$B$28</f>
        <v>740793.99</v>
      </c>
      <c r="AF26" s="9">
        <f>IF(AB26&gt;=0,A26,999)</f>
        <v>22</v>
      </c>
      <c r="AG26" s="9">
        <f>IF(AE26&gt;=Resumo!$E$7,A26,999)</f>
        <v>22</v>
      </c>
      <c r="AH26" s="7">
        <f>AB26+Capital!$A$5</f>
        <v>1581587.98</v>
      </c>
      <c r="AI26" s="7">
        <f>AB26+Capital!$A$6</f>
        <v>1631587.98</v>
      </c>
      <c r="AJ26" s="7">
        <f>AB26+Capital!$A$7</f>
        <v>1681587.98</v>
      </c>
    </row>
    <row r="27" spans="1:36">
      <c r="A27" s="9">
        <v>23</v>
      </c>
      <c r="B27" s="10">
        <v>5000</v>
      </c>
      <c r="C27" s="9">
        <f>ROUNDUP(B27/'Premissas'!$B$14,0)</f>
        <v>250000</v>
      </c>
      <c r="D27" s="10">
        <v>3</v>
      </c>
      <c r="E27" s="9">
        <f>D27*'Premissas'!$B$16</f>
        <v>240</v>
      </c>
      <c r="F27" s="7">
        <f>ROUND(B27*'Premissas'!$B$5,2)</f>
        <v>145000</v>
      </c>
      <c r="G27" s="7">
        <f>ROUND(F27*'Premissas'!$B$6,2)</f>
        <v>725000</v>
      </c>
      <c r="H27" s="7">
        <f>ROUND(G27*'Premissas'!$B$7,2)</f>
        <v>58000</v>
      </c>
      <c r="I27" s="7">
        <f>ROUND(G27-H27,2)</f>
        <v>667000</v>
      </c>
      <c r="J27" s="7">
        <f>ROUND(I27*'Premissas'!$B$8+B27*(1-'Premissas'!$B$7)*'Premissas'!$B$9*'Premissas'!$B$6,2)</f>
        <v>89033</v>
      </c>
      <c r="K27" s="7">
        <f>ROUND(I27-J27,2)</f>
        <v>577967</v>
      </c>
      <c r="L27" s="7">
        <f>IF(A27&gt;'Premissas'!$B$20,INDEX($K$5:$K$28,MAX(1,A27-'Premissas'!$B$20)),0)</f>
        <v>577967</v>
      </c>
      <c r="M27" s="7">
        <f>ROUND(I27*'Premissas'!$B$10,2)</f>
        <v>100050</v>
      </c>
      <c r="N27" s="7">
        <f>ROUND(I27*'Premissas'!$B$11,2)</f>
        <v>20010</v>
      </c>
      <c r="O27" s="7">
        <f>ROUND(B27*'Premissas'!$B$12*'Premissas'!$B$6,2)</f>
        <v>250000</v>
      </c>
      <c r="P27" s="7">
        <f>ROUND(B27*'Premissas'!$B$13*'Premissas'!$B$6,2)</f>
        <v>25000</v>
      </c>
      <c r="Q27" s="7">
        <f>ROUND(D27*'Premissas'!$B$15,2)</f>
        <v>90000</v>
      </c>
      <c r="R27" s="7">
        <f>ROUND(Q27*'Premissas'!$B$19+Q26*(1-'Premissas'!$B$19),2)</f>
        <v>90000</v>
      </c>
      <c r="S27" s="7">
        <f>ROUND(E27*'Premissas'!$B$17,2)</f>
        <v>43200</v>
      </c>
      <c r="T27" s="7">
        <f>ROUND(Q27*'Premissas'!$B$10,2)</f>
        <v>13500</v>
      </c>
      <c r="U27" s="7">
        <f>ROUND(R27*'Premissas'!$B$18,2)</f>
        <v>4500</v>
      </c>
      <c r="V27" s="7">
        <f>IF(A27&lt;=12,'Premissas'!$B$24,'Premissas'!$B$25)</f>
        <v>42000</v>
      </c>
      <c r="W27" s="7">
        <f>ROUND(G27+Q27,2)</f>
        <v>815000</v>
      </c>
      <c r="X27" s="7">
        <f>ROUND(I27+Q27,2)</f>
        <v>757000</v>
      </c>
      <c r="Y27" s="7">
        <f>ROUND(L27+R27,2)</f>
        <v>667967</v>
      </c>
      <c r="Z27" s="7">
        <f>ROUND(SUM(M27:P27)+SUM(S27:V27),2)</f>
        <v>498260</v>
      </c>
      <c r="AA27" s="7">
        <f>ROUND(Y27-Z27,2)</f>
        <v>169707</v>
      </c>
      <c r="AB27" s="7">
        <f>ROUND(AB26+AA27,2)</f>
        <v>1651294.98</v>
      </c>
      <c r="AC27" s="7">
        <f>ROUND(X27-J27-SUM(M27:P27)-S27-T27-ROUND(Q27*'Premissas'!$B$18,2)-V27,2)</f>
        <v>169707</v>
      </c>
      <c r="AD27" s="7">
        <f>ROUND(SUM($K$5:K27)-SUM($L$5:L27)+SUM($Q$5:Q27)-SUM($R$5:R27),2)</f>
        <v>622967</v>
      </c>
      <c r="AE27" s="7">
        <f>MAX(0,AB27)*'Premissas'!$B$28</f>
        <v>825647.49</v>
      </c>
      <c r="AF27" s="9">
        <f>IF(AB27&gt;=0,A27,999)</f>
        <v>23</v>
      </c>
      <c r="AG27" s="9">
        <f>IF(AE27&gt;=Resumo!$E$7,A27,999)</f>
        <v>23</v>
      </c>
      <c r="AH27" s="7">
        <f>AB27+Capital!$A$5</f>
        <v>1751294.98</v>
      </c>
      <c r="AI27" s="7">
        <f>AB27+Capital!$A$6</f>
        <v>1801294.98</v>
      </c>
      <c r="AJ27" s="7">
        <f>AB27+Capital!$A$7</f>
        <v>1851294.98</v>
      </c>
    </row>
    <row r="28" spans="1:36">
      <c r="A28" s="9">
        <v>24</v>
      </c>
      <c r="B28" s="10">
        <v>5000</v>
      </c>
      <c r="C28" s="9">
        <f>ROUNDUP(B28/'Premissas'!$B$14,0)</f>
        <v>250000</v>
      </c>
      <c r="D28" s="10">
        <v>3</v>
      </c>
      <c r="E28" s="9">
        <f>D28*'Premissas'!$B$16</f>
        <v>240</v>
      </c>
      <c r="F28" s="7">
        <f>ROUND(B28*'Premissas'!$B$5,2)</f>
        <v>145000</v>
      </c>
      <c r="G28" s="7">
        <f>ROUND(F28*'Premissas'!$B$6,2)</f>
        <v>725000</v>
      </c>
      <c r="H28" s="7">
        <f>ROUND(G28*'Premissas'!$B$7,2)</f>
        <v>58000</v>
      </c>
      <c r="I28" s="7">
        <f>ROUND(G28-H28,2)</f>
        <v>667000</v>
      </c>
      <c r="J28" s="7">
        <f>ROUND(I28*'Premissas'!$B$8+B28*(1-'Premissas'!$B$7)*'Premissas'!$B$9*'Premissas'!$B$6,2)</f>
        <v>89033</v>
      </c>
      <c r="K28" s="7">
        <f>ROUND(I28-J28,2)</f>
        <v>577967</v>
      </c>
      <c r="L28" s="7">
        <f>IF(A28&gt;'Premissas'!$B$20,INDEX($K$5:$K$28,MAX(1,A28-'Premissas'!$B$20)),0)</f>
        <v>577967</v>
      </c>
      <c r="M28" s="7">
        <f>ROUND(I28*'Premissas'!$B$10,2)</f>
        <v>100050</v>
      </c>
      <c r="N28" s="7">
        <f>ROUND(I28*'Premissas'!$B$11,2)</f>
        <v>20010</v>
      </c>
      <c r="O28" s="7">
        <f>ROUND(B28*'Premissas'!$B$12*'Premissas'!$B$6,2)</f>
        <v>250000</v>
      </c>
      <c r="P28" s="7">
        <f>ROUND(B28*'Premissas'!$B$13*'Premissas'!$B$6,2)</f>
        <v>25000</v>
      </c>
      <c r="Q28" s="7">
        <f>ROUND(D28*'Premissas'!$B$15,2)</f>
        <v>90000</v>
      </c>
      <c r="R28" s="7">
        <f>ROUND(Q28*'Premissas'!$B$19+Q27*(1-'Premissas'!$B$19),2)</f>
        <v>90000</v>
      </c>
      <c r="S28" s="7">
        <f>ROUND(E28*'Premissas'!$B$17,2)</f>
        <v>43200</v>
      </c>
      <c r="T28" s="7">
        <f>ROUND(Q28*'Premissas'!$B$10,2)</f>
        <v>13500</v>
      </c>
      <c r="U28" s="7">
        <f>ROUND(R28*'Premissas'!$B$18,2)</f>
        <v>4500</v>
      </c>
      <c r="V28" s="7">
        <f>IF(A28&lt;=12,'Premissas'!$B$24,'Premissas'!$B$25)</f>
        <v>42000</v>
      </c>
      <c r="W28" s="7">
        <f>ROUND(G28+Q28,2)</f>
        <v>815000</v>
      </c>
      <c r="X28" s="7">
        <f>ROUND(I28+Q28,2)</f>
        <v>757000</v>
      </c>
      <c r="Y28" s="7">
        <f>ROUND(L28+R28,2)</f>
        <v>667967</v>
      </c>
      <c r="Z28" s="7">
        <f>ROUND(SUM(M28:P28)+SUM(S28:V28),2)</f>
        <v>498260</v>
      </c>
      <c r="AA28" s="7">
        <f>ROUND(Y28-Z28,2)</f>
        <v>169707</v>
      </c>
      <c r="AB28" s="7">
        <f>ROUND(AB27+AA28,2)</f>
        <v>1821001.98</v>
      </c>
      <c r="AC28" s="7">
        <f>ROUND(X28-J28-SUM(M28:P28)-S28-T28-ROUND(Q28*'Premissas'!$B$18,2)-V28,2)</f>
        <v>169707</v>
      </c>
      <c r="AD28" s="7">
        <f>ROUND(SUM($K$5:K28)-SUM($L$5:L28)+SUM($Q$5:Q28)-SUM($R$5:R28),2)</f>
        <v>622967</v>
      </c>
      <c r="AE28" s="7">
        <f>MAX(0,AB28)*'Premissas'!$B$28</f>
        <v>910500.99</v>
      </c>
      <c r="AF28" s="9">
        <f>IF(AB28&gt;=0,A28,999)</f>
        <v>24</v>
      </c>
      <c r="AG28" s="9">
        <f>IF(AE28&gt;=Resumo!$E$7,A28,999)</f>
        <v>24</v>
      </c>
      <c r="AH28" s="7">
        <f>AB28+Capital!$A$5</f>
        <v>1921001.98</v>
      </c>
      <c r="AI28" s="7">
        <f>AB28+Capital!$A$6</f>
        <v>1971001.98</v>
      </c>
      <c r="AJ28" s="7">
        <f>AB28+Capital!$A$7</f>
        <v>2021001.98</v>
      </c>
    </row>
  </sheetData>
  <autoFilter ref="A4:AD28"/>
  <mergeCells count="2">
    <mergeCell ref="A1:AJ1"/>
    <mergeCell ref="A2:AJ2"/>
  </mergeCells>
  <conditionalFormatting sqref="AB5:AB28">
    <cfRule type="cellIs" dxfId="0" priority="1" operator="lessThan">
      <formula>0</formula>
    </cfRule>
  </conditionalFormatting>
  <dataValidations count="48">
    <dataValidation type="whole" operator="greaterThanOrEqual" allowBlank="1" showInputMessage="1" showErrorMessage="1" sqref="B5">
      <formula1>0</formula1>
    </dataValidation>
    <dataValidation type="whole" operator="greaterThanOrEqual" allowBlank="1" showInputMessage="1" showErrorMessage="1" sqref="D5">
      <formula1>0</formula1>
    </dataValidation>
    <dataValidation type="whole" operator="greaterThanOrEqual" allowBlank="1" showInputMessage="1" showErrorMessage="1" sqref="B6">
      <formula1>0</formula1>
    </dataValidation>
    <dataValidation type="whole" operator="greaterThanOrEqual" allowBlank="1" showInputMessage="1" showErrorMessage="1" sqref="D6">
      <formula1>0</formula1>
    </dataValidation>
    <dataValidation type="whole" operator="greaterThanOrEqual" allowBlank="1" showInputMessage="1" showErrorMessage="1" sqref="B7">
      <formula1>0</formula1>
    </dataValidation>
    <dataValidation type="whole" operator="greaterThanOrEqual" allowBlank="1" showInputMessage="1" showErrorMessage="1" sqref="D7">
      <formula1>0</formula1>
    </dataValidation>
    <dataValidation type="whole" operator="greaterThanOrEqual" allowBlank="1" showInputMessage="1" showErrorMessage="1" sqref="B8">
      <formula1>0</formula1>
    </dataValidation>
    <dataValidation type="whole" operator="greaterThanOrEqual" allowBlank="1" showInputMessage="1" showErrorMessage="1" sqref="D8">
      <formula1>0</formula1>
    </dataValidation>
    <dataValidation type="whole" operator="greaterThanOrEqual" allowBlank="1" showInputMessage="1" showErrorMessage="1" sqref="B9">
      <formula1>0</formula1>
    </dataValidation>
    <dataValidation type="whole" operator="greaterThanOrEqual" allowBlank="1" showInputMessage="1" showErrorMessage="1" sqref="D9">
      <formula1>0</formula1>
    </dataValidation>
    <dataValidation type="whole" operator="greaterThanOrEqual" allowBlank="1" showInputMessage="1" showErrorMessage="1" sqref="B10">
      <formula1>0</formula1>
    </dataValidation>
    <dataValidation type="whole" operator="greaterThanOrEqual" allowBlank="1" showInputMessage="1" showErrorMessage="1" sqref="D10">
      <formula1>0</formula1>
    </dataValidation>
    <dataValidation type="whole" operator="greaterThanOrEqual" allowBlank="1" showInputMessage="1" showErrorMessage="1" sqref="B11">
      <formula1>0</formula1>
    </dataValidation>
    <dataValidation type="whole" operator="greaterThanOrEqual" allowBlank="1" showInputMessage="1" showErrorMessage="1" sqref="D11">
      <formula1>0</formula1>
    </dataValidation>
    <dataValidation type="whole" operator="greaterThanOrEqual" allowBlank="1" showInputMessage="1" showErrorMessage="1" sqref="B12">
      <formula1>0</formula1>
    </dataValidation>
    <dataValidation type="whole" operator="greaterThanOrEqual" allowBlank="1" showInputMessage="1" showErrorMessage="1" sqref="D12">
      <formula1>0</formula1>
    </dataValidation>
    <dataValidation type="whole" operator="greaterThanOrEqual" allowBlank="1" showInputMessage="1" showErrorMessage="1" sqref="B13">
      <formula1>0</formula1>
    </dataValidation>
    <dataValidation type="whole" operator="greaterThanOrEqual" allowBlank="1" showInputMessage="1" showErrorMessage="1" sqref="D13">
      <formula1>0</formula1>
    </dataValidation>
    <dataValidation type="whole" operator="greaterThanOrEqual" allowBlank="1" showInputMessage="1" showErrorMessage="1" sqref="B14">
      <formula1>0</formula1>
    </dataValidation>
    <dataValidation type="whole" operator="greaterThanOrEqual" allowBlank="1" showInputMessage="1" showErrorMessage="1" sqref="D14">
      <formula1>0</formula1>
    </dataValidation>
    <dataValidation type="whole" operator="greaterThanOrEqual" allowBlank="1" showInputMessage="1" showErrorMessage="1" sqref="B15">
      <formula1>0</formula1>
    </dataValidation>
    <dataValidation type="whole" operator="greaterThanOrEqual" allowBlank="1" showInputMessage="1" showErrorMessage="1" sqref="D15">
      <formula1>0</formula1>
    </dataValidation>
    <dataValidation type="whole" operator="greaterThanOrEqual" allowBlank="1" showInputMessage="1" showErrorMessage="1" sqref="B16">
      <formula1>0</formula1>
    </dataValidation>
    <dataValidation type="whole" operator="greaterThanOrEqual" allowBlank="1" showInputMessage="1" showErrorMessage="1" sqref="D16">
      <formula1>0</formula1>
    </dataValidation>
    <dataValidation type="whole" operator="greaterThanOrEqual" allowBlank="1" showInputMessage="1" showErrorMessage="1" sqref="B17">
      <formula1>0</formula1>
    </dataValidation>
    <dataValidation type="whole" operator="greaterThanOrEqual" allowBlank="1" showInputMessage="1" showErrorMessage="1" sqref="D17">
      <formula1>0</formula1>
    </dataValidation>
    <dataValidation type="whole" operator="greaterThanOrEqual" allowBlank="1" showInputMessage="1" showErrorMessage="1" sqref="B18">
      <formula1>0</formula1>
    </dataValidation>
    <dataValidation type="whole" operator="greaterThanOrEqual" allowBlank="1" showInputMessage="1" showErrorMessage="1" sqref="D18">
      <formula1>0</formula1>
    </dataValidation>
    <dataValidation type="whole" operator="greaterThanOrEqual" allowBlank="1" showInputMessage="1" showErrorMessage="1" sqref="B19">
      <formula1>0</formula1>
    </dataValidation>
    <dataValidation type="whole" operator="greaterThanOrEqual" allowBlank="1" showInputMessage="1" showErrorMessage="1" sqref="D19">
      <formula1>0</formula1>
    </dataValidation>
    <dataValidation type="whole" operator="greaterThanOrEqual" allowBlank="1" showInputMessage="1" showErrorMessage="1" sqref="B20">
      <formula1>0</formula1>
    </dataValidation>
    <dataValidation type="whole" operator="greaterThanOrEqual" allowBlank="1" showInputMessage="1" showErrorMessage="1" sqref="D20">
      <formula1>0</formula1>
    </dataValidation>
    <dataValidation type="whole" operator="greaterThanOrEqual" allowBlank="1" showInputMessage="1" showErrorMessage="1" sqref="B21">
      <formula1>0</formula1>
    </dataValidation>
    <dataValidation type="whole" operator="greaterThanOrEqual" allowBlank="1" showInputMessage="1" showErrorMessage="1" sqref="D21">
      <formula1>0</formula1>
    </dataValidation>
    <dataValidation type="whole" operator="greaterThanOrEqual" allowBlank="1" showInputMessage="1" showErrorMessage="1" sqref="B22">
      <formula1>0</formula1>
    </dataValidation>
    <dataValidation type="whole" operator="greaterThanOrEqual" allowBlank="1" showInputMessage="1" showErrorMessage="1" sqref="D22">
      <formula1>0</formula1>
    </dataValidation>
    <dataValidation type="whole" operator="greaterThanOrEqual" allowBlank="1" showInputMessage="1" showErrorMessage="1" sqref="B23">
      <formula1>0</formula1>
    </dataValidation>
    <dataValidation type="whole" operator="greaterThanOrEqual" allowBlank="1" showInputMessage="1" showErrorMessage="1" sqref="D23">
      <formula1>0</formula1>
    </dataValidation>
    <dataValidation type="whole" operator="greaterThanOrEqual" allowBlank="1" showInputMessage="1" showErrorMessage="1" sqref="B24">
      <formula1>0</formula1>
    </dataValidation>
    <dataValidation type="whole" operator="greaterThanOrEqual" allowBlank="1" showInputMessage="1" showErrorMessage="1" sqref="D24">
      <formula1>0</formula1>
    </dataValidation>
    <dataValidation type="whole" operator="greaterThanOrEqual" allowBlank="1" showInputMessage="1" showErrorMessage="1" sqref="B25">
      <formula1>0</formula1>
    </dataValidation>
    <dataValidation type="whole" operator="greaterThanOrEqual" allowBlank="1" showInputMessage="1" showErrorMessage="1" sqref="D25">
      <formula1>0</formula1>
    </dataValidation>
    <dataValidation type="whole" operator="greaterThanOrEqual" allowBlank="1" showInputMessage="1" showErrorMessage="1" sqref="B26">
      <formula1>0</formula1>
    </dataValidation>
    <dataValidation type="whole" operator="greaterThanOrEqual" allowBlank="1" showInputMessage="1" showErrorMessage="1" sqref="D26">
      <formula1>0</formula1>
    </dataValidation>
    <dataValidation type="whole" operator="greaterThanOrEqual" allowBlank="1" showInputMessage="1" showErrorMessage="1" sqref="B27">
      <formula1>0</formula1>
    </dataValidation>
    <dataValidation type="whole" operator="greaterThanOrEqual" allowBlank="1" showInputMessage="1" showErrorMessage="1" sqref="D27">
      <formula1>0</formula1>
    </dataValidation>
    <dataValidation type="whole" operator="greaterThanOrEqual" allowBlank="1" showInputMessage="1" showErrorMessage="1" sqref="B28">
      <formula1>0</formula1>
    </dataValidation>
    <dataValidation type="whole" operator="greaterThanOrEqual" allowBlank="1" showInputMessage="1" showErrorMessage="1" sqref="D28">
      <formula1>0</formula1>
    </dataValidation>
  </dataValidation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rowBreaks count="1" manualBreakCount="1">
    <brk id="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36" width="18.7109375" customWidth="1"/>
  </cols>
  <sheetData>
    <row r="1" spans="1:36" ht="32" customHeight="1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5" customHeight="1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spans="1:36" ht="48" customHeight="1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  <c r="O4" s="3" t="s">
        <v>133</v>
      </c>
      <c r="P4" s="3" t="s">
        <v>134</v>
      </c>
      <c r="Q4" s="3" t="s">
        <v>135</v>
      </c>
      <c r="R4" s="3" t="s">
        <v>136</v>
      </c>
      <c r="S4" s="3" t="s">
        <v>137</v>
      </c>
      <c r="T4" s="3" t="s">
        <v>138</v>
      </c>
      <c r="U4" s="3" t="s">
        <v>139</v>
      </c>
      <c r="V4" s="3" t="s">
        <v>140</v>
      </c>
      <c r="W4" s="3" t="s">
        <v>141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146</v>
      </c>
      <c r="AC4" s="3" t="s">
        <v>147</v>
      </c>
      <c r="AD4" s="3" t="s">
        <v>148</v>
      </c>
      <c r="AE4" s="3" t="s">
        <v>149</v>
      </c>
      <c r="AF4" s="3" t="s">
        <v>150</v>
      </c>
      <c r="AG4" s="3" t="s">
        <v>151</v>
      </c>
      <c r="AH4" s="3" t="s">
        <v>152</v>
      </c>
      <c r="AI4" s="3" t="s">
        <v>153</v>
      </c>
      <c r="AJ4" s="3" t="s">
        <v>154</v>
      </c>
    </row>
    <row r="5" spans="1:36">
      <c r="A5" s="9">
        <v>1</v>
      </c>
      <c r="B5" s="9">
        <f>'Base'!B5</f>
        <v>0</v>
      </c>
      <c r="C5" s="9">
        <f>ROUNDUP(B5/'Premissas'!$B$14,0)</f>
        <v>0</v>
      </c>
      <c r="D5" s="9">
        <f>'Base'!D5</f>
        <v>0</v>
      </c>
      <c r="E5" s="9">
        <f>D5*'Premissas'!$B$16</f>
        <v>0</v>
      </c>
      <c r="F5" s="7">
        <f>ROUND(B5*'Premissas'!$B$5,2)</f>
        <v>0</v>
      </c>
      <c r="G5" s="7">
        <f>ROUND(F5*'Premissas'!$B$6,2)</f>
        <v>0</v>
      </c>
      <c r="H5" s="7">
        <f>ROUND(G5*'Premissas'!$B$7,2)</f>
        <v>0</v>
      </c>
      <c r="I5" s="7">
        <f>ROUND(G5-H5,2)</f>
        <v>0</v>
      </c>
      <c r="J5" s="7">
        <f>ROUND(I5*'Premissas'!$B$8+B5*(1-'Premissas'!$B$7)*'Premissas'!$B$9*'Premissas'!$B$6,2)</f>
        <v>0</v>
      </c>
      <c r="K5" s="7">
        <f>ROUND(I5-J5,2)</f>
        <v>0</v>
      </c>
      <c r="L5" s="7">
        <f>IF(A5&gt;'Premissas'!$B$20,INDEX($K$5:$K$28,MAX(1,A5-'Premissas'!$B$20)),0)</f>
        <v>0</v>
      </c>
      <c r="M5" s="7">
        <f>ROUND(I5*'Premissas'!$B$10,2)</f>
        <v>0</v>
      </c>
      <c r="N5" s="7">
        <f>ROUND(I5*'Premissas'!$B$11,2)</f>
        <v>0</v>
      </c>
      <c r="O5" s="7">
        <f>ROUND(B5*'Premissas'!$B$29*'Premissas'!$B$6,2)</f>
        <v>0</v>
      </c>
      <c r="P5" s="7">
        <f>ROUND(B5*'Premissas'!$B$13*'Premissas'!$B$6,2)</f>
        <v>0</v>
      </c>
      <c r="Q5" s="7">
        <f>ROUND(D5*'Premissas'!$B$15,2)</f>
        <v>0</v>
      </c>
      <c r="R5" s="7">
        <f>ROUND(Q5*'Premissas'!$B$19+0*(1-'Premissas'!$B$19),2)</f>
        <v>0</v>
      </c>
      <c r="S5" s="7">
        <f>ROUND(E5*'Premissas'!$B$17,2)</f>
        <v>0</v>
      </c>
      <c r="T5" s="7">
        <f>ROUND(Q5*'Premissas'!$B$10,2)</f>
        <v>0</v>
      </c>
      <c r="U5" s="7">
        <f>ROUND(R5*'Premissas'!$B$18,2)</f>
        <v>0</v>
      </c>
      <c r="V5" s="7">
        <f>IF(A5&lt;=12,'Premissas'!$B$24,'Premissas'!$B$25)</f>
        <v>37000</v>
      </c>
      <c r="W5" s="7">
        <f>ROUND(G5+Q5,2)</f>
        <v>0</v>
      </c>
      <c r="X5" s="7">
        <f>ROUND(I5+Q5,2)</f>
        <v>0</v>
      </c>
      <c r="Y5" s="7">
        <f>ROUND(L5+R5,2)</f>
        <v>0</v>
      </c>
      <c r="Z5" s="7">
        <f>ROUND(SUM(M5:P5)+SUM(S5:V5),2)</f>
        <v>37000</v>
      </c>
      <c r="AA5" s="7">
        <f>ROUND(Y5-Z5,2)</f>
        <v>-37000</v>
      </c>
      <c r="AB5" s="7">
        <f>ROUND(-'Premissas'!$B$23+AA5,2)</f>
        <v>-137000</v>
      </c>
      <c r="AC5" s="7">
        <f>ROUND(X5-J5-SUM(M5:P5)-S5-T5-ROUND(Q5*'Premissas'!$B$18,2)-V5,2)</f>
        <v>-37000</v>
      </c>
      <c r="AD5" s="7">
        <f>ROUND(SUM($K$5:K5)-SUM($L$5:L5)+SUM($Q$5:Q5)-SUM($R$5:R5),2)</f>
        <v>0</v>
      </c>
      <c r="AE5" s="7">
        <f>MAX(0,AB5)*'Premissas'!$B$28</f>
        <v>0.0</v>
      </c>
      <c r="AF5" s="9">
        <f>IF(AB5&gt;=0,A5,999)</f>
        <v>999</v>
      </c>
      <c r="AG5" s="9">
        <f>IF(AE5&gt;=Resumo!$E$8,A5,999)</f>
        <v>999</v>
      </c>
      <c r="AH5" s="7">
        <f>AB5+Capital!$A$5</f>
        <v>-37000</v>
      </c>
      <c r="AI5" s="7">
        <f>AB5+Capital!$A$6</f>
        <v>13000</v>
      </c>
      <c r="AJ5" s="7">
        <f>AB5+Capital!$A$7</f>
        <v>63000</v>
      </c>
    </row>
    <row r="6" spans="1:36">
      <c r="A6" s="9">
        <v>2</v>
      </c>
      <c r="B6" s="9">
        <f>'Base'!B6</f>
        <v>0</v>
      </c>
      <c r="C6" s="9">
        <f>ROUNDUP(B6/'Premissas'!$B$14,0)</f>
        <v>0</v>
      </c>
      <c r="D6" s="9">
        <f>'Base'!D6</f>
        <v>0</v>
      </c>
      <c r="E6" s="9">
        <f>D6*'Premissas'!$B$16</f>
        <v>0</v>
      </c>
      <c r="F6" s="7">
        <f>ROUND(B6*'Premissas'!$B$5,2)</f>
        <v>0</v>
      </c>
      <c r="G6" s="7">
        <f>ROUND(F6*'Premissas'!$B$6,2)</f>
        <v>0</v>
      </c>
      <c r="H6" s="7">
        <f>ROUND(G6*'Premissas'!$B$7,2)</f>
        <v>0</v>
      </c>
      <c r="I6" s="7">
        <f>ROUND(G6-H6,2)</f>
        <v>0</v>
      </c>
      <c r="J6" s="7">
        <f>ROUND(I6*'Premissas'!$B$8+B6*(1-'Premissas'!$B$7)*'Premissas'!$B$9*'Premissas'!$B$6,2)</f>
        <v>0</v>
      </c>
      <c r="K6" s="7">
        <f>ROUND(I6-J6,2)</f>
        <v>0</v>
      </c>
      <c r="L6" s="7">
        <f>IF(A6&gt;'Premissas'!$B$20,INDEX($K$5:$K$28,MAX(1,A6-'Premissas'!$B$20)),0)</f>
        <v>0</v>
      </c>
      <c r="M6" s="7">
        <f>ROUND(I6*'Premissas'!$B$10,2)</f>
        <v>0</v>
      </c>
      <c r="N6" s="7">
        <f>ROUND(I6*'Premissas'!$B$11,2)</f>
        <v>0</v>
      </c>
      <c r="O6" s="7">
        <f>ROUND(B6*'Premissas'!$B$29*'Premissas'!$B$6,2)</f>
        <v>0</v>
      </c>
      <c r="P6" s="7">
        <f>ROUND(B6*'Premissas'!$B$13*'Premissas'!$B$6,2)</f>
        <v>0</v>
      </c>
      <c r="Q6" s="7">
        <f>ROUND(D6*'Premissas'!$B$15,2)</f>
        <v>0</v>
      </c>
      <c r="R6" s="7">
        <f>ROUND(Q6*'Premissas'!$B$19+Q5*(1-'Premissas'!$B$19),2)</f>
        <v>0</v>
      </c>
      <c r="S6" s="7">
        <f>ROUND(E6*'Premissas'!$B$17,2)</f>
        <v>0</v>
      </c>
      <c r="T6" s="7">
        <f>ROUND(Q6*'Premissas'!$B$10,2)</f>
        <v>0</v>
      </c>
      <c r="U6" s="7">
        <f>ROUND(R6*'Premissas'!$B$18,2)</f>
        <v>0</v>
      </c>
      <c r="V6" s="7">
        <f>IF(A6&lt;=12,'Premissas'!$B$24,'Premissas'!$B$25)</f>
        <v>37000</v>
      </c>
      <c r="W6" s="7">
        <f>ROUND(G6+Q6,2)</f>
        <v>0</v>
      </c>
      <c r="X6" s="7">
        <f>ROUND(I6+Q6,2)</f>
        <v>0</v>
      </c>
      <c r="Y6" s="7">
        <f>ROUND(L6+R6,2)</f>
        <v>0</v>
      </c>
      <c r="Z6" s="7">
        <f>ROUND(SUM(M6:P6)+SUM(S6:V6),2)</f>
        <v>37000</v>
      </c>
      <c r="AA6" s="7">
        <f>ROUND(Y6-Z6,2)</f>
        <v>-37000</v>
      </c>
      <c r="AB6" s="7">
        <f>ROUND(AB5+AA6,2)</f>
        <v>-174000</v>
      </c>
      <c r="AC6" s="7">
        <f>ROUND(X6-J6-SUM(M6:P6)-S6-T6-ROUND(Q6*'Premissas'!$B$18,2)-V6,2)</f>
        <v>-37000</v>
      </c>
      <c r="AD6" s="7">
        <f>ROUND(SUM($K$5:K6)-SUM($L$5:L6)+SUM($Q$5:Q6)-SUM($R$5:R6),2)</f>
        <v>0</v>
      </c>
      <c r="AE6" s="7">
        <f>MAX(0,AB6)*'Premissas'!$B$28</f>
        <v>0.0</v>
      </c>
      <c r="AF6" s="9">
        <f>IF(AB6&gt;=0,A6,999)</f>
        <v>999</v>
      </c>
      <c r="AG6" s="9">
        <f>IF(AE6&gt;=Resumo!$E$8,A6,999)</f>
        <v>999</v>
      </c>
      <c r="AH6" s="7">
        <f>AB6+Capital!$A$5</f>
        <v>-74000</v>
      </c>
      <c r="AI6" s="7">
        <f>AB6+Capital!$A$6</f>
        <v>-24000</v>
      </c>
      <c r="AJ6" s="7">
        <f>AB6+Capital!$A$7</f>
        <v>26000</v>
      </c>
    </row>
    <row r="7" spans="1:36">
      <c r="A7" s="9">
        <v>3</v>
      </c>
      <c r="B7" s="9">
        <f>'Base'!B7</f>
        <v>50</v>
      </c>
      <c r="C7" s="9">
        <f>ROUNDUP(B7/'Premissas'!$B$14,0)</f>
        <v>2500</v>
      </c>
      <c r="D7" s="9">
        <f>'Base'!D7</f>
        <v>1</v>
      </c>
      <c r="E7" s="9">
        <f>D7*'Premissas'!$B$16</f>
        <v>80</v>
      </c>
      <c r="F7" s="7">
        <f>ROUND(B7*'Premissas'!$B$5,2)</f>
        <v>1450</v>
      </c>
      <c r="G7" s="7">
        <f>ROUND(F7*'Premissas'!$B$6,2)</f>
        <v>7250</v>
      </c>
      <c r="H7" s="7">
        <f>ROUND(G7*'Premissas'!$B$7,2)</f>
        <v>580</v>
      </c>
      <c r="I7" s="7">
        <f>ROUND(G7-H7,2)</f>
        <v>6670</v>
      </c>
      <c r="J7" s="7">
        <f>ROUND(I7*'Premissas'!$B$8+B7*(1-'Premissas'!$B$7)*'Premissas'!$B$9*'Premissas'!$B$6,2)</f>
        <v>890.33</v>
      </c>
      <c r="K7" s="7">
        <f>ROUND(I7-J7,2)</f>
        <v>5779.67</v>
      </c>
      <c r="L7" s="7">
        <f>IF(A7&gt;'Premissas'!$B$20,INDEX($K$5:$K$28,MAX(1,A7-'Premissas'!$B$20)),0)</f>
        <v>0</v>
      </c>
      <c r="M7" s="7">
        <f>ROUND(I7*'Premissas'!$B$10,2)</f>
        <v>1000.5</v>
      </c>
      <c r="N7" s="7">
        <f>ROUND(I7*'Premissas'!$B$11,2)</f>
        <v>200.1</v>
      </c>
      <c r="O7" s="7">
        <f>ROUND(B7*'Premissas'!$B$29*'Premissas'!$B$6,2)</f>
        <v>3750</v>
      </c>
      <c r="P7" s="7">
        <f>ROUND(B7*'Premissas'!$B$13*'Premissas'!$B$6,2)</f>
        <v>250</v>
      </c>
      <c r="Q7" s="7">
        <f>ROUND(D7*'Premissas'!$B$15,2)</f>
        <v>30000</v>
      </c>
      <c r="R7" s="7">
        <f>ROUND(Q7*'Premissas'!$B$19+Q6*(1-'Premissas'!$B$19),2)</f>
        <v>15000</v>
      </c>
      <c r="S7" s="7">
        <f>ROUND(E7*'Premissas'!$B$17,2)</f>
        <v>14400</v>
      </c>
      <c r="T7" s="7">
        <f>ROUND(Q7*'Premissas'!$B$10,2)</f>
        <v>4500</v>
      </c>
      <c r="U7" s="7">
        <f>ROUND(R7*'Premissas'!$B$18,2)</f>
        <v>750</v>
      </c>
      <c r="V7" s="7">
        <f>IF(A7&lt;=12,'Premissas'!$B$24,'Premissas'!$B$25)</f>
        <v>37000</v>
      </c>
      <c r="W7" s="7">
        <f>ROUND(G7+Q7,2)</f>
        <v>37250</v>
      </c>
      <c r="X7" s="7">
        <f>ROUND(I7+Q7,2)</f>
        <v>36670</v>
      </c>
      <c r="Y7" s="7">
        <f>ROUND(L7+R7,2)</f>
        <v>15000</v>
      </c>
      <c r="Z7" s="7">
        <f>ROUND(SUM(M7:P7)+SUM(S7:V7),2)</f>
        <v>61850.6</v>
      </c>
      <c r="AA7" s="7">
        <f>ROUND(Y7-Z7,2)</f>
        <v>-46850.6</v>
      </c>
      <c r="AB7" s="7">
        <f>ROUND(AB6+AA7,2)</f>
        <v>-220850.6</v>
      </c>
      <c r="AC7" s="7">
        <f>ROUND(X7-J7-SUM(M7:P7)-S7-T7-ROUND(Q7*'Premissas'!$B$18,2)-V7,2)</f>
        <v>-26820.93</v>
      </c>
      <c r="AD7" s="7">
        <f>ROUND(SUM($K$5:K7)-SUM($L$5:L7)+SUM($Q$5:Q7)-SUM($R$5:R7),2)</f>
        <v>20779.67</v>
      </c>
      <c r="AE7" s="7">
        <f>MAX(0,AB7)*'Premissas'!$B$28</f>
        <v>0.0</v>
      </c>
      <c r="AF7" s="9">
        <f>IF(AB7&gt;=0,A7,999)</f>
        <v>999</v>
      </c>
      <c r="AG7" s="9">
        <f>IF(AE7&gt;=Resumo!$E$8,A7,999)</f>
        <v>999</v>
      </c>
      <c r="AH7" s="7">
        <f>AB7+Capital!$A$5</f>
        <v>-120850.6</v>
      </c>
      <c r="AI7" s="7">
        <f>AB7+Capital!$A$6</f>
        <v>-70850.6</v>
      </c>
      <c r="AJ7" s="7">
        <f>AB7+Capital!$A$7</f>
        <v>-20850.600000000006</v>
      </c>
    </row>
    <row r="8" spans="1:36">
      <c r="A8" s="9">
        <v>4</v>
      </c>
      <c r="B8" s="9">
        <f>'Base'!B8</f>
        <v>150</v>
      </c>
      <c r="C8" s="9">
        <f>ROUNDUP(B8/'Premissas'!$B$14,0)</f>
        <v>7500</v>
      </c>
      <c r="D8" s="9">
        <f>'Base'!D8</f>
        <v>0</v>
      </c>
      <c r="E8" s="9">
        <f>D8*'Premissas'!$B$16</f>
        <v>0</v>
      </c>
      <c r="F8" s="7">
        <f>ROUND(B8*'Premissas'!$B$5,2)</f>
        <v>4350</v>
      </c>
      <c r="G8" s="7">
        <f>ROUND(F8*'Premissas'!$B$6,2)</f>
        <v>21750</v>
      </c>
      <c r="H8" s="7">
        <f>ROUND(G8*'Premissas'!$B$7,2)</f>
        <v>1740</v>
      </c>
      <c r="I8" s="7">
        <f>ROUND(G8-H8,2)</f>
        <v>20010</v>
      </c>
      <c r="J8" s="7">
        <f>ROUND(I8*'Premissas'!$B$8+B8*(1-'Premissas'!$B$7)*'Premissas'!$B$9*'Premissas'!$B$6,2)</f>
        <v>2670.99</v>
      </c>
      <c r="K8" s="7">
        <f>ROUND(I8-J8,2)</f>
        <v>17339.01</v>
      </c>
      <c r="L8" s="7">
        <f>IF(A8&gt;'Premissas'!$B$20,INDEX($K$5:$K$28,MAX(1,A8-'Premissas'!$B$20)),0)</f>
        <v>5779.67</v>
      </c>
      <c r="M8" s="7">
        <f>ROUND(I8*'Premissas'!$B$10,2)</f>
        <v>3001.5</v>
      </c>
      <c r="N8" s="7">
        <f>ROUND(I8*'Premissas'!$B$11,2)</f>
        <v>600.3</v>
      </c>
      <c r="O8" s="7">
        <f>ROUND(B8*'Premissas'!$B$29*'Premissas'!$B$6,2)</f>
        <v>11250</v>
      </c>
      <c r="P8" s="7">
        <f>ROUND(B8*'Premissas'!$B$13*'Premissas'!$B$6,2)</f>
        <v>750</v>
      </c>
      <c r="Q8" s="7">
        <f>ROUND(D8*'Premissas'!$B$15,2)</f>
        <v>0</v>
      </c>
      <c r="R8" s="7">
        <f>ROUND(Q8*'Premissas'!$B$19+Q7*(1-'Premissas'!$B$19),2)</f>
        <v>15000</v>
      </c>
      <c r="S8" s="7">
        <f>ROUND(E8*'Premissas'!$B$17,2)</f>
        <v>0</v>
      </c>
      <c r="T8" s="7">
        <f>ROUND(Q8*'Premissas'!$B$10,2)</f>
        <v>0</v>
      </c>
      <c r="U8" s="7">
        <f>ROUND(R8*'Premissas'!$B$18,2)</f>
        <v>750</v>
      </c>
      <c r="V8" s="7">
        <f>IF(A8&lt;=12,'Premissas'!$B$24,'Premissas'!$B$25)</f>
        <v>37000</v>
      </c>
      <c r="W8" s="7">
        <f>ROUND(G8+Q8,2)</f>
        <v>21750</v>
      </c>
      <c r="X8" s="7">
        <f>ROUND(I8+Q8,2)</f>
        <v>20010</v>
      </c>
      <c r="Y8" s="7">
        <f>ROUND(L8+R8,2)</f>
        <v>20779.67</v>
      </c>
      <c r="Z8" s="7">
        <f>ROUND(SUM(M8:P8)+SUM(S8:V8),2)</f>
        <v>53351.8</v>
      </c>
      <c r="AA8" s="7">
        <f>ROUND(Y8-Z8,2)</f>
        <v>-32572.13</v>
      </c>
      <c r="AB8" s="7">
        <f>ROUND(AB7+AA8,2)</f>
        <v>-253422.73</v>
      </c>
      <c r="AC8" s="7">
        <f>ROUND(X8-J8-SUM(M8:P8)-S8-T8-ROUND(Q8*'Premissas'!$B$18,2)-V8,2)</f>
        <v>-35262.79</v>
      </c>
      <c r="AD8" s="7">
        <f>ROUND(SUM($K$5:K8)-SUM($L$5:L8)+SUM($Q$5:Q8)-SUM($R$5:R8),2)</f>
        <v>17339.01</v>
      </c>
      <c r="AE8" s="7">
        <f>MAX(0,AB8)*'Premissas'!$B$28</f>
        <v>0.0</v>
      </c>
      <c r="AF8" s="9">
        <f>IF(AB8&gt;=0,A8,999)</f>
        <v>999</v>
      </c>
      <c r="AG8" s="9">
        <f>IF(AE8&gt;=Resumo!$E$8,A8,999)</f>
        <v>999</v>
      </c>
      <c r="AH8" s="7">
        <f>AB8+Capital!$A$5</f>
        <v>-153422.73</v>
      </c>
      <c r="AI8" s="7">
        <f>AB8+Capital!$A$6</f>
        <v>-103422.73000000001</v>
      </c>
      <c r="AJ8" s="7">
        <f>AB8+Capital!$A$7</f>
        <v>-53422.73000000001</v>
      </c>
    </row>
    <row r="9" spans="1:36">
      <c r="A9" s="9">
        <v>5</v>
      </c>
      <c r="B9" s="9">
        <f>'Base'!B9</f>
        <v>300</v>
      </c>
      <c r="C9" s="9">
        <f>ROUNDUP(B9/'Premissas'!$B$14,0)</f>
        <v>15000</v>
      </c>
      <c r="D9" s="9">
        <f>'Base'!D9</f>
        <v>1</v>
      </c>
      <c r="E9" s="9">
        <f>D9*'Premissas'!$B$16</f>
        <v>80</v>
      </c>
      <c r="F9" s="7">
        <f>ROUND(B9*'Premissas'!$B$5,2)</f>
        <v>8700</v>
      </c>
      <c r="G9" s="7">
        <f>ROUND(F9*'Premissas'!$B$6,2)</f>
        <v>43500</v>
      </c>
      <c r="H9" s="7">
        <f>ROUND(G9*'Premissas'!$B$7,2)</f>
        <v>3480</v>
      </c>
      <c r="I9" s="7">
        <f>ROUND(G9-H9,2)</f>
        <v>40020</v>
      </c>
      <c r="J9" s="7">
        <f>ROUND(I9*'Premissas'!$B$8+B9*(1-'Premissas'!$B$7)*'Premissas'!$B$9*'Premissas'!$B$6,2)</f>
        <v>5341.98</v>
      </c>
      <c r="K9" s="7">
        <f>ROUND(I9-J9,2)</f>
        <v>34678.02</v>
      </c>
      <c r="L9" s="7">
        <f>IF(A9&gt;'Premissas'!$B$20,INDEX($K$5:$K$28,MAX(1,A9-'Premissas'!$B$20)),0)</f>
        <v>17339.01</v>
      </c>
      <c r="M9" s="7">
        <f>ROUND(I9*'Premissas'!$B$10,2)</f>
        <v>6003</v>
      </c>
      <c r="N9" s="7">
        <f>ROUND(I9*'Premissas'!$B$11,2)</f>
        <v>1200.6</v>
      </c>
      <c r="O9" s="7">
        <f>ROUND(B9*'Premissas'!$B$29*'Premissas'!$B$6,2)</f>
        <v>22500</v>
      </c>
      <c r="P9" s="7">
        <f>ROUND(B9*'Premissas'!$B$13*'Premissas'!$B$6,2)</f>
        <v>1500</v>
      </c>
      <c r="Q9" s="7">
        <f>ROUND(D9*'Premissas'!$B$15,2)</f>
        <v>30000</v>
      </c>
      <c r="R9" s="7">
        <f>ROUND(Q9*'Premissas'!$B$19+Q8*(1-'Premissas'!$B$19),2)</f>
        <v>15000</v>
      </c>
      <c r="S9" s="7">
        <f>ROUND(E9*'Premissas'!$B$17,2)</f>
        <v>14400</v>
      </c>
      <c r="T9" s="7">
        <f>ROUND(Q9*'Premissas'!$B$10,2)</f>
        <v>4500</v>
      </c>
      <c r="U9" s="7">
        <f>ROUND(R9*'Premissas'!$B$18,2)</f>
        <v>750</v>
      </c>
      <c r="V9" s="7">
        <f>IF(A9&lt;=12,'Premissas'!$B$24,'Premissas'!$B$25)</f>
        <v>37000</v>
      </c>
      <c r="W9" s="7">
        <f>ROUND(G9+Q9,2)</f>
        <v>73500</v>
      </c>
      <c r="X9" s="7">
        <f>ROUND(I9+Q9,2)</f>
        <v>70020</v>
      </c>
      <c r="Y9" s="7">
        <f>ROUND(L9+R9,2)</f>
        <v>32339.01</v>
      </c>
      <c r="Z9" s="7">
        <f>ROUND(SUM(M9:P9)+SUM(S9:V9),2)</f>
        <v>87853.6</v>
      </c>
      <c r="AA9" s="7">
        <f>ROUND(Y9-Z9,2)</f>
        <v>-55514.59</v>
      </c>
      <c r="AB9" s="7">
        <f>ROUND(AB8+AA9,2)</f>
        <v>-308937.32</v>
      </c>
      <c r="AC9" s="7">
        <f>ROUND(X9-J9-SUM(M9:P9)-S9-T9-ROUND(Q9*'Premissas'!$B$18,2)-V9,2)</f>
        <v>-23925.58</v>
      </c>
      <c r="AD9" s="7">
        <f>ROUND(SUM($K$5:K9)-SUM($L$5:L9)+SUM($Q$5:Q9)-SUM($R$5:R9),2)</f>
        <v>49678.02</v>
      </c>
      <c r="AE9" s="7">
        <f>MAX(0,AB9)*'Premissas'!$B$28</f>
        <v>0.0</v>
      </c>
      <c r="AF9" s="9">
        <f>IF(AB9&gt;=0,A9,999)</f>
        <v>999</v>
      </c>
      <c r="AG9" s="9">
        <f>IF(AE9&gt;=Resumo!$E$8,A9,999)</f>
        <v>999</v>
      </c>
      <c r="AH9" s="7">
        <f>AB9+Capital!$A$5</f>
        <v>-208937.32</v>
      </c>
      <c r="AI9" s="7">
        <f>AB9+Capital!$A$6</f>
        <v>-158937.32</v>
      </c>
      <c r="AJ9" s="7">
        <f>AB9+Capital!$A$7</f>
        <v>-108937.32</v>
      </c>
    </row>
    <row r="10" spans="1:36">
      <c r="A10" s="9">
        <v>6</v>
      </c>
      <c r="B10" s="9">
        <f>'Base'!B10</f>
        <v>500</v>
      </c>
      <c r="C10" s="9">
        <f>ROUNDUP(B10/'Premissas'!$B$14,0)</f>
        <v>25000</v>
      </c>
      <c r="D10" s="9">
        <f>'Base'!D10</f>
        <v>0</v>
      </c>
      <c r="E10" s="9">
        <f>D10*'Premissas'!$B$16</f>
        <v>0</v>
      </c>
      <c r="F10" s="7">
        <f>ROUND(B10*'Premissas'!$B$5,2)</f>
        <v>14500</v>
      </c>
      <c r="G10" s="7">
        <f>ROUND(F10*'Premissas'!$B$6,2)</f>
        <v>72500</v>
      </c>
      <c r="H10" s="7">
        <f>ROUND(G10*'Premissas'!$B$7,2)</f>
        <v>5800</v>
      </c>
      <c r="I10" s="7">
        <f>ROUND(G10-H10,2)</f>
        <v>66700</v>
      </c>
      <c r="J10" s="7">
        <f>ROUND(I10*'Premissas'!$B$8+B10*(1-'Premissas'!$B$7)*'Premissas'!$B$9*'Premissas'!$B$6,2)</f>
        <v>8903.3</v>
      </c>
      <c r="K10" s="7">
        <f>ROUND(I10-J10,2)</f>
        <v>57796.7</v>
      </c>
      <c r="L10" s="7">
        <f>IF(A10&gt;'Premissas'!$B$20,INDEX($K$5:$K$28,MAX(1,A10-'Premissas'!$B$20)),0)</f>
        <v>34678.02</v>
      </c>
      <c r="M10" s="7">
        <f>ROUND(I10*'Premissas'!$B$10,2)</f>
        <v>10005</v>
      </c>
      <c r="N10" s="7">
        <f>ROUND(I10*'Premissas'!$B$11,2)</f>
        <v>2001</v>
      </c>
      <c r="O10" s="7">
        <f>ROUND(B10*'Premissas'!$B$29*'Premissas'!$B$6,2)</f>
        <v>37500</v>
      </c>
      <c r="P10" s="7">
        <f>ROUND(B10*'Premissas'!$B$13*'Premissas'!$B$6,2)</f>
        <v>2500</v>
      </c>
      <c r="Q10" s="7">
        <f>ROUND(D10*'Premissas'!$B$15,2)</f>
        <v>0</v>
      </c>
      <c r="R10" s="7">
        <f>ROUND(Q10*'Premissas'!$B$19+Q9*(1-'Premissas'!$B$19),2)</f>
        <v>15000</v>
      </c>
      <c r="S10" s="7">
        <f>ROUND(E10*'Premissas'!$B$17,2)</f>
        <v>0</v>
      </c>
      <c r="T10" s="7">
        <f>ROUND(Q10*'Premissas'!$B$10,2)</f>
        <v>0</v>
      </c>
      <c r="U10" s="7">
        <f>ROUND(R10*'Premissas'!$B$18,2)</f>
        <v>750</v>
      </c>
      <c r="V10" s="7">
        <f>IF(A10&lt;=12,'Premissas'!$B$24,'Premissas'!$B$25)</f>
        <v>37000</v>
      </c>
      <c r="W10" s="7">
        <f>ROUND(G10+Q10,2)</f>
        <v>72500</v>
      </c>
      <c r="X10" s="7">
        <f>ROUND(I10+Q10,2)</f>
        <v>66700</v>
      </c>
      <c r="Y10" s="7">
        <f>ROUND(L10+R10,2)</f>
        <v>49678.02</v>
      </c>
      <c r="Z10" s="7">
        <f>ROUND(SUM(M10:P10)+SUM(S10:V10),2)</f>
        <v>89756</v>
      </c>
      <c r="AA10" s="7">
        <f>ROUND(Y10-Z10,2)</f>
        <v>-40077.98</v>
      </c>
      <c r="AB10" s="7">
        <f>ROUND(AB9+AA10,2)</f>
        <v>-349015.3</v>
      </c>
      <c r="AC10" s="7">
        <f>ROUND(X10-J10-SUM(M10:P10)-S10-T10-ROUND(Q10*'Premissas'!$B$18,2)-V10,2)</f>
        <v>-31209.3</v>
      </c>
      <c r="AD10" s="7">
        <f>ROUND(SUM($K$5:K10)-SUM($L$5:L10)+SUM($Q$5:Q10)-SUM($R$5:R10),2)</f>
        <v>57796.7</v>
      </c>
      <c r="AE10" s="7">
        <f>MAX(0,AB10)*'Premissas'!$B$28</f>
        <v>0.0</v>
      </c>
      <c r="AF10" s="9">
        <f>IF(AB10&gt;=0,A10,999)</f>
        <v>999</v>
      </c>
      <c r="AG10" s="9">
        <f>IF(AE10&gt;=Resumo!$E$8,A10,999)</f>
        <v>999</v>
      </c>
      <c r="AH10" s="7">
        <f>AB10+Capital!$A$5</f>
        <v>-249015.3</v>
      </c>
      <c r="AI10" s="7">
        <f>AB10+Capital!$A$6</f>
        <v>-199015.3</v>
      </c>
      <c r="AJ10" s="7">
        <f>AB10+Capital!$A$7</f>
        <v>-149015.3</v>
      </c>
    </row>
    <row r="11" spans="1:36">
      <c r="A11" s="9">
        <v>7</v>
      </c>
      <c r="B11" s="9">
        <f>'Base'!B11</f>
        <v>750</v>
      </c>
      <c r="C11" s="9">
        <f>ROUNDUP(B11/'Premissas'!$B$14,0)</f>
        <v>37500</v>
      </c>
      <c r="D11" s="9">
        <f>'Base'!D11</f>
        <v>1</v>
      </c>
      <c r="E11" s="9">
        <f>D11*'Premissas'!$B$16</f>
        <v>80</v>
      </c>
      <c r="F11" s="7">
        <f>ROUND(B11*'Premissas'!$B$5,2)</f>
        <v>21750</v>
      </c>
      <c r="G11" s="7">
        <f>ROUND(F11*'Premissas'!$B$6,2)</f>
        <v>108750</v>
      </c>
      <c r="H11" s="7">
        <f>ROUND(G11*'Premissas'!$B$7,2)</f>
        <v>8700</v>
      </c>
      <c r="I11" s="7">
        <f>ROUND(G11-H11,2)</f>
        <v>100050</v>
      </c>
      <c r="J11" s="7">
        <f>ROUND(I11*'Premissas'!$B$8+B11*(1-'Premissas'!$B$7)*'Premissas'!$B$9*'Premissas'!$B$6,2)</f>
        <v>13354.95</v>
      </c>
      <c r="K11" s="7">
        <f>ROUND(I11-J11,2)</f>
        <v>86695.05</v>
      </c>
      <c r="L11" s="7">
        <f>IF(A11&gt;'Premissas'!$B$20,INDEX($K$5:$K$28,MAX(1,A11-'Premissas'!$B$20)),0)</f>
        <v>57796.7</v>
      </c>
      <c r="M11" s="7">
        <f>ROUND(I11*'Premissas'!$B$10,2)</f>
        <v>15007.5</v>
      </c>
      <c r="N11" s="7">
        <f>ROUND(I11*'Premissas'!$B$11,2)</f>
        <v>3001.5</v>
      </c>
      <c r="O11" s="7">
        <f>ROUND(B11*'Premissas'!$B$29*'Premissas'!$B$6,2)</f>
        <v>56250</v>
      </c>
      <c r="P11" s="7">
        <f>ROUND(B11*'Premissas'!$B$13*'Premissas'!$B$6,2)</f>
        <v>3750</v>
      </c>
      <c r="Q11" s="7">
        <f>ROUND(D11*'Premissas'!$B$15,2)</f>
        <v>30000</v>
      </c>
      <c r="R11" s="7">
        <f>ROUND(Q11*'Premissas'!$B$19+Q10*(1-'Premissas'!$B$19),2)</f>
        <v>15000</v>
      </c>
      <c r="S11" s="7">
        <f>ROUND(E11*'Premissas'!$B$17,2)</f>
        <v>14400</v>
      </c>
      <c r="T11" s="7">
        <f>ROUND(Q11*'Premissas'!$B$10,2)</f>
        <v>4500</v>
      </c>
      <c r="U11" s="7">
        <f>ROUND(R11*'Premissas'!$B$18,2)</f>
        <v>750</v>
      </c>
      <c r="V11" s="7">
        <f>IF(A11&lt;=12,'Premissas'!$B$24,'Premissas'!$B$25)</f>
        <v>37000</v>
      </c>
      <c r="W11" s="7">
        <f>ROUND(G11+Q11,2)</f>
        <v>138750</v>
      </c>
      <c r="X11" s="7">
        <f>ROUND(I11+Q11,2)</f>
        <v>130050</v>
      </c>
      <c r="Y11" s="7">
        <f>ROUND(L11+R11,2)</f>
        <v>72796.7</v>
      </c>
      <c r="Z11" s="7">
        <f>ROUND(SUM(M11:P11)+SUM(S11:V11),2)</f>
        <v>134659</v>
      </c>
      <c r="AA11" s="7">
        <f>ROUND(Y11-Z11,2)</f>
        <v>-61862.3</v>
      </c>
      <c r="AB11" s="7">
        <f>ROUND(AB10+AA11,2)</f>
        <v>-410877.6</v>
      </c>
      <c r="AC11" s="7">
        <f>ROUND(X11-J11-SUM(M11:P11)-S11-T11-ROUND(Q11*'Premissas'!$B$18,2)-V11,2)</f>
        <v>-18713.95</v>
      </c>
      <c r="AD11" s="7">
        <f>ROUND(SUM($K$5:K11)-SUM($L$5:L11)+SUM($Q$5:Q11)-SUM($R$5:R11),2)</f>
        <v>101695.05</v>
      </c>
      <c r="AE11" s="7">
        <f>MAX(0,AB11)*'Premissas'!$B$28</f>
        <v>0.0</v>
      </c>
      <c r="AF11" s="9">
        <f>IF(AB11&gt;=0,A11,999)</f>
        <v>999</v>
      </c>
      <c r="AG11" s="9">
        <f>IF(AE11&gt;=Resumo!$E$8,A11,999)</f>
        <v>999</v>
      </c>
      <c r="AH11" s="7">
        <f>AB11+Capital!$A$5</f>
        <v>-310877.6</v>
      </c>
      <c r="AI11" s="7">
        <f>AB11+Capital!$A$6</f>
        <v>-260877.59999999998</v>
      </c>
      <c r="AJ11" s="7">
        <f>AB11+Capital!$A$7</f>
        <v>-210877.59999999998</v>
      </c>
    </row>
    <row r="12" spans="1:36">
      <c r="A12" s="9">
        <v>8</v>
      </c>
      <c r="B12" s="9">
        <f>'Base'!B12</f>
        <v>1000</v>
      </c>
      <c r="C12" s="9">
        <f>ROUNDUP(B12/'Premissas'!$B$14,0)</f>
        <v>50000</v>
      </c>
      <c r="D12" s="9">
        <f>'Base'!D12</f>
        <v>1</v>
      </c>
      <c r="E12" s="9">
        <f>D12*'Premissas'!$B$16</f>
        <v>80</v>
      </c>
      <c r="F12" s="7">
        <f>ROUND(B12*'Premissas'!$B$5,2)</f>
        <v>29000</v>
      </c>
      <c r="G12" s="7">
        <f>ROUND(F12*'Premissas'!$B$6,2)</f>
        <v>145000</v>
      </c>
      <c r="H12" s="7">
        <f>ROUND(G12*'Premissas'!$B$7,2)</f>
        <v>11600</v>
      </c>
      <c r="I12" s="7">
        <f>ROUND(G12-H12,2)</f>
        <v>133400</v>
      </c>
      <c r="J12" s="7">
        <f>ROUND(I12*'Premissas'!$B$8+B12*(1-'Premissas'!$B$7)*'Premissas'!$B$9*'Premissas'!$B$6,2)</f>
        <v>17806.6</v>
      </c>
      <c r="K12" s="7">
        <f>ROUND(I12-J12,2)</f>
        <v>115593.4</v>
      </c>
      <c r="L12" s="7">
        <f>IF(A12&gt;'Premissas'!$B$20,INDEX($K$5:$K$28,MAX(1,A12-'Premissas'!$B$20)),0)</f>
        <v>86695.05</v>
      </c>
      <c r="M12" s="7">
        <f>ROUND(I12*'Premissas'!$B$10,2)</f>
        <v>20010</v>
      </c>
      <c r="N12" s="7">
        <f>ROUND(I12*'Premissas'!$B$11,2)</f>
        <v>4002</v>
      </c>
      <c r="O12" s="7">
        <f>ROUND(B12*'Premissas'!$B$29*'Premissas'!$B$6,2)</f>
        <v>75000</v>
      </c>
      <c r="P12" s="7">
        <f>ROUND(B12*'Premissas'!$B$13*'Premissas'!$B$6,2)</f>
        <v>5000</v>
      </c>
      <c r="Q12" s="7">
        <f>ROUND(D12*'Premissas'!$B$15,2)</f>
        <v>30000</v>
      </c>
      <c r="R12" s="7">
        <f>ROUND(Q12*'Premissas'!$B$19+Q11*(1-'Premissas'!$B$19),2)</f>
        <v>30000</v>
      </c>
      <c r="S12" s="7">
        <f>ROUND(E12*'Premissas'!$B$17,2)</f>
        <v>14400</v>
      </c>
      <c r="T12" s="7">
        <f>ROUND(Q12*'Premissas'!$B$10,2)</f>
        <v>4500</v>
      </c>
      <c r="U12" s="7">
        <f>ROUND(R12*'Premissas'!$B$18,2)</f>
        <v>1500</v>
      </c>
      <c r="V12" s="7">
        <f>IF(A12&lt;=12,'Premissas'!$B$24,'Premissas'!$B$25)</f>
        <v>37000</v>
      </c>
      <c r="W12" s="7">
        <f>ROUND(G12+Q12,2)</f>
        <v>175000</v>
      </c>
      <c r="X12" s="7">
        <f>ROUND(I12+Q12,2)</f>
        <v>163400</v>
      </c>
      <c r="Y12" s="7">
        <f>ROUND(L12+R12,2)</f>
        <v>116695.05</v>
      </c>
      <c r="Z12" s="7">
        <f>ROUND(SUM(M12:P12)+SUM(S12:V12),2)</f>
        <v>161412</v>
      </c>
      <c r="AA12" s="7">
        <f>ROUND(Y12-Z12,2)</f>
        <v>-44716.95</v>
      </c>
      <c r="AB12" s="7">
        <f>ROUND(AB11+AA12,2)</f>
        <v>-455594.55</v>
      </c>
      <c r="AC12" s="7">
        <f>ROUND(X12-J12-SUM(M12:P12)-S12-T12-ROUND(Q12*'Premissas'!$B$18,2)-V12,2)</f>
        <v>-15818.6</v>
      </c>
      <c r="AD12" s="7">
        <f>ROUND(SUM($K$5:K12)-SUM($L$5:L12)+SUM($Q$5:Q12)-SUM($R$5:R12),2)</f>
        <v>130593.4</v>
      </c>
      <c r="AE12" s="7">
        <f>MAX(0,AB12)*'Premissas'!$B$28</f>
        <v>0.0</v>
      </c>
      <c r="AF12" s="9">
        <f>IF(AB12&gt;=0,A12,999)</f>
        <v>999</v>
      </c>
      <c r="AG12" s="9">
        <f>IF(AE12&gt;=Resumo!$E$8,A12,999)</f>
        <v>999</v>
      </c>
      <c r="AH12" s="7">
        <f>AB12+Capital!$A$5</f>
        <v>-355594.55</v>
      </c>
      <c r="AI12" s="7">
        <f>AB12+Capital!$A$6</f>
        <v>-305594.55</v>
      </c>
      <c r="AJ12" s="7">
        <f>AB12+Capital!$A$7</f>
        <v>-255594.55</v>
      </c>
    </row>
    <row r="13" spans="1:36">
      <c r="A13" s="9">
        <v>9</v>
      </c>
      <c r="B13" s="9">
        <f>'Base'!B13</f>
        <v>1250</v>
      </c>
      <c r="C13" s="9">
        <f>ROUNDUP(B13/'Premissas'!$B$14,0)</f>
        <v>62500</v>
      </c>
      <c r="D13" s="9">
        <f>'Base'!D13</f>
        <v>1</v>
      </c>
      <c r="E13" s="9">
        <f>D13*'Premissas'!$B$16</f>
        <v>80</v>
      </c>
      <c r="F13" s="7">
        <f>ROUND(B13*'Premissas'!$B$5,2)</f>
        <v>36250</v>
      </c>
      <c r="G13" s="7">
        <f>ROUND(F13*'Premissas'!$B$6,2)</f>
        <v>181250</v>
      </c>
      <c r="H13" s="7">
        <f>ROUND(G13*'Premissas'!$B$7,2)</f>
        <v>14500</v>
      </c>
      <c r="I13" s="7">
        <f>ROUND(G13-H13,2)</f>
        <v>166750</v>
      </c>
      <c r="J13" s="7">
        <f>ROUND(I13*'Premissas'!$B$8+B13*(1-'Premissas'!$B$7)*'Premissas'!$B$9*'Premissas'!$B$6,2)</f>
        <v>22258.25</v>
      </c>
      <c r="K13" s="7">
        <f>ROUND(I13-J13,2)</f>
        <v>144491.75</v>
      </c>
      <c r="L13" s="7">
        <f>IF(A13&gt;'Premissas'!$B$20,INDEX($K$5:$K$28,MAX(1,A13-'Premissas'!$B$20)),0)</f>
        <v>115593.4</v>
      </c>
      <c r="M13" s="7">
        <f>ROUND(I13*'Premissas'!$B$10,2)</f>
        <v>25012.5</v>
      </c>
      <c r="N13" s="7">
        <f>ROUND(I13*'Premissas'!$B$11,2)</f>
        <v>5002.5</v>
      </c>
      <c r="O13" s="7">
        <f>ROUND(B13*'Premissas'!$B$29*'Premissas'!$B$6,2)</f>
        <v>93750</v>
      </c>
      <c r="P13" s="7">
        <f>ROUND(B13*'Premissas'!$B$13*'Premissas'!$B$6,2)</f>
        <v>6250</v>
      </c>
      <c r="Q13" s="7">
        <f>ROUND(D13*'Premissas'!$B$15,2)</f>
        <v>30000</v>
      </c>
      <c r="R13" s="7">
        <f>ROUND(Q13*'Premissas'!$B$19+Q12*(1-'Premissas'!$B$19),2)</f>
        <v>30000</v>
      </c>
      <c r="S13" s="7">
        <f>ROUND(E13*'Premissas'!$B$17,2)</f>
        <v>14400</v>
      </c>
      <c r="T13" s="7">
        <f>ROUND(Q13*'Premissas'!$B$10,2)</f>
        <v>4500</v>
      </c>
      <c r="U13" s="7">
        <f>ROUND(R13*'Premissas'!$B$18,2)</f>
        <v>1500</v>
      </c>
      <c r="V13" s="7">
        <f>IF(A13&lt;=12,'Premissas'!$B$24,'Premissas'!$B$25)</f>
        <v>37000</v>
      </c>
      <c r="W13" s="7">
        <f>ROUND(G13+Q13,2)</f>
        <v>211250</v>
      </c>
      <c r="X13" s="7">
        <f>ROUND(I13+Q13,2)</f>
        <v>196750</v>
      </c>
      <c r="Y13" s="7">
        <f>ROUND(L13+R13,2)</f>
        <v>145593.4</v>
      </c>
      <c r="Z13" s="7">
        <f>ROUND(SUM(M13:P13)+SUM(S13:V13),2)</f>
        <v>187415</v>
      </c>
      <c r="AA13" s="7">
        <f>ROUND(Y13-Z13,2)</f>
        <v>-41821.6</v>
      </c>
      <c r="AB13" s="7">
        <f>ROUND(AB12+AA13,2)</f>
        <v>-497416.15</v>
      </c>
      <c r="AC13" s="7">
        <f>ROUND(X13-J13-SUM(M13:P13)-S13-T13-ROUND(Q13*'Premissas'!$B$18,2)-V13,2)</f>
        <v>-12923.25</v>
      </c>
      <c r="AD13" s="7">
        <f>ROUND(SUM($K$5:K13)-SUM($L$5:L13)+SUM($Q$5:Q13)-SUM($R$5:R13),2)</f>
        <v>159491.75</v>
      </c>
      <c r="AE13" s="7">
        <f>MAX(0,AB13)*'Premissas'!$B$28</f>
        <v>0.0</v>
      </c>
      <c r="AF13" s="9">
        <f>IF(AB13&gt;=0,A13,999)</f>
        <v>999</v>
      </c>
      <c r="AG13" s="9">
        <f>IF(AE13&gt;=Resumo!$E$8,A13,999)</f>
        <v>999</v>
      </c>
      <c r="AH13" s="7">
        <f>AB13+Capital!$A$5</f>
        <v>-397416.15</v>
      </c>
      <c r="AI13" s="7">
        <f>AB13+Capital!$A$6</f>
        <v>-347416.15</v>
      </c>
      <c r="AJ13" s="7">
        <f>AB13+Capital!$A$7</f>
        <v>-297416.15</v>
      </c>
    </row>
    <row r="14" spans="1:36">
      <c r="A14" s="9">
        <v>10</v>
      </c>
      <c r="B14" s="9">
        <f>'Base'!B14</f>
        <v>1500</v>
      </c>
      <c r="C14" s="9">
        <f>ROUNDUP(B14/'Premissas'!$B$14,0)</f>
        <v>75000</v>
      </c>
      <c r="D14" s="9">
        <f>'Base'!D14</f>
        <v>1</v>
      </c>
      <c r="E14" s="9">
        <f>D14*'Premissas'!$B$16</f>
        <v>80</v>
      </c>
      <c r="F14" s="7">
        <f>ROUND(B14*'Premissas'!$B$5,2)</f>
        <v>43500</v>
      </c>
      <c r="G14" s="7">
        <f>ROUND(F14*'Premissas'!$B$6,2)</f>
        <v>217500</v>
      </c>
      <c r="H14" s="7">
        <f>ROUND(G14*'Premissas'!$B$7,2)</f>
        <v>17400</v>
      </c>
      <c r="I14" s="7">
        <f>ROUND(G14-H14,2)</f>
        <v>200100</v>
      </c>
      <c r="J14" s="7">
        <f>ROUND(I14*'Premissas'!$B$8+B14*(1-'Premissas'!$B$7)*'Premissas'!$B$9*'Premissas'!$B$6,2)</f>
        <v>26709.9</v>
      </c>
      <c r="K14" s="7">
        <f>ROUND(I14-J14,2)</f>
        <v>173390.1</v>
      </c>
      <c r="L14" s="7">
        <f>IF(A14&gt;'Premissas'!$B$20,INDEX($K$5:$K$28,MAX(1,A14-'Premissas'!$B$20)),0)</f>
        <v>144491.75</v>
      </c>
      <c r="M14" s="7">
        <f>ROUND(I14*'Premissas'!$B$10,2)</f>
        <v>30015</v>
      </c>
      <c r="N14" s="7">
        <f>ROUND(I14*'Premissas'!$B$11,2)</f>
        <v>6003</v>
      </c>
      <c r="O14" s="7">
        <f>ROUND(B14*'Premissas'!$B$29*'Premissas'!$B$6,2)</f>
        <v>112500</v>
      </c>
      <c r="P14" s="7">
        <f>ROUND(B14*'Premissas'!$B$13*'Premissas'!$B$6,2)</f>
        <v>7500</v>
      </c>
      <c r="Q14" s="7">
        <f>ROUND(D14*'Premissas'!$B$15,2)</f>
        <v>30000</v>
      </c>
      <c r="R14" s="7">
        <f>ROUND(Q14*'Premissas'!$B$19+Q13*(1-'Premissas'!$B$19),2)</f>
        <v>30000</v>
      </c>
      <c r="S14" s="7">
        <f>ROUND(E14*'Premissas'!$B$17,2)</f>
        <v>14400</v>
      </c>
      <c r="T14" s="7">
        <f>ROUND(Q14*'Premissas'!$B$10,2)</f>
        <v>4500</v>
      </c>
      <c r="U14" s="7">
        <f>ROUND(R14*'Premissas'!$B$18,2)</f>
        <v>1500</v>
      </c>
      <c r="V14" s="7">
        <f>IF(A14&lt;=12,'Premissas'!$B$24,'Premissas'!$B$25)</f>
        <v>37000</v>
      </c>
      <c r="W14" s="7">
        <f>ROUND(G14+Q14,2)</f>
        <v>247500</v>
      </c>
      <c r="X14" s="7">
        <f>ROUND(I14+Q14,2)</f>
        <v>230100</v>
      </c>
      <c r="Y14" s="7">
        <f>ROUND(L14+R14,2)</f>
        <v>174491.75</v>
      </c>
      <c r="Z14" s="7">
        <f>ROUND(SUM(M14:P14)+SUM(S14:V14),2)</f>
        <v>213418</v>
      </c>
      <c r="AA14" s="7">
        <f>ROUND(Y14-Z14,2)</f>
        <v>-38926.25</v>
      </c>
      <c r="AB14" s="7">
        <f>ROUND(AB13+AA14,2)</f>
        <v>-536342.4</v>
      </c>
      <c r="AC14" s="7">
        <f>ROUND(X14-J14-SUM(M14:P14)-S14-T14-ROUND(Q14*'Premissas'!$B$18,2)-V14,2)</f>
        <v>-10027.9</v>
      </c>
      <c r="AD14" s="7">
        <f>ROUND(SUM($K$5:K14)-SUM($L$5:L14)+SUM($Q$5:Q14)-SUM($R$5:R14),2)</f>
        <v>188390.1</v>
      </c>
      <c r="AE14" s="7">
        <f>MAX(0,AB14)*'Premissas'!$B$28</f>
        <v>0.0</v>
      </c>
      <c r="AF14" s="9">
        <f>IF(AB14&gt;=0,A14,999)</f>
        <v>999</v>
      </c>
      <c r="AG14" s="9">
        <f>IF(AE14&gt;=Resumo!$E$8,A14,999)</f>
        <v>999</v>
      </c>
      <c r="AH14" s="7">
        <f>AB14+Capital!$A$5</f>
        <v>-436342.4</v>
      </c>
      <c r="AI14" s="7">
        <f>AB14+Capital!$A$6</f>
        <v>-386342.4</v>
      </c>
      <c r="AJ14" s="7">
        <f>AB14+Capital!$A$7</f>
        <v>-336342.4</v>
      </c>
    </row>
    <row r="15" spans="1:36">
      <c r="A15" s="9">
        <v>11</v>
      </c>
      <c r="B15" s="9">
        <f>'Base'!B15</f>
        <v>1750</v>
      </c>
      <c r="C15" s="9">
        <f>ROUNDUP(B15/'Premissas'!$B$14,0)</f>
        <v>87500</v>
      </c>
      <c r="D15" s="9">
        <f>'Base'!D15</f>
        <v>1</v>
      </c>
      <c r="E15" s="9">
        <f>D15*'Premissas'!$B$16</f>
        <v>80</v>
      </c>
      <c r="F15" s="7">
        <f>ROUND(B15*'Premissas'!$B$5,2)</f>
        <v>50750</v>
      </c>
      <c r="G15" s="7">
        <f>ROUND(F15*'Premissas'!$B$6,2)</f>
        <v>253750</v>
      </c>
      <c r="H15" s="7">
        <f>ROUND(G15*'Premissas'!$B$7,2)</f>
        <v>20300</v>
      </c>
      <c r="I15" s="7">
        <f>ROUND(G15-H15,2)</f>
        <v>233450</v>
      </c>
      <c r="J15" s="7">
        <f>ROUND(I15*'Premissas'!$B$8+B15*(1-'Premissas'!$B$7)*'Premissas'!$B$9*'Premissas'!$B$6,2)</f>
        <v>31161.55</v>
      </c>
      <c r="K15" s="7">
        <f>ROUND(I15-J15,2)</f>
        <v>202288.45</v>
      </c>
      <c r="L15" s="7">
        <f>IF(A15&gt;'Premissas'!$B$20,INDEX($K$5:$K$28,MAX(1,A15-'Premissas'!$B$20)),0)</f>
        <v>173390.1</v>
      </c>
      <c r="M15" s="7">
        <f>ROUND(I15*'Premissas'!$B$10,2)</f>
        <v>35017.5</v>
      </c>
      <c r="N15" s="7">
        <f>ROUND(I15*'Premissas'!$B$11,2)</f>
        <v>7003.5</v>
      </c>
      <c r="O15" s="7">
        <f>ROUND(B15*'Premissas'!$B$29*'Premissas'!$B$6,2)</f>
        <v>131250</v>
      </c>
      <c r="P15" s="7">
        <f>ROUND(B15*'Premissas'!$B$13*'Premissas'!$B$6,2)</f>
        <v>8750</v>
      </c>
      <c r="Q15" s="7">
        <f>ROUND(D15*'Premissas'!$B$15,2)</f>
        <v>30000</v>
      </c>
      <c r="R15" s="7">
        <f>ROUND(Q15*'Premissas'!$B$19+Q14*(1-'Premissas'!$B$19),2)</f>
        <v>30000</v>
      </c>
      <c r="S15" s="7">
        <f>ROUND(E15*'Premissas'!$B$17,2)</f>
        <v>14400</v>
      </c>
      <c r="T15" s="7">
        <f>ROUND(Q15*'Premissas'!$B$10,2)</f>
        <v>4500</v>
      </c>
      <c r="U15" s="7">
        <f>ROUND(R15*'Premissas'!$B$18,2)</f>
        <v>1500</v>
      </c>
      <c r="V15" s="7">
        <f>IF(A15&lt;=12,'Premissas'!$B$24,'Premissas'!$B$25)</f>
        <v>37000</v>
      </c>
      <c r="W15" s="7">
        <f>ROUND(G15+Q15,2)</f>
        <v>283750</v>
      </c>
      <c r="X15" s="7">
        <f>ROUND(I15+Q15,2)</f>
        <v>263450</v>
      </c>
      <c r="Y15" s="7">
        <f>ROUND(L15+R15,2)</f>
        <v>203390.1</v>
      </c>
      <c r="Z15" s="7">
        <f>ROUND(SUM(M15:P15)+SUM(S15:V15),2)</f>
        <v>239421</v>
      </c>
      <c r="AA15" s="7">
        <f>ROUND(Y15-Z15,2)</f>
        <v>-36030.9</v>
      </c>
      <c r="AB15" s="7">
        <f>ROUND(AB14+AA15,2)</f>
        <v>-572373.3</v>
      </c>
      <c r="AC15" s="7">
        <f>ROUND(X15-J15-SUM(M15:P15)-S15-T15-ROUND(Q15*'Premissas'!$B$18,2)-V15,2)</f>
        <v>-7132.55</v>
      </c>
      <c r="AD15" s="7">
        <f>ROUND(SUM($K$5:K15)-SUM($L$5:L15)+SUM($Q$5:Q15)-SUM($R$5:R15),2)</f>
        <v>217288.45</v>
      </c>
      <c r="AE15" s="7">
        <f>MAX(0,AB15)*'Premissas'!$B$28</f>
        <v>0.0</v>
      </c>
      <c r="AF15" s="9">
        <f>IF(AB15&gt;=0,A15,999)</f>
        <v>999</v>
      </c>
      <c r="AG15" s="9">
        <f>IF(AE15&gt;=Resumo!$E$8,A15,999)</f>
        <v>999</v>
      </c>
      <c r="AH15" s="7">
        <f>AB15+Capital!$A$5</f>
        <v>-472373.30000000005</v>
      </c>
      <c r="AI15" s="7">
        <f>AB15+Capital!$A$6</f>
        <v>-422373.30000000005</v>
      </c>
      <c r="AJ15" s="7">
        <f>AB15+Capital!$A$7</f>
        <v>-372373.30000000005</v>
      </c>
    </row>
    <row r="16" spans="1:36">
      <c r="A16" s="9">
        <v>12</v>
      </c>
      <c r="B16" s="9">
        <f>'Base'!B16</f>
        <v>2000</v>
      </c>
      <c r="C16" s="9">
        <f>ROUNDUP(B16/'Premissas'!$B$14,0)</f>
        <v>100000</v>
      </c>
      <c r="D16" s="9">
        <f>'Base'!D16</f>
        <v>1</v>
      </c>
      <c r="E16" s="9">
        <f>D16*'Premissas'!$B$16</f>
        <v>80</v>
      </c>
      <c r="F16" s="7">
        <f>ROUND(B16*'Premissas'!$B$5,2)</f>
        <v>58000</v>
      </c>
      <c r="G16" s="7">
        <f>ROUND(F16*'Premissas'!$B$6,2)</f>
        <v>290000</v>
      </c>
      <c r="H16" s="7">
        <f>ROUND(G16*'Premissas'!$B$7,2)</f>
        <v>23200</v>
      </c>
      <c r="I16" s="7">
        <f>ROUND(G16-H16,2)</f>
        <v>266800</v>
      </c>
      <c r="J16" s="7">
        <f>ROUND(I16*'Premissas'!$B$8+B16*(1-'Premissas'!$B$7)*'Premissas'!$B$9*'Premissas'!$B$6,2)</f>
        <v>35613.2</v>
      </c>
      <c r="K16" s="7">
        <f>ROUND(I16-J16,2)</f>
        <v>231186.8</v>
      </c>
      <c r="L16" s="7">
        <f>IF(A16&gt;'Premissas'!$B$20,INDEX($K$5:$K$28,MAX(1,A16-'Premissas'!$B$20)),0)</f>
        <v>202288.45</v>
      </c>
      <c r="M16" s="7">
        <f>ROUND(I16*'Premissas'!$B$10,2)</f>
        <v>40020</v>
      </c>
      <c r="N16" s="7">
        <f>ROUND(I16*'Premissas'!$B$11,2)</f>
        <v>8004</v>
      </c>
      <c r="O16" s="7">
        <f>ROUND(B16*'Premissas'!$B$29*'Premissas'!$B$6,2)</f>
        <v>150000</v>
      </c>
      <c r="P16" s="7">
        <f>ROUND(B16*'Premissas'!$B$13*'Premissas'!$B$6,2)</f>
        <v>10000</v>
      </c>
      <c r="Q16" s="7">
        <f>ROUND(D16*'Premissas'!$B$15,2)</f>
        <v>30000</v>
      </c>
      <c r="R16" s="7">
        <f>ROUND(Q16*'Premissas'!$B$19+Q15*(1-'Premissas'!$B$19),2)</f>
        <v>30000</v>
      </c>
      <c r="S16" s="7">
        <f>ROUND(E16*'Premissas'!$B$17,2)</f>
        <v>14400</v>
      </c>
      <c r="T16" s="7">
        <f>ROUND(Q16*'Premissas'!$B$10,2)</f>
        <v>4500</v>
      </c>
      <c r="U16" s="7">
        <f>ROUND(R16*'Premissas'!$B$18,2)</f>
        <v>1500</v>
      </c>
      <c r="V16" s="7">
        <f>IF(A16&lt;=12,'Premissas'!$B$24,'Premissas'!$B$25)</f>
        <v>37000</v>
      </c>
      <c r="W16" s="7">
        <f>ROUND(G16+Q16,2)</f>
        <v>320000</v>
      </c>
      <c r="X16" s="7">
        <f>ROUND(I16+Q16,2)</f>
        <v>296800</v>
      </c>
      <c r="Y16" s="7">
        <f>ROUND(L16+R16,2)</f>
        <v>232288.45</v>
      </c>
      <c r="Z16" s="7">
        <f>ROUND(SUM(M16:P16)+SUM(S16:V16),2)</f>
        <v>265424</v>
      </c>
      <c r="AA16" s="7">
        <f>ROUND(Y16-Z16,2)</f>
        <v>-33135.55</v>
      </c>
      <c r="AB16" s="7">
        <f>ROUND(AB15+AA16,2)</f>
        <v>-605508.85</v>
      </c>
      <c r="AC16" s="7">
        <f>ROUND(X16-J16-SUM(M16:P16)-S16-T16-ROUND(Q16*'Premissas'!$B$18,2)-V16,2)</f>
        <v>-4237.2</v>
      </c>
      <c r="AD16" s="7">
        <f>ROUND(SUM($K$5:K16)-SUM($L$5:L16)+SUM($Q$5:Q16)-SUM($R$5:R16),2)</f>
        <v>246186.8</v>
      </c>
      <c r="AE16" s="7">
        <f>MAX(0,AB16)*'Premissas'!$B$28</f>
        <v>0.0</v>
      </c>
      <c r="AF16" s="9">
        <f>IF(AB16&gt;=0,A16,999)</f>
        <v>999</v>
      </c>
      <c r="AG16" s="9">
        <f>IF(AE16&gt;=Resumo!$E$8,A16,999)</f>
        <v>999</v>
      </c>
      <c r="AH16" s="7">
        <f>AB16+Capital!$A$5</f>
        <v>-505508.85</v>
      </c>
      <c r="AI16" s="7">
        <f>AB16+Capital!$A$6</f>
        <v>-455508.85</v>
      </c>
      <c r="AJ16" s="7">
        <f>AB16+Capital!$A$7</f>
        <v>-405508.85</v>
      </c>
    </row>
    <row r="17" spans="1:36">
      <c r="A17" s="9">
        <v>13</v>
      </c>
      <c r="B17" s="9">
        <f>'Base'!B17</f>
        <v>2200</v>
      </c>
      <c r="C17" s="9">
        <f>ROUNDUP(B17/'Premissas'!$B$14,0)</f>
        <v>110000</v>
      </c>
      <c r="D17" s="9">
        <f>'Base'!D17</f>
        <v>2</v>
      </c>
      <c r="E17" s="9">
        <f>D17*'Premissas'!$B$16</f>
        <v>160</v>
      </c>
      <c r="F17" s="7">
        <f>ROUND(B17*'Premissas'!$B$5,2)</f>
        <v>63800</v>
      </c>
      <c r="G17" s="7">
        <f>ROUND(F17*'Premissas'!$B$6,2)</f>
        <v>319000</v>
      </c>
      <c r="H17" s="7">
        <f>ROUND(G17*'Premissas'!$B$7,2)</f>
        <v>25520</v>
      </c>
      <c r="I17" s="7">
        <f>ROUND(G17-H17,2)</f>
        <v>293480</v>
      </c>
      <c r="J17" s="7">
        <f>ROUND(I17*'Premissas'!$B$8+B17*(1-'Premissas'!$B$7)*'Premissas'!$B$9*'Premissas'!$B$6,2)</f>
        <v>39174.52</v>
      </c>
      <c r="K17" s="7">
        <f>ROUND(I17-J17,2)</f>
        <v>254305.48</v>
      </c>
      <c r="L17" s="7">
        <f>IF(A17&gt;'Premissas'!$B$20,INDEX($K$5:$K$28,MAX(1,A17-'Premissas'!$B$20)),0)</f>
        <v>231186.8</v>
      </c>
      <c r="M17" s="7">
        <f>ROUND(I17*'Premissas'!$B$10,2)</f>
        <v>44022</v>
      </c>
      <c r="N17" s="7">
        <f>ROUND(I17*'Premissas'!$B$11,2)</f>
        <v>8804.4</v>
      </c>
      <c r="O17" s="7">
        <f>ROUND(B17*'Premissas'!$B$29*'Premissas'!$B$6,2)</f>
        <v>165000</v>
      </c>
      <c r="P17" s="7">
        <f>ROUND(B17*'Premissas'!$B$13*'Premissas'!$B$6,2)</f>
        <v>11000</v>
      </c>
      <c r="Q17" s="7">
        <f>ROUND(D17*'Premissas'!$B$15,2)</f>
        <v>60000</v>
      </c>
      <c r="R17" s="7">
        <f>ROUND(Q17*'Premissas'!$B$19+Q16*(1-'Premissas'!$B$19),2)</f>
        <v>45000</v>
      </c>
      <c r="S17" s="7">
        <f>ROUND(E17*'Premissas'!$B$17,2)</f>
        <v>28800</v>
      </c>
      <c r="T17" s="7">
        <f>ROUND(Q17*'Premissas'!$B$10,2)</f>
        <v>9000</v>
      </c>
      <c r="U17" s="7">
        <f>ROUND(R17*'Premissas'!$B$18,2)</f>
        <v>2250</v>
      </c>
      <c r="V17" s="7">
        <f>IF(A17&lt;=12,'Premissas'!$B$24,'Premissas'!$B$25)</f>
        <v>42000</v>
      </c>
      <c r="W17" s="7">
        <f>ROUND(G17+Q17,2)</f>
        <v>379000</v>
      </c>
      <c r="X17" s="7">
        <f>ROUND(I17+Q17,2)</f>
        <v>353480</v>
      </c>
      <c r="Y17" s="7">
        <f>ROUND(L17+R17,2)</f>
        <v>276186.8</v>
      </c>
      <c r="Z17" s="7">
        <f>ROUND(SUM(M17:P17)+SUM(S17:V17),2)</f>
        <v>310876.4</v>
      </c>
      <c r="AA17" s="7">
        <f>ROUND(Y17-Z17,2)</f>
        <v>-34689.6</v>
      </c>
      <c r="AB17" s="7">
        <f>ROUND(AB16+AA17,2)</f>
        <v>-640198.45</v>
      </c>
      <c r="AC17" s="7">
        <f>ROUND(X17-J17-SUM(M17:P17)-S17-T17-ROUND(Q17*'Premissas'!$B$18,2)-V17,2)</f>
        <v>2679.08</v>
      </c>
      <c r="AD17" s="7">
        <f>ROUND(SUM($K$5:K17)-SUM($L$5:L17)+SUM($Q$5:Q17)-SUM($R$5:R17),2)</f>
        <v>284305.48</v>
      </c>
      <c r="AE17" s="7">
        <f>MAX(0,AB17)*'Premissas'!$B$28</f>
        <v>0.0</v>
      </c>
      <c r="AF17" s="9">
        <f>IF(AB17&gt;=0,A17,999)</f>
        <v>999</v>
      </c>
      <c r="AG17" s="9">
        <f>IF(AE17&gt;=Resumo!$E$8,A17,999)</f>
        <v>999</v>
      </c>
      <c r="AH17" s="7">
        <f>AB17+Capital!$A$5</f>
        <v>-540198.45</v>
      </c>
      <c r="AI17" s="7">
        <f>AB17+Capital!$A$6</f>
        <v>-490198.44999999995</v>
      </c>
      <c r="AJ17" s="7">
        <f>AB17+Capital!$A$7</f>
        <v>-440198.44999999995</v>
      </c>
    </row>
    <row r="18" spans="1:36">
      <c r="A18" s="9">
        <v>14</v>
      </c>
      <c r="B18" s="9">
        <f>'Base'!B18</f>
        <v>2400</v>
      </c>
      <c r="C18" s="9">
        <f>ROUNDUP(B18/'Premissas'!$B$14,0)</f>
        <v>120000</v>
      </c>
      <c r="D18" s="9">
        <f>'Base'!D18</f>
        <v>2</v>
      </c>
      <c r="E18" s="9">
        <f>D18*'Premissas'!$B$16</f>
        <v>160</v>
      </c>
      <c r="F18" s="7">
        <f>ROUND(B18*'Premissas'!$B$5,2)</f>
        <v>69600</v>
      </c>
      <c r="G18" s="7">
        <f>ROUND(F18*'Premissas'!$B$6,2)</f>
        <v>348000</v>
      </c>
      <c r="H18" s="7">
        <f>ROUND(G18*'Premissas'!$B$7,2)</f>
        <v>27840</v>
      </c>
      <c r="I18" s="7">
        <f>ROUND(G18-H18,2)</f>
        <v>320160</v>
      </c>
      <c r="J18" s="7">
        <f>ROUND(I18*'Premissas'!$B$8+B18*(1-'Premissas'!$B$7)*'Premissas'!$B$9*'Premissas'!$B$6,2)</f>
        <v>42735.84</v>
      </c>
      <c r="K18" s="7">
        <f>ROUND(I18-J18,2)</f>
        <v>277424.16</v>
      </c>
      <c r="L18" s="7">
        <f>IF(A18&gt;'Premissas'!$B$20,INDEX($K$5:$K$28,MAX(1,A18-'Premissas'!$B$20)),0)</f>
        <v>254305.48</v>
      </c>
      <c r="M18" s="7">
        <f>ROUND(I18*'Premissas'!$B$10,2)</f>
        <v>48024</v>
      </c>
      <c r="N18" s="7">
        <f>ROUND(I18*'Premissas'!$B$11,2)</f>
        <v>9604.8</v>
      </c>
      <c r="O18" s="7">
        <f>ROUND(B18*'Premissas'!$B$29*'Premissas'!$B$6,2)</f>
        <v>180000</v>
      </c>
      <c r="P18" s="7">
        <f>ROUND(B18*'Premissas'!$B$13*'Premissas'!$B$6,2)</f>
        <v>12000</v>
      </c>
      <c r="Q18" s="7">
        <f>ROUND(D18*'Premissas'!$B$15,2)</f>
        <v>60000</v>
      </c>
      <c r="R18" s="7">
        <f>ROUND(Q18*'Premissas'!$B$19+Q17*(1-'Premissas'!$B$19),2)</f>
        <v>60000</v>
      </c>
      <c r="S18" s="7">
        <f>ROUND(E18*'Premissas'!$B$17,2)</f>
        <v>28800</v>
      </c>
      <c r="T18" s="7">
        <f>ROUND(Q18*'Premissas'!$B$10,2)</f>
        <v>9000</v>
      </c>
      <c r="U18" s="7">
        <f>ROUND(R18*'Premissas'!$B$18,2)</f>
        <v>3000</v>
      </c>
      <c r="V18" s="7">
        <f>IF(A18&lt;=12,'Premissas'!$B$24,'Premissas'!$B$25)</f>
        <v>42000</v>
      </c>
      <c r="W18" s="7">
        <f>ROUND(G18+Q18,2)</f>
        <v>408000</v>
      </c>
      <c r="X18" s="7">
        <f>ROUND(I18+Q18,2)</f>
        <v>380160</v>
      </c>
      <c r="Y18" s="7">
        <f>ROUND(L18+R18,2)</f>
        <v>314305.48</v>
      </c>
      <c r="Z18" s="7">
        <f>ROUND(SUM(M18:P18)+SUM(S18:V18),2)</f>
        <v>332428.8</v>
      </c>
      <c r="AA18" s="7">
        <f>ROUND(Y18-Z18,2)</f>
        <v>-18123.32</v>
      </c>
      <c r="AB18" s="7">
        <f>ROUND(AB17+AA18,2)</f>
        <v>-658321.77</v>
      </c>
      <c r="AC18" s="7">
        <f>ROUND(X18-J18-SUM(M18:P18)-S18-T18-ROUND(Q18*'Premissas'!$B$18,2)-V18,2)</f>
        <v>4995.36</v>
      </c>
      <c r="AD18" s="7">
        <f>ROUND(SUM($K$5:K18)-SUM($L$5:L18)+SUM($Q$5:Q18)-SUM($R$5:R18),2)</f>
        <v>307424.16</v>
      </c>
      <c r="AE18" s="7">
        <f>MAX(0,AB18)*'Premissas'!$B$28</f>
        <v>0.0</v>
      </c>
      <c r="AF18" s="9">
        <f>IF(AB18&gt;=0,A18,999)</f>
        <v>999</v>
      </c>
      <c r="AG18" s="9">
        <f>IF(AE18&gt;=Resumo!$E$8,A18,999)</f>
        <v>999</v>
      </c>
      <c r="AH18" s="7">
        <f>AB18+Capital!$A$5</f>
        <v>-558321.77</v>
      </c>
      <c r="AI18" s="7">
        <f>AB18+Capital!$A$6</f>
        <v>-508321.77</v>
      </c>
      <c r="AJ18" s="7">
        <f>AB18+Capital!$A$7</f>
        <v>-458321.77</v>
      </c>
    </row>
    <row r="19" spans="1:36">
      <c r="A19" s="9">
        <v>15</v>
      </c>
      <c r="B19" s="9">
        <f>'Base'!B19</f>
        <v>2600</v>
      </c>
      <c r="C19" s="9">
        <f>ROUNDUP(B19/'Premissas'!$B$14,0)</f>
        <v>130000</v>
      </c>
      <c r="D19" s="9">
        <f>'Base'!D19</f>
        <v>2</v>
      </c>
      <c r="E19" s="9">
        <f>D19*'Premissas'!$B$16</f>
        <v>160</v>
      </c>
      <c r="F19" s="7">
        <f>ROUND(B19*'Premissas'!$B$5,2)</f>
        <v>75400</v>
      </c>
      <c r="G19" s="7">
        <f>ROUND(F19*'Premissas'!$B$6,2)</f>
        <v>377000</v>
      </c>
      <c r="H19" s="7">
        <f>ROUND(G19*'Premissas'!$B$7,2)</f>
        <v>30160</v>
      </c>
      <c r="I19" s="7">
        <f>ROUND(G19-H19,2)</f>
        <v>346840</v>
      </c>
      <c r="J19" s="7">
        <f>ROUND(I19*'Premissas'!$B$8+B19*(1-'Premissas'!$B$7)*'Premissas'!$B$9*'Premissas'!$B$6,2)</f>
        <v>46297.16</v>
      </c>
      <c r="K19" s="7">
        <f>ROUND(I19-J19,2)</f>
        <v>300542.84</v>
      </c>
      <c r="L19" s="7">
        <f>IF(A19&gt;'Premissas'!$B$20,INDEX($K$5:$K$28,MAX(1,A19-'Premissas'!$B$20)),0)</f>
        <v>277424.16</v>
      </c>
      <c r="M19" s="7">
        <f>ROUND(I19*'Premissas'!$B$10,2)</f>
        <v>52026</v>
      </c>
      <c r="N19" s="7">
        <f>ROUND(I19*'Premissas'!$B$11,2)</f>
        <v>10405.2</v>
      </c>
      <c r="O19" s="7">
        <f>ROUND(B19*'Premissas'!$B$29*'Premissas'!$B$6,2)</f>
        <v>195000</v>
      </c>
      <c r="P19" s="7">
        <f>ROUND(B19*'Premissas'!$B$13*'Premissas'!$B$6,2)</f>
        <v>13000</v>
      </c>
      <c r="Q19" s="7">
        <f>ROUND(D19*'Premissas'!$B$15,2)</f>
        <v>60000</v>
      </c>
      <c r="R19" s="7">
        <f>ROUND(Q19*'Premissas'!$B$19+Q18*(1-'Premissas'!$B$19),2)</f>
        <v>60000</v>
      </c>
      <c r="S19" s="7">
        <f>ROUND(E19*'Premissas'!$B$17,2)</f>
        <v>28800</v>
      </c>
      <c r="T19" s="7">
        <f>ROUND(Q19*'Premissas'!$B$10,2)</f>
        <v>9000</v>
      </c>
      <c r="U19" s="7">
        <f>ROUND(R19*'Premissas'!$B$18,2)</f>
        <v>3000</v>
      </c>
      <c r="V19" s="7">
        <f>IF(A19&lt;=12,'Premissas'!$B$24,'Premissas'!$B$25)</f>
        <v>42000</v>
      </c>
      <c r="W19" s="7">
        <f>ROUND(G19+Q19,2)</f>
        <v>437000</v>
      </c>
      <c r="X19" s="7">
        <f>ROUND(I19+Q19,2)</f>
        <v>406840</v>
      </c>
      <c r="Y19" s="7">
        <f>ROUND(L19+R19,2)</f>
        <v>337424.16</v>
      </c>
      <c r="Z19" s="7">
        <f>ROUND(SUM(M19:P19)+SUM(S19:V19),2)</f>
        <v>353231.2</v>
      </c>
      <c r="AA19" s="7">
        <f>ROUND(Y19-Z19,2)</f>
        <v>-15807.04</v>
      </c>
      <c r="AB19" s="7">
        <f>ROUND(AB18+AA19,2)</f>
        <v>-674128.81</v>
      </c>
      <c r="AC19" s="7">
        <f>ROUND(X19-J19-SUM(M19:P19)-S19-T19-ROUND(Q19*'Premissas'!$B$18,2)-V19,2)</f>
        <v>7311.64</v>
      </c>
      <c r="AD19" s="7">
        <f>ROUND(SUM($K$5:K19)-SUM($L$5:L19)+SUM($Q$5:Q19)-SUM($R$5:R19),2)</f>
        <v>330542.84</v>
      </c>
      <c r="AE19" s="7">
        <f>MAX(0,AB19)*'Premissas'!$B$28</f>
        <v>0.0</v>
      </c>
      <c r="AF19" s="9">
        <f>IF(AB19&gt;=0,A19,999)</f>
        <v>999</v>
      </c>
      <c r="AG19" s="9">
        <f>IF(AE19&gt;=Resumo!$E$8,A19,999)</f>
        <v>999</v>
      </c>
      <c r="AH19" s="7">
        <f>AB19+Capital!$A$5</f>
        <v>-574128.81</v>
      </c>
      <c r="AI19" s="7">
        <f>AB19+Capital!$A$6</f>
        <v>-524128.81000000006</v>
      </c>
      <c r="AJ19" s="7">
        <f>AB19+Capital!$A$7</f>
        <v>-474128.81000000006</v>
      </c>
    </row>
    <row r="20" spans="1:36">
      <c r="A20" s="9">
        <v>16</v>
      </c>
      <c r="B20" s="9">
        <f>'Base'!B20</f>
        <v>2800</v>
      </c>
      <c r="C20" s="9">
        <f>ROUNDUP(B20/'Premissas'!$B$14,0)</f>
        <v>140000</v>
      </c>
      <c r="D20" s="9">
        <f>'Base'!D20</f>
        <v>2</v>
      </c>
      <c r="E20" s="9">
        <f>D20*'Premissas'!$B$16</f>
        <v>160</v>
      </c>
      <c r="F20" s="7">
        <f>ROUND(B20*'Premissas'!$B$5,2)</f>
        <v>81200</v>
      </c>
      <c r="G20" s="7">
        <f>ROUND(F20*'Premissas'!$B$6,2)</f>
        <v>406000</v>
      </c>
      <c r="H20" s="7">
        <f>ROUND(G20*'Premissas'!$B$7,2)</f>
        <v>32480</v>
      </c>
      <c r="I20" s="7">
        <f>ROUND(G20-H20,2)</f>
        <v>373520</v>
      </c>
      <c r="J20" s="7">
        <f>ROUND(I20*'Premissas'!$B$8+B20*(1-'Premissas'!$B$7)*'Premissas'!$B$9*'Premissas'!$B$6,2)</f>
        <v>49858.48</v>
      </c>
      <c r="K20" s="7">
        <f>ROUND(I20-J20,2)</f>
        <v>323661.52</v>
      </c>
      <c r="L20" s="7">
        <f>IF(A20&gt;'Premissas'!$B$20,INDEX($K$5:$K$28,MAX(1,A20-'Premissas'!$B$20)),0)</f>
        <v>300542.84</v>
      </c>
      <c r="M20" s="7">
        <f>ROUND(I20*'Premissas'!$B$10,2)</f>
        <v>56028</v>
      </c>
      <c r="N20" s="7">
        <f>ROUND(I20*'Premissas'!$B$11,2)</f>
        <v>11205.6</v>
      </c>
      <c r="O20" s="7">
        <f>ROUND(B20*'Premissas'!$B$29*'Premissas'!$B$6,2)</f>
        <v>210000</v>
      </c>
      <c r="P20" s="7">
        <f>ROUND(B20*'Premissas'!$B$13*'Premissas'!$B$6,2)</f>
        <v>14000</v>
      </c>
      <c r="Q20" s="7">
        <f>ROUND(D20*'Premissas'!$B$15,2)</f>
        <v>60000</v>
      </c>
      <c r="R20" s="7">
        <f>ROUND(Q20*'Premissas'!$B$19+Q19*(1-'Premissas'!$B$19),2)</f>
        <v>60000</v>
      </c>
      <c r="S20" s="7">
        <f>ROUND(E20*'Premissas'!$B$17,2)</f>
        <v>28800</v>
      </c>
      <c r="T20" s="7">
        <f>ROUND(Q20*'Premissas'!$B$10,2)</f>
        <v>9000</v>
      </c>
      <c r="U20" s="7">
        <f>ROUND(R20*'Premissas'!$B$18,2)</f>
        <v>3000</v>
      </c>
      <c r="V20" s="7">
        <f>IF(A20&lt;=12,'Premissas'!$B$24,'Premissas'!$B$25)</f>
        <v>42000</v>
      </c>
      <c r="W20" s="7">
        <f>ROUND(G20+Q20,2)</f>
        <v>466000</v>
      </c>
      <c r="X20" s="7">
        <f>ROUND(I20+Q20,2)</f>
        <v>433520</v>
      </c>
      <c r="Y20" s="7">
        <f>ROUND(L20+R20,2)</f>
        <v>360542.84</v>
      </c>
      <c r="Z20" s="7">
        <f>ROUND(SUM(M20:P20)+SUM(S20:V20),2)</f>
        <v>374033.6</v>
      </c>
      <c r="AA20" s="7">
        <f>ROUND(Y20-Z20,2)</f>
        <v>-13490.76</v>
      </c>
      <c r="AB20" s="7">
        <f>ROUND(AB19+AA20,2)</f>
        <v>-687619.57</v>
      </c>
      <c r="AC20" s="7">
        <f>ROUND(X20-J20-SUM(M20:P20)-S20-T20-ROUND(Q20*'Premissas'!$B$18,2)-V20,2)</f>
        <v>9627.92</v>
      </c>
      <c r="AD20" s="7">
        <f>ROUND(SUM($K$5:K20)-SUM($L$5:L20)+SUM($Q$5:Q20)-SUM($R$5:R20),2)</f>
        <v>353661.52</v>
      </c>
      <c r="AE20" s="7">
        <f>MAX(0,AB20)*'Premissas'!$B$28</f>
        <v>0.0</v>
      </c>
      <c r="AF20" s="9">
        <f>IF(AB20&gt;=0,A20,999)</f>
        <v>999</v>
      </c>
      <c r="AG20" s="9">
        <f>IF(AE20&gt;=Resumo!$E$8,A20,999)</f>
        <v>999</v>
      </c>
      <c r="AH20" s="7">
        <f>AB20+Capital!$A$5</f>
        <v>-587619.57</v>
      </c>
      <c r="AI20" s="7">
        <f>AB20+Capital!$A$6</f>
        <v>-537619.57</v>
      </c>
      <c r="AJ20" s="7">
        <f>AB20+Capital!$A$7</f>
        <v>-487619.56999999995</v>
      </c>
    </row>
    <row r="21" spans="1:36">
      <c r="A21" s="9">
        <v>17</v>
      </c>
      <c r="B21" s="9">
        <f>'Base'!B21</f>
        <v>3000</v>
      </c>
      <c r="C21" s="9">
        <f>ROUNDUP(B21/'Premissas'!$B$14,0)</f>
        <v>150000</v>
      </c>
      <c r="D21" s="9">
        <f>'Base'!D21</f>
        <v>2</v>
      </c>
      <c r="E21" s="9">
        <f>D21*'Premissas'!$B$16</f>
        <v>160</v>
      </c>
      <c r="F21" s="7">
        <f>ROUND(B21*'Premissas'!$B$5,2)</f>
        <v>87000</v>
      </c>
      <c r="G21" s="7">
        <f>ROUND(F21*'Premissas'!$B$6,2)</f>
        <v>435000</v>
      </c>
      <c r="H21" s="7">
        <f>ROUND(G21*'Premissas'!$B$7,2)</f>
        <v>34800</v>
      </c>
      <c r="I21" s="7">
        <f>ROUND(G21-H21,2)</f>
        <v>400200</v>
      </c>
      <c r="J21" s="7">
        <f>ROUND(I21*'Premissas'!$B$8+B21*(1-'Premissas'!$B$7)*'Premissas'!$B$9*'Premissas'!$B$6,2)</f>
        <v>53419.8</v>
      </c>
      <c r="K21" s="7">
        <f>ROUND(I21-J21,2)</f>
        <v>346780.2</v>
      </c>
      <c r="L21" s="7">
        <f>IF(A21&gt;'Premissas'!$B$20,INDEX($K$5:$K$28,MAX(1,A21-'Premissas'!$B$20)),0)</f>
        <v>323661.52</v>
      </c>
      <c r="M21" s="7">
        <f>ROUND(I21*'Premissas'!$B$10,2)</f>
        <v>60030</v>
      </c>
      <c r="N21" s="7">
        <f>ROUND(I21*'Premissas'!$B$11,2)</f>
        <v>12006</v>
      </c>
      <c r="O21" s="7">
        <f>ROUND(B21*'Premissas'!$B$29*'Premissas'!$B$6,2)</f>
        <v>225000</v>
      </c>
      <c r="P21" s="7">
        <f>ROUND(B21*'Premissas'!$B$13*'Premissas'!$B$6,2)</f>
        <v>15000</v>
      </c>
      <c r="Q21" s="7">
        <f>ROUND(D21*'Premissas'!$B$15,2)</f>
        <v>60000</v>
      </c>
      <c r="R21" s="7">
        <f>ROUND(Q21*'Premissas'!$B$19+Q20*(1-'Premissas'!$B$19),2)</f>
        <v>60000</v>
      </c>
      <c r="S21" s="7">
        <f>ROUND(E21*'Premissas'!$B$17,2)</f>
        <v>28800</v>
      </c>
      <c r="T21" s="7">
        <f>ROUND(Q21*'Premissas'!$B$10,2)</f>
        <v>9000</v>
      </c>
      <c r="U21" s="7">
        <f>ROUND(R21*'Premissas'!$B$18,2)</f>
        <v>3000</v>
      </c>
      <c r="V21" s="7">
        <f>IF(A21&lt;=12,'Premissas'!$B$24,'Premissas'!$B$25)</f>
        <v>42000</v>
      </c>
      <c r="W21" s="7">
        <f>ROUND(G21+Q21,2)</f>
        <v>495000</v>
      </c>
      <c r="X21" s="7">
        <f>ROUND(I21+Q21,2)</f>
        <v>460200</v>
      </c>
      <c r="Y21" s="7">
        <f>ROUND(L21+R21,2)</f>
        <v>383661.52</v>
      </c>
      <c r="Z21" s="7">
        <f>ROUND(SUM(M21:P21)+SUM(S21:V21),2)</f>
        <v>394836</v>
      </c>
      <c r="AA21" s="7">
        <f>ROUND(Y21-Z21,2)</f>
        <v>-11174.48</v>
      </c>
      <c r="AB21" s="7">
        <f>ROUND(AB20+AA21,2)</f>
        <v>-698794.05</v>
      </c>
      <c r="AC21" s="7">
        <f>ROUND(X21-J21-SUM(M21:P21)-S21-T21-ROUND(Q21*'Premissas'!$B$18,2)-V21,2)</f>
        <v>11944.2</v>
      </c>
      <c r="AD21" s="7">
        <f>ROUND(SUM($K$5:K21)-SUM($L$5:L21)+SUM($Q$5:Q21)-SUM($R$5:R21),2)</f>
        <v>376780.2</v>
      </c>
      <c r="AE21" s="7">
        <f>MAX(0,AB21)*'Premissas'!$B$28</f>
        <v>0.0</v>
      </c>
      <c r="AF21" s="9">
        <f>IF(AB21&gt;=0,A21,999)</f>
        <v>999</v>
      </c>
      <c r="AG21" s="9">
        <f>IF(AE21&gt;=Resumo!$E$8,A21,999)</f>
        <v>999</v>
      </c>
      <c r="AH21" s="7">
        <f>AB21+Capital!$A$5</f>
        <v>-598794.05</v>
      </c>
      <c r="AI21" s="7">
        <f>AB21+Capital!$A$6</f>
        <v>-548794.05</v>
      </c>
      <c r="AJ21" s="7">
        <f>AB21+Capital!$A$7</f>
        <v>-498794.05000000005</v>
      </c>
    </row>
    <row r="22" spans="1:36">
      <c r="A22" s="9">
        <v>18</v>
      </c>
      <c r="B22" s="9">
        <f>'Base'!B22</f>
        <v>3000</v>
      </c>
      <c r="C22" s="9">
        <f>ROUNDUP(B22/'Premissas'!$B$14,0)</f>
        <v>150000</v>
      </c>
      <c r="D22" s="9">
        <f>'Base'!D22</f>
        <v>2</v>
      </c>
      <c r="E22" s="9">
        <f>D22*'Premissas'!$B$16</f>
        <v>160</v>
      </c>
      <c r="F22" s="7">
        <f>ROUND(B22*'Premissas'!$B$5,2)</f>
        <v>87000</v>
      </c>
      <c r="G22" s="7">
        <f>ROUND(F22*'Premissas'!$B$6,2)</f>
        <v>435000</v>
      </c>
      <c r="H22" s="7">
        <f>ROUND(G22*'Premissas'!$B$7,2)</f>
        <v>34800</v>
      </c>
      <c r="I22" s="7">
        <f>ROUND(G22-H22,2)</f>
        <v>400200</v>
      </c>
      <c r="J22" s="7">
        <f>ROUND(I22*'Premissas'!$B$8+B22*(1-'Premissas'!$B$7)*'Premissas'!$B$9*'Premissas'!$B$6,2)</f>
        <v>53419.8</v>
      </c>
      <c r="K22" s="7">
        <f>ROUND(I22-J22,2)</f>
        <v>346780.2</v>
      </c>
      <c r="L22" s="7">
        <f>IF(A22&gt;'Premissas'!$B$20,INDEX($K$5:$K$28,MAX(1,A22-'Premissas'!$B$20)),0)</f>
        <v>346780.2</v>
      </c>
      <c r="M22" s="7">
        <f>ROUND(I22*'Premissas'!$B$10,2)</f>
        <v>60030</v>
      </c>
      <c r="N22" s="7">
        <f>ROUND(I22*'Premissas'!$B$11,2)</f>
        <v>12006</v>
      </c>
      <c r="O22" s="7">
        <f>ROUND(B22*'Premissas'!$B$29*'Premissas'!$B$6,2)</f>
        <v>225000</v>
      </c>
      <c r="P22" s="7">
        <f>ROUND(B22*'Premissas'!$B$13*'Premissas'!$B$6,2)</f>
        <v>15000</v>
      </c>
      <c r="Q22" s="7">
        <f>ROUND(D22*'Premissas'!$B$15,2)</f>
        <v>60000</v>
      </c>
      <c r="R22" s="7">
        <f>ROUND(Q22*'Premissas'!$B$19+Q21*(1-'Premissas'!$B$19),2)</f>
        <v>60000</v>
      </c>
      <c r="S22" s="7">
        <f>ROUND(E22*'Premissas'!$B$17,2)</f>
        <v>28800</v>
      </c>
      <c r="T22" s="7">
        <f>ROUND(Q22*'Premissas'!$B$10,2)</f>
        <v>9000</v>
      </c>
      <c r="U22" s="7">
        <f>ROUND(R22*'Premissas'!$B$18,2)</f>
        <v>3000</v>
      </c>
      <c r="V22" s="7">
        <f>IF(A22&lt;=12,'Premissas'!$B$24,'Premissas'!$B$25)</f>
        <v>42000</v>
      </c>
      <c r="W22" s="7">
        <f>ROUND(G22+Q22,2)</f>
        <v>495000</v>
      </c>
      <c r="X22" s="7">
        <f>ROUND(I22+Q22,2)</f>
        <v>460200</v>
      </c>
      <c r="Y22" s="7">
        <f>ROUND(L22+R22,2)</f>
        <v>406780.2</v>
      </c>
      <c r="Z22" s="7">
        <f>ROUND(SUM(M22:P22)+SUM(S22:V22),2)</f>
        <v>394836</v>
      </c>
      <c r="AA22" s="7">
        <f>ROUND(Y22-Z22,2)</f>
        <v>11944.2</v>
      </c>
      <c r="AB22" s="7">
        <f>ROUND(AB21+AA22,2)</f>
        <v>-686849.85</v>
      </c>
      <c r="AC22" s="7">
        <f>ROUND(X22-J22-SUM(M22:P22)-S22-T22-ROUND(Q22*'Premissas'!$B$18,2)-V22,2)</f>
        <v>11944.2</v>
      </c>
      <c r="AD22" s="7">
        <f>ROUND(SUM($K$5:K22)-SUM($L$5:L22)+SUM($Q$5:Q22)-SUM($R$5:R22),2)</f>
        <v>376780.2</v>
      </c>
      <c r="AE22" s="7">
        <f>MAX(0,AB22)*'Premissas'!$B$28</f>
        <v>0.0</v>
      </c>
      <c r="AF22" s="9">
        <f>IF(AB22&gt;=0,A22,999)</f>
        <v>999</v>
      </c>
      <c r="AG22" s="9">
        <f>IF(AE22&gt;=Resumo!$E$8,A22,999)</f>
        <v>999</v>
      </c>
      <c r="AH22" s="7">
        <f>AB22+Capital!$A$5</f>
        <v>-586849.85</v>
      </c>
      <c r="AI22" s="7">
        <f>AB22+Capital!$A$6</f>
        <v>-536849.85</v>
      </c>
      <c r="AJ22" s="7">
        <f>AB22+Capital!$A$7</f>
        <v>-486849.85</v>
      </c>
    </row>
    <row r="23" spans="1:36">
      <c r="A23" s="9">
        <v>19</v>
      </c>
      <c r="B23" s="9">
        <f>'Base'!B23</f>
        <v>3000</v>
      </c>
      <c r="C23" s="9">
        <f>ROUNDUP(B23/'Premissas'!$B$14,0)</f>
        <v>150000</v>
      </c>
      <c r="D23" s="9">
        <f>'Base'!D23</f>
        <v>2</v>
      </c>
      <c r="E23" s="9">
        <f>D23*'Premissas'!$B$16</f>
        <v>160</v>
      </c>
      <c r="F23" s="7">
        <f>ROUND(B23*'Premissas'!$B$5,2)</f>
        <v>87000</v>
      </c>
      <c r="G23" s="7">
        <f>ROUND(F23*'Premissas'!$B$6,2)</f>
        <v>435000</v>
      </c>
      <c r="H23" s="7">
        <f>ROUND(G23*'Premissas'!$B$7,2)</f>
        <v>34800</v>
      </c>
      <c r="I23" s="7">
        <f>ROUND(G23-H23,2)</f>
        <v>400200</v>
      </c>
      <c r="J23" s="7">
        <f>ROUND(I23*'Premissas'!$B$8+B23*(1-'Premissas'!$B$7)*'Premissas'!$B$9*'Premissas'!$B$6,2)</f>
        <v>53419.8</v>
      </c>
      <c r="K23" s="7">
        <f>ROUND(I23-J23,2)</f>
        <v>346780.2</v>
      </c>
      <c r="L23" s="7">
        <f>IF(A23&gt;'Premissas'!$B$20,INDEX($K$5:$K$28,MAX(1,A23-'Premissas'!$B$20)),0)</f>
        <v>346780.2</v>
      </c>
      <c r="M23" s="7">
        <f>ROUND(I23*'Premissas'!$B$10,2)</f>
        <v>60030</v>
      </c>
      <c r="N23" s="7">
        <f>ROUND(I23*'Premissas'!$B$11,2)</f>
        <v>12006</v>
      </c>
      <c r="O23" s="7">
        <f>ROUND(B23*'Premissas'!$B$29*'Premissas'!$B$6,2)</f>
        <v>225000</v>
      </c>
      <c r="P23" s="7">
        <f>ROUND(B23*'Premissas'!$B$13*'Premissas'!$B$6,2)</f>
        <v>15000</v>
      </c>
      <c r="Q23" s="7">
        <f>ROUND(D23*'Premissas'!$B$15,2)</f>
        <v>60000</v>
      </c>
      <c r="R23" s="7">
        <f>ROUND(Q23*'Premissas'!$B$19+Q22*(1-'Premissas'!$B$19),2)</f>
        <v>60000</v>
      </c>
      <c r="S23" s="7">
        <f>ROUND(E23*'Premissas'!$B$17,2)</f>
        <v>28800</v>
      </c>
      <c r="T23" s="7">
        <f>ROUND(Q23*'Premissas'!$B$10,2)</f>
        <v>9000</v>
      </c>
      <c r="U23" s="7">
        <f>ROUND(R23*'Premissas'!$B$18,2)</f>
        <v>3000</v>
      </c>
      <c r="V23" s="7">
        <f>IF(A23&lt;=12,'Premissas'!$B$24,'Premissas'!$B$25)</f>
        <v>42000</v>
      </c>
      <c r="W23" s="7">
        <f>ROUND(G23+Q23,2)</f>
        <v>495000</v>
      </c>
      <c r="X23" s="7">
        <f>ROUND(I23+Q23,2)</f>
        <v>460200</v>
      </c>
      <c r="Y23" s="7">
        <f>ROUND(L23+R23,2)</f>
        <v>406780.2</v>
      </c>
      <c r="Z23" s="7">
        <f>ROUND(SUM(M23:P23)+SUM(S23:V23),2)</f>
        <v>394836</v>
      </c>
      <c r="AA23" s="7">
        <f>ROUND(Y23-Z23,2)</f>
        <v>11944.2</v>
      </c>
      <c r="AB23" s="7">
        <f>ROUND(AB22+AA23,2)</f>
        <v>-674905.65</v>
      </c>
      <c r="AC23" s="7">
        <f>ROUND(X23-J23-SUM(M23:P23)-S23-T23-ROUND(Q23*'Premissas'!$B$18,2)-V23,2)</f>
        <v>11944.2</v>
      </c>
      <c r="AD23" s="7">
        <f>ROUND(SUM($K$5:K23)-SUM($L$5:L23)+SUM($Q$5:Q23)-SUM($R$5:R23),2)</f>
        <v>376780.2</v>
      </c>
      <c r="AE23" s="7">
        <f>MAX(0,AB23)*'Premissas'!$B$28</f>
        <v>0.0</v>
      </c>
      <c r="AF23" s="9">
        <f>IF(AB23&gt;=0,A23,999)</f>
        <v>999</v>
      </c>
      <c r="AG23" s="9">
        <f>IF(AE23&gt;=Resumo!$E$8,A23,999)</f>
        <v>999</v>
      </c>
      <c r="AH23" s="7">
        <f>AB23+Capital!$A$5</f>
        <v>-574905.65</v>
      </c>
      <c r="AI23" s="7">
        <f>AB23+Capital!$A$6</f>
        <v>-524905.65</v>
      </c>
      <c r="AJ23" s="7">
        <f>AB23+Capital!$A$7</f>
        <v>-474905.65</v>
      </c>
    </row>
    <row r="24" spans="1:36">
      <c r="A24" s="9">
        <v>20</v>
      </c>
      <c r="B24" s="9">
        <f>'Base'!B24</f>
        <v>3000</v>
      </c>
      <c r="C24" s="9">
        <f>ROUNDUP(B24/'Premissas'!$B$14,0)</f>
        <v>150000</v>
      </c>
      <c r="D24" s="9">
        <f>'Base'!D24</f>
        <v>2</v>
      </c>
      <c r="E24" s="9">
        <f>D24*'Premissas'!$B$16</f>
        <v>160</v>
      </c>
      <c r="F24" s="7">
        <f>ROUND(B24*'Premissas'!$B$5,2)</f>
        <v>87000</v>
      </c>
      <c r="G24" s="7">
        <f>ROUND(F24*'Premissas'!$B$6,2)</f>
        <v>435000</v>
      </c>
      <c r="H24" s="7">
        <f>ROUND(G24*'Premissas'!$B$7,2)</f>
        <v>34800</v>
      </c>
      <c r="I24" s="7">
        <f>ROUND(G24-H24,2)</f>
        <v>400200</v>
      </c>
      <c r="J24" s="7">
        <f>ROUND(I24*'Premissas'!$B$8+B24*(1-'Premissas'!$B$7)*'Premissas'!$B$9*'Premissas'!$B$6,2)</f>
        <v>53419.8</v>
      </c>
      <c r="K24" s="7">
        <f>ROUND(I24-J24,2)</f>
        <v>346780.2</v>
      </c>
      <c r="L24" s="7">
        <f>IF(A24&gt;'Premissas'!$B$20,INDEX($K$5:$K$28,MAX(1,A24-'Premissas'!$B$20)),0)</f>
        <v>346780.2</v>
      </c>
      <c r="M24" s="7">
        <f>ROUND(I24*'Premissas'!$B$10,2)</f>
        <v>60030</v>
      </c>
      <c r="N24" s="7">
        <f>ROUND(I24*'Premissas'!$B$11,2)</f>
        <v>12006</v>
      </c>
      <c r="O24" s="7">
        <f>ROUND(B24*'Premissas'!$B$29*'Premissas'!$B$6,2)</f>
        <v>225000</v>
      </c>
      <c r="P24" s="7">
        <f>ROUND(B24*'Premissas'!$B$13*'Premissas'!$B$6,2)</f>
        <v>15000</v>
      </c>
      <c r="Q24" s="7">
        <f>ROUND(D24*'Premissas'!$B$15,2)</f>
        <v>60000</v>
      </c>
      <c r="R24" s="7">
        <f>ROUND(Q24*'Premissas'!$B$19+Q23*(1-'Premissas'!$B$19),2)</f>
        <v>60000</v>
      </c>
      <c r="S24" s="7">
        <f>ROUND(E24*'Premissas'!$B$17,2)</f>
        <v>28800</v>
      </c>
      <c r="T24" s="7">
        <f>ROUND(Q24*'Premissas'!$B$10,2)</f>
        <v>9000</v>
      </c>
      <c r="U24" s="7">
        <f>ROUND(R24*'Premissas'!$B$18,2)</f>
        <v>3000</v>
      </c>
      <c r="V24" s="7">
        <f>IF(A24&lt;=12,'Premissas'!$B$24,'Premissas'!$B$25)</f>
        <v>42000</v>
      </c>
      <c r="W24" s="7">
        <f>ROUND(G24+Q24,2)</f>
        <v>495000</v>
      </c>
      <c r="X24" s="7">
        <f>ROUND(I24+Q24,2)</f>
        <v>460200</v>
      </c>
      <c r="Y24" s="7">
        <f>ROUND(L24+R24,2)</f>
        <v>406780.2</v>
      </c>
      <c r="Z24" s="7">
        <f>ROUND(SUM(M24:P24)+SUM(S24:V24),2)</f>
        <v>394836</v>
      </c>
      <c r="AA24" s="7">
        <f>ROUND(Y24-Z24,2)</f>
        <v>11944.2</v>
      </c>
      <c r="AB24" s="7">
        <f>ROUND(AB23+AA24,2)</f>
        <v>-662961.45</v>
      </c>
      <c r="AC24" s="7">
        <f>ROUND(X24-J24-SUM(M24:P24)-S24-T24-ROUND(Q24*'Premissas'!$B$18,2)-V24,2)</f>
        <v>11944.2</v>
      </c>
      <c r="AD24" s="7">
        <f>ROUND(SUM($K$5:K24)-SUM($L$5:L24)+SUM($Q$5:Q24)-SUM($R$5:R24),2)</f>
        <v>376780.2</v>
      </c>
      <c r="AE24" s="7">
        <f>MAX(0,AB24)*'Premissas'!$B$28</f>
        <v>0.0</v>
      </c>
      <c r="AF24" s="9">
        <f>IF(AB24&gt;=0,A24,999)</f>
        <v>999</v>
      </c>
      <c r="AG24" s="9">
        <f>IF(AE24&gt;=Resumo!$E$8,A24,999)</f>
        <v>999</v>
      </c>
      <c r="AH24" s="7">
        <f>AB24+Capital!$A$5</f>
        <v>-562961.45</v>
      </c>
      <c r="AI24" s="7">
        <f>AB24+Capital!$A$6</f>
        <v>-512961.44999999995</v>
      </c>
      <c r="AJ24" s="7">
        <f>AB24+Capital!$A$7</f>
        <v>-462961.44999999995</v>
      </c>
    </row>
    <row r="25" spans="1:36">
      <c r="A25" s="9">
        <v>21</v>
      </c>
      <c r="B25" s="9">
        <f>'Base'!B25</f>
        <v>3000</v>
      </c>
      <c r="C25" s="9">
        <f>ROUNDUP(B25/'Premissas'!$B$14,0)</f>
        <v>150000</v>
      </c>
      <c r="D25" s="9">
        <f>'Base'!D25</f>
        <v>2</v>
      </c>
      <c r="E25" s="9">
        <f>D25*'Premissas'!$B$16</f>
        <v>160</v>
      </c>
      <c r="F25" s="7">
        <f>ROUND(B25*'Premissas'!$B$5,2)</f>
        <v>87000</v>
      </c>
      <c r="G25" s="7">
        <f>ROUND(F25*'Premissas'!$B$6,2)</f>
        <v>435000</v>
      </c>
      <c r="H25" s="7">
        <f>ROUND(G25*'Premissas'!$B$7,2)</f>
        <v>34800</v>
      </c>
      <c r="I25" s="7">
        <f>ROUND(G25-H25,2)</f>
        <v>400200</v>
      </c>
      <c r="J25" s="7">
        <f>ROUND(I25*'Premissas'!$B$8+B25*(1-'Premissas'!$B$7)*'Premissas'!$B$9*'Premissas'!$B$6,2)</f>
        <v>53419.8</v>
      </c>
      <c r="K25" s="7">
        <f>ROUND(I25-J25,2)</f>
        <v>346780.2</v>
      </c>
      <c r="L25" s="7">
        <f>IF(A25&gt;'Premissas'!$B$20,INDEX($K$5:$K$28,MAX(1,A25-'Premissas'!$B$20)),0)</f>
        <v>346780.2</v>
      </c>
      <c r="M25" s="7">
        <f>ROUND(I25*'Premissas'!$B$10,2)</f>
        <v>60030</v>
      </c>
      <c r="N25" s="7">
        <f>ROUND(I25*'Premissas'!$B$11,2)</f>
        <v>12006</v>
      </c>
      <c r="O25" s="7">
        <f>ROUND(B25*'Premissas'!$B$29*'Premissas'!$B$6,2)</f>
        <v>225000</v>
      </c>
      <c r="P25" s="7">
        <f>ROUND(B25*'Premissas'!$B$13*'Premissas'!$B$6,2)</f>
        <v>15000</v>
      </c>
      <c r="Q25" s="7">
        <f>ROUND(D25*'Premissas'!$B$15,2)</f>
        <v>60000</v>
      </c>
      <c r="R25" s="7">
        <f>ROUND(Q25*'Premissas'!$B$19+Q24*(1-'Premissas'!$B$19),2)</f>
        <v>60000</v>
      </c>
      <c r="S25" s="7">
        <f>ROUND(E25*'Premissas'!$B$17,2)</f>
        <v>28800</v>
      </c>
      <c r="T25" s="7">
        <f>ROUND(Q25*'Premissas'!$B$10,2)</f>
        <v>9000</v>
      </c>
      <c r="U25" s="7">
        <f>ROUND(R25*'Premissas'!$B$18,2)</f>
        <v>3000</v>
      </c>
      <c r="V25" s="7">
        <f>IF(A25&lt;=12,'Premissas'!$B$24,'Premissas'!$B$25)</f>
        <v>42000</v>
      </c>
      <c r="W25" s="7">
        <f>ROUND(G25+Q25,2)</f>
        <v>495000</v>
      </c>
      <c r="X25" s="7">
        <f>ROUND(I25+Q25,2)</f>
        <v>460200</v>
      </c>
      <c r="Y25" s="7">
        <f>ROUND(L25+R25,2)</f>
        <v>406780.2</v>
      </c>
      <c r="Z25" s="7">
        <f>ROUND(SUM(M25:P25)+SUM(S25:V25),2)</f>
        <v>394836</v>
      </c>
      <c r="AA25" s="7">
        <f>ROUND(Y25-Z25,2)</f>
        <v>11944.2</v>
      </c>
      <c r="AB25" s="7">
        <f>ROUND(AB24+AA25,2)</f>
        <v>-651017.25</v>
      </c>
      <c r="AC25" s="7">
        <f>ROUND(X25-J25-SUM(M25:P25)-S25-T25-ROUND(Q25*'Premissas'!$B$18,2)-V25,2)</f>
        <v>11944.2</v>
      </c>
      <c r="AD25" s="7">
        <f>ROUND(SUM($K$5:K25)-SUM($L$5:L25)+SUM($Q$5:Q25)-SUM($R$5:R25),2)</f>
        <v>376780.2</v>
      </c>
      <c r="AE25" s="7">
        <f>MAX(0,AB25)*'Premissas'!$B$28</f>
        <v>0.0</v>
      </c>
      <c r="AF25" s="9">
        <f>IF(AB25&gt;=0,A25,999)</f>
        <v>999</v>
      </c>
      <c r="AG25" s="9">
        <f>IF(AE25&gt;=Resumo!$E$8,A25,999)</f>
        <v>999</v>
      </c>
      <c r="AH25" s="7">
        <f>AB25+Capital!$A$5</f>
        <v>-551017.25</v>
      </c>
      <c r="AI25" s="7">
        <f>AB25+Capital!$A$6</f>
        <v>-501017.25</v>
      </c>
      <c r="AJ25" s="7">
        <f>AB25+Capital!$A$7</f>
        <v>-451017.25</v>
      </c>
    </row>
    <row r="26" spans="1:36">
      <c r="A26" s="9">
        <v>22</v>
      </c>
      <c r="B26" s="9">
        <f>'Base'!B26</f>
        <v>3000</v>
      </c>
      <c r="C26" s="9">
        <f>ROUNDUP(B26/'Premissas'!$B$14,0)</f>
        <v>150000</v>
      </c>
      <c r="D26" s="9">
        <f>'Base'!D26</f>
        <v>2</v>
      </c>
      <c r="E26" s="9">
        <f>D26*'Premissas'!$B$16</f>
        <v>160</v>
      </c>
      <c r="F26" s="7">
        <f>ROUND(B26*'Premissas'!$B$5,2)</f>
        <v>87000</v>
      </c>
      <c r="G26" s="7">
        <f>ROUND(F26*'Premissas'!$B$6,2)</f>
        <v>435000</v>
      </c>
      <c r="H26" s="7">
        <f>ROUND(G26*'Premissas'!$B$7,2)</f>
        <v>34800</v>
      </c>
      <c r="I26" s="7">
        <f>ROUND(G26-H26,2)</f>
        <v>400200</v>
      </c>
      <c r="J26" s="7">
        <f>ROUND(I26*'Premissas'!$B$8+B26*(1-'Premissas'!$B$7)*'Premissas'!$B$9*'Premissas'!$B$6,2)</f>
        <v>53419.8</v>
      </c>
      <c r="K26" s="7">
        <f>ROUND(I26-J26,2)</f>
        <v>346780.2</v>
      </c>
      <c r="L26" s="7">
        <f>IF(A26&gt;'Premissas'!$B$20,INDEX($K$5:$K$28,MAX(1,A26-'Premissas'!$B$20)),0)</f>
        <v>346780.2</v>
      </c>
      <c r="M26" s="7">
        <f>ROUND(I26*'Premissas'!$B$10,2)</f>
        <v>60030</v>
      </c>
      <c r="N26" s="7">
        <f>ROUND(I26*'Premissas'!$B$11,2)</f>
        <v>12006</v>
      </c>
      <c r="O26" s="7">
        <f>ROUND(B26*'Premissas'!$B$29*'Premissas'!$B$6,2)</f>
        <v>225000</v>
      </c>
      <c r="P26" s="7">
        <f>ROUND(B26*'Premissas'!$B$13*'Premissas'!$B$6,2)</f>
        <v>15000</v>
      </c>
      <c r="Q26" s="7">
        <f>ROUND(D26*'Premissas'!$B$15,2)</f>
        <v>60000</v>
      </c>
      <c r="R26" s="7">
        <f>ROUND(Q26*'Premissas'!$B$19+Q25*(1-'Premissas'!$B$19),2)</f>
        <v>60000</v>
      </c>
      <c r="S26" s="7">
        <f>ROUND(E26*'Premissas'!$B$17,2)</f>
        <v>28800</v>
      </c>
      <c r="T26" s="7">
        <f>ROUND(Q26*'Premissas'!$B$10,2)</f>
        <v>9000</v>
      </c>
      <c r="U26" s="7">
        <f>ROUND(R26*'Premissas'!$B$18,2)</f>
        <v>3000</v>
      </c>
      <c r="V26" s="7">
        <f>IF(A26&lt;=12,'Premissas'!$B$24,'Premissas'!$B$25)</f>
        <v>42000</v>
      </c>
      <c r="W26" s="7">
        <f>ROUND(G26+Q26,2)</f>
        <v>495000</v>
      </c>
      <c r="X26" s="7">
        <f>ROUND(I26+Q26,2)</f>
        <v>460200</v>
      </c>
      <c r="Y26" s="7">
        <f>ROUND(L26+R26,2)</f>
        <v>406780.2</v>
      </c>
      <c r="Z26" s="7">
        <f>ROUND(SUM(M26:P26)+SUM(S26:V26),2)</f>
        <v>394836</v>
      </c>
      <c r="AA26" s="7">
        <f>ROUND(Y26-Z26,2)</f>
        <v>11944.2</v>
      </c>
      <c r="AB26" s="7">
        <f>ROUND(AB25+AA26,2)</f>
        <v>-639073.05</v>
      </c>
      <c r="AC26" s="7">
        <f>ROUND(X26-J26-SUM(M26:P26)-S26-T26-ROUND(Q26*'Premissas'!$B$18,2)-V26,2)</f>
        <v>11944.2</v>
      </c>
      <c r="AD26" s="7">
        <f>ROUND(SUM($K$5:K26)-SUM($L$5:L26)+SUM($Q$5:Q26)-SUM($R$5:R26),2)</f>
        <v>376780.2</v>
      </c>
      <c r="AE26" s="7">
        <f>MAX(0,AB26)*'Premissas'!$B$28</f>
        <v>0.0</v>
      </c>
      <c r="AF26" s="9">
        <f>IF(AB26&gt;=0,A26,999)</f>
        <v>999</v>
      </c>
      <c r="AG26" s="9">
        <f>IF(AE26&gt;=Resumo!$E$8,A26,999)</f>
        <v>999</v>
      </c>
      <c r="AH26" s="7">
        <f>AB26+Capital!$A$5</f>
        <v>-539073.05</v>
      </c>
      <c r="AI26" s="7">
        <f>AB26+Capital!$A$6</f>
        <v>-489073.05000000005</v>
      </c>
      <c r="AJ26" s="7">
        <f>AB26+Capital!$A$7</f>
        <v>-439073.05000000005</v>
      </c>
    </row>
    <row r="27" spans="1:36">
      <c r="A27" s="9">
        <v>23</v>
      </c>
      <c r="B27" s="9">
        <f>'Base'!B27</f>
        <v>3000</v>
      </c>
      <c r="C27" s="9">
        <f>ROUNDUP(B27/'Premissas'!$B$14,0)</f>
        <v>150000</v>
      </c>
      <c r="D27" s="9">
        <f>'Base'!D27</f>
        <v>2</v>
      </c>
      <c r="E27" s="9">
        <f>D27*'Premissas'!$B$16</f>
        <v>160</v>
      </c>
      <c r="F27" s="7">
        <f>ROUND(B27*'Premissas'!$B$5,2)</f>
        <v>87000</v>
      </c>
      <c r="G27" s="7">
        <f>ROUND(F27*'Premissas'!$B$6,2)</f>
        <v>435000</v>
      </c>
      <c r="H27" s="7">
        <f>ROUND(G27*'Premissas'!$B$7,2)</f>
        <v>34800</v>
      </c>
      <c r="I27" s="7">
        <f>ROUND(G27-H27,2)</f>
        <v>400200</v>
      </c>
      <c r="J27" s="7">
        <f>ROUND(I27*'Premissas'!$B$8+B27*(1-'Premissas'!$B$7)*'Premissas'!$B$9*'Premissas'!$B$6,2)</f>
        <v>53419.8</v>
      </c>
      <c r="K27" s="7">
        <f>ROUND(I27-J27,2)</f>
        <v>346780.2</v>
      </c>
      <c r="L27" s="7">
        <f>IF(A27&gt;'Premissas'!$B$20,INDEX($K$5:$K$28,MAX(1,A27-'Premissas'!$B$20)),0)</f>
        <v>346780.2</v>
      </c>
      <c r="M27" s="7">
        <f>ROUND(I27*'Premissas'!$B$10,2)</f>
        <v>60030</v>
      </c>
      <c r="N27" s="7">
        <f>ROUND(I27*'Premissas'!$B$11,2)</f>
        <v>12006</v>
      </c>
      <c r="O27" s="7">
        <f>ROUND(B27*'Premissas'!$B$29*'Premissas'!$B$6,2)</f>
        <v>225000</v>
      </c>
      <c r="P27" s="7">
        <f>ROUND(B27*'Premissas'!$B$13*'Premissas'!$B$6,2)</f>
        <v>15000</v>
      </c>
      <c r="Q27" s="7">
        <f>ROUND(D27*'Premissas'!$B$15,2)</f>
        <v>60000</v>
      </c>
      <c r="R27" s="7">
        <f>ROUND(Q27*'Premissas'!$B$19+Q26*(1-'Premissas'!$B$19),2)</f>
        <v>60000</v>
      </c>
      <c r="S27" s="7">
        <f>ROUND(E27*'Premissas'!$B$17,2)</f>
        <v>28800</v>
      </c>
      <c r="T27" s="7">
        <f>ROUND(Q27*'Premissas'!$B$10,2)</f>
        <v>9000</v>
      </c>
      <c r="U27" s="7">
        <f>ROUND(R27*'Premissas'!$B$18,2)</f>
        <v>3000</v>
      </c>
      <c r="V27" s="7">
        <f>IF(A27&lt;=12,'Premissas'!$B$24,'Premissas'!$B$25)</f>
        <v>42000</v>
      </c>
      <c r="W27" s="7">
        <f>ROUND(G27+Q27,2)</f>
        <v>495000</v>
      </c>
      <c r="X27" s="7">
        <f>ROUND(I27+Q27,2)</f>
        <v>460200</v>
      </c>
      <c r="Y27" s="7">
        <f>ROUND(L27+R27,2)</f>
        <v>406780.2</v>
      </c>
      <c r="Z27" s="7">
        <f>ROUND(SUM(M27:P27)+SUM(S27:V27),2)</f>
        <v>394836</v>
      </c>
      <c r="AA27" s="7">
        <f>ROUND(Y27-Z27,2)</f>
        <v>11944.2</v>
      </c>
      <c r="AB27" s="7">
        <f>ROUND(AB26+AA27,2)</f>
        <v>-627128.85</v>
      </c>
      <c r="AC27" s="7">
        <f>ROUND(X27-J27-SUM(M27:P27)-S27-T27-ROUND(Q27*'Premissas'!$B$18,2)-V27,2)</f>
        <v>11944.2</v>
      </c>
      <c r="AD27" s="7">
        <f>ROUND(SUM($K$5:K27)-SUM($L$5:L27)+SUM($Q$5:Q27)-SUM($R$5:R27),2)</f>
        <v>376780.2</v>
      </c>
      <c r="AE27" s="7">
        <f>MAX(0,AB27)*'Premissas'!$B$28</f>
        <v>0.0</v>
      </c>
      <c r="AF27" s="9">
        <f>IF(AB27&gt;=0,A27,999)</f>
        <v>999</v>
      </c>
      <c r="AG27" s="9">
        <f>IF(AE27&gt;=Resumo!$E$8,A27,999)</f>
        <v>999</v>
      </c>
      <c r="AH27" s="7">
        <f>AB27+Capital!$A$5</f>
        <v>-527128.85</v>
      </c>
      <c r="AI27" s="7">
        <f>AB27+Capital!$A$6</f>
        <v>-477128.85</v>
      </c>
      <c r="AJ27" s="7">
        <f>AB27+Capital!$A$7</f>
        <v>-427128.85</v>
      </c>
    </row>
    <row r="28" spans="1:36">
      <c r="A28" s="9">
        <v>24</v>
      </c>
      <c r="B28" s="9">
        <f>'Base'!B28</f>
        <v>3000</v>
      </c>
      <c r="C28" s="9">
        <f>ROUNDUP(B28/'Premissas'!$B$14,0)</f>
        <v>150000</v>
      </c>
      <c r="D28" s="9">
        <f>'Base'!D28</f>
        <v>2</v>
      </c>
      <c r="E28" s="9">
        <f>D28*'Premissas'!$B$16</f>
        <v>160</v>
      </c>
      <c r="F28" s="7">
        <f>ROUND(B28*'Premissas'!$B$5,2)</f>
        <v>87000</v>
      </c>
      <c r="G28" s="7">
        <f>ROUND(F28*'Premissas'!$B$6,2)</f>
        <v>435000</v>
      </c>
      <c r="H28" s="7">
        <f>ROUND(G28*'Premissas'!$B$7,2)</f>
        <v>34800</v>
      </c>
      <c r="I28" s="7">
        <f>ROUND(G28-H28,2)</f>
        <v>400200</v>
      </c>
      <c r="J28" s="7">
        <f>ROUND(I28*'Premissas'!$B$8+B28*(1-'Premissas'!$B$7)*'Premissas'!$B$9*'Premissas'!$B$6,2)</f>
        <v>53419.8</v>
      </c>
      <c r="K28" s="7">
        <f>ROUND(I28-J28,2)</f>
        <v>346780.2</v>
      </c>
      <c r="L28" s="7">
        <f>IF(A28&gt;'Premissas'!$B$20,INDEX($K$5:$K$28,MAX(1,A28-'Premissas'!$B$20)),0)</f>
        <v>346780.2</v>
      </c>
      <c r="M28" s="7">
        <f>ROUND(I28*'Premissas'!$B$10,2)</f>
        <v>60030</v>
      </c>
      <c r="N28" s="7">
        <f>ROUND(I28*'Premissas'!$B$11,2)</f>
        <v>12006</v>
      </c>
      <c r="O28" s="7">
        <f>ROUND(B28*'Premissas'!$B$29*'Premissas'!$B$6,2)</f>
        <v>225000</v>
      </c>
      <c r="P28" s="7">
        <f>ROUND(B28*'Premissas'!$B$13*'Premissas'!$B$6,2)</f>
        <v>15000</v>
      </c>
      <c r="Q28" s="7">
        <f>ROUND(D28*'Premissas'!$B$15,2)</f>
        <v>60000</v>
      </c>
      <c r="R28" s="7">
        <f>ROUND(Q28*'Premissas'!$B$19+Q27*(1-'Premissas'!$B$19),2)</f>
        <v>60000</v>
      </c>
      <c r="S28" s="7">
        <f>ROUND(E28*'Premissas'!$B$17,2)</f>
        <v>28800</v>
      </c>
      <c r="T28" s="7">
        <f>ROUND(Q28*'Premissas'!$B$10,2)</f>
        <v>9000</v>
      </c>
      <c r="U28" s="7">
        <f>ROUND(R28*'Premissas'!$B$18,2)</f>
        <v>3000</v>
      </c>
      <c r="V28" s="7">
        <f>IF(A28&lt;=12,'Premissas'!$B$24,'Premissas'!$B$25)</f>
        <v>42000</v>
      </c>
      <c r="W28" s="7">
        <f>ROUND(G28+Q28,2)</f>
        <v>495000</v>
      </c>
      <c r="X28" s="7">
        <f>ROUND(I28+Q28,2)</f>
        <v>460200</v>
      </c>
      <c r="Y28" s="7">
        <f>ROUND(L28+R28,2)</f>
        <v>406780.2</v>
      </c>
      <c r="Z28" s="7">
        <f>ROUND(SUM(M28:P28)+SUM(S28:V28),2)</f>
        <v>394836</v>
      </c>
      <c r="AA28" s="7">
        <f>ROUND(Y28-Z28,2)</f>
        <v>11944.2</v>
      </c>
      <c r="AB28" s="7">
        <f>ROUND(AB27+AA28,2)</f>
        <v>-615184.65</v>
      </c>
      <c r="AC28" s="7">
        <f>ROUND(X28-J28-SUM(M28:P28)-S28-T28-ROUND(Q28*'Premissas'!$B$18,2)-V28,2)</f>
        <v>11944.2</v>
      </c>
      <c r="AD28" s="7">
        <f>ROUND(SUM($K$5:K28)-SUM($L$5:L28)+SUM($Q$5:Q28)-SUM($R$5:R28),2)</f>
        <v>376780.2</v>
      </c>
      <c r="AE28" s="7">
        <f>MAX(0,AB28)*'Premissas'!$B$28</f>
        <v>0.0</v>
      </c>
      <c r="AF28" s="9">
        <f>IF(AB28&gt;=0,A28,999)</f>
        <v>999</v>
      </c>
      <c r="AG28" s="9">
        <f>IF(AE28&gt;=Resumo!$E$8,A28,999)</f>
        <v>999</v>
      </c>
      <c r="AH28" s="7">
        <f>AB28+Capital!$A$5</f>
        <v>-515184.65</v>
      </c>
      <c r="AI28" s="7">
        <f>AB28+Capital!$A$6</f>
        <v>-465184.65</v>
      </c>
      <c r="AJ28" s="7">
        <f>AB28+Capital!$A$7</f>
        <v>-415184.65</v>
      </c>
    </row>
  </sheetData>
  <autoFilter ref="A4:AD28"/>
  <mergeCells count="2">
    <mergeCell ref="A1:AJ1"/>
    <mergeCell ref="A2:AJ2"/>
  </mergeCells>
  <conditionalFormatting sqref="AB5:AB28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rowBreaks count="1" manualBreakCount="1">
    <brk id="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2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7.7109375" customWidth="1"/>
    <col min="2" max="36" width="18.7109375" customWidth="1"/>
  </cols>
  <sheetData>
    <row r="1" spans="1:36" ht="32" customHeight="1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5" customHeight="1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4" spans="1:36" ht="48" customHeight="1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3" t="s">
        <v>125</v>
      </c>
      <c r="H4" s="3" t="s">
        <v>126</v>
      </c>
      <c r="I4" s="3" t="s">
        <v>127</v>
      </c>
      <c r="J4" s="3" t="s">
        <v>128</v>
      </c>
      <c r="K4" s="3" t="s">
        <v>129</v>
      </c>
      <c r="L4" s="3" t="s">
        <v>130</v>
      </c>
      <c r="M4" s="3" t="s">
        <v>131</v>
      </c>
      <c r="N4" s="3" t="s">
        <v>132</v>
      </c>
      <c r="O4" s="3" t="s">
        <v>133</v>
      </c>
      <c r="P4" s="3" t="s">
        <v>134</v>
      </c>
      <c r="Q4" s="3" t="s">
        <v>135</v>
      </c>
      <c r="R4" s="3" t="s">
        <v>136</v>
      </c>
      <c r="S4" s="3" t="s">
        <v>137</v>
      </c>
      <c r="T4" s="3" t="s">
        <v>138</v>
      </c>
      <c r="U4" s="3" t="s">
        <v>139</v>
      </c>
      <c r="V4" s="3" t="s">
        <v>140</v>
      </c>
      <c r="W4" s="3" t="s">
        <v>141</v>
      </c>
      <c r="X4" s="3" t="s">
        <v>142</v>
      </c>
      <c r="Y4" s="3" t="s">
        <v>143</v>
      </c>
      <c r="Z4" s="3" t="s">
        <v>144</v>
      </c>
      <c r="AA4" s="3" t="s">
        <v>145</v>
      </c>
      <c r="AB4" s="3" t="s">
        <v>146</v>
      </c>
      <c r="AC4" s="3" t="s">
        <v>147</v>
      </c>
      <c r="AD4" s="3" t="s">
        <v>148</v>
      </c>
      <c r="AE4" s="3" t="s">
        <v>149</v>
      </c>
      <c r="AF4" s="3" t="s">
        <v>150</v>
      </c>
      <c r="AG4" s="3" t="s">
        <v>151</v>
      </c>
      <c r="AH4" s="3" t="s">
        <v>152</v>
      </c>
      <c r="AI4" s="3" t="s">
        <v>153</v>
      </c>
      <c r="AJ4" s="3" t="s">
        <v>154</v>
      </c>
    </row>
    <row r="5" spans="1:36">
      <c r="A5" s="9">
        <v>1</v>
      </c>
      <c r="B5" s="9">
        <f>'Base'!B5</f>
        <v>0</v>
      </c>
      <c r="C5" s="9">
        <f>ROUNDUP(B5/'Premissas'!$B$14,0)</f>
        <v>0</v>
      </c>
      <c r="D5" s="9">
        <f>'Base'!D5</f>
        <v>0</v>
      </c>
      <c r="E5" s="9">
        <f>D5*'Premissas'!$B$16</f>
        <v>0</v>
      </c>
      <c r="F5" s="7">
        <f>ROUND(B5*'Premissas'!$B$5,2)</f>
        <v>0</v>
      </c>
      <c r="G5" s="7">
        <f>ROUND(F5*'Premissas'!$B$30,2)</f>
        <v>0</v>
      </c>
      <c r="H5" s="7">
        <f>ROUND(G5*'Premissas'!$B$7,2)</f>
        <v>0</v>
      </c>
      <c r="I5" s="7">
        <f>ROUND(G5-H5,2)</f>
        <v>0</v>
      </c>
      <c r="J5" s="7">
        <f>ROUND(I5*'Premissas'!$B$8+B5*(1-'Premissas'!$B$7)*'Premissas'!$B$9*'Premissas'!$B$30,2)</f>
        <v>0</v>
      </c>
      <c r="K5" s="7">
        <f>ROUND(I5-J5,2)</f>
        <v>0</v>
      </c>
      <c r="L5" s="7">
        <f>IF(A5&gt;'Premissas'!$B$20,INDEX($K$5:$K$28,MAX(1,A5-'Premissas'!$B$20)),0)</f>
        <v>0</v>
      </c>
      <c r="M5" s="7">
        <f>ROUND(I5*'Premissas'!$B$10,2)</f>
        <v>0</v>
      </c>
      <c r="N5" s="7">
        <f>ROUND(I5*'Premissas'!$B$11,2)</f>
        <v>0</v>
      </c>
      <c r="O5" s="7">
        <f>ROUND(B5*'Premissas'!$B$12*'Premissas'!$B$30,2)</f>
        <v>0</v>
      </c>
      <c r="P5" s="7">
        <f>ROUND(B5*'Premissas'!$B$13*'Premissas'!$B$30,2)</f>
        <v>0</v>
      </c>
      <c r="Q5" s="7">
        <f>ROUND(D5*'Premissas'!$B$15,2)</f>
        <v>0</v>
      </c>
      <c r="R5" s="7">
        <f>ROUND(Q5*'Premissas'!$B$19+0*(1-'Premissas'!$B$19),2)</f>
        <v>0</v>
      </c>
      <c r="S5" s="7">
        <f>ROUND(E5*'Premissas'!$B$17,2)</f>
        <v>0</v>
      </c>
      <c r="T5" s="7">
        <f>ROUND(Q5*'Premissas'!$B$10,2)</f>
        <v>0</v>
      </c>
      <c r="U5" s="7">
        <f>ROUND(R5*'Premissas'!$B$18,2)</f>
        <v>0</v>
      </c>
      <c r="V5" s="7">
        <f>IF(A5&lt;=12,'Premissas'!$B$24,'Premissas'!$B$25)</f>
        <v>37000</v>
      </c>
      <c r="W5" s="7">
        <f>ROUND(G5+Q5,2)</f>
        <v>0</v>
      </c>
      <c r="X5" s="7">
        <f>ROUND(I5+Q5,2)</f>
        <v>0</v>
      </c>
      <c r="Y5" s="7">
        <f>ROUND(L5+R5,2)</f>
        <v>0</v>
      </c>
      <c r="Z5" s="7">
        <f>ROUND(SUM(M5:P5)+SUM(S5:V5),2)</f>
        <v>37000</v>
      </c>
      <c r="AA5" s="7">
        <f>ROUND(Y5-Z5,2)</f>
        <v>-37000</v>
      </c>
      <c r="AB5" s="7">
        <f>ROUND(-'Premissas'!$B$23+AA5,2)</f>
        <v>-137000</v>
      </c>
      <c r="AC5" s="7">
        <f>ROUND(X5-J5-SUM(M5:P5)-S5-T5-ROUND(Q5*'Premissas'!$B$18,2)-V5,2)</f>
        <v>-37000</v>
      </c>
      <c r="AD5" s="7">
        <f>ROUND(SUM($K$5:K5)-SUM($L$5:L5)+SUM($Q$5:Q5)-SUM($R$5:R5),2)</f>
        <v>0</v>
      </c>
      <c r="AE5" s="7">
        <f>MAX(0,AB5)*'Premissas'!$B$28</f>
        <v>0.0</v>
      </c>
      <c r="AF5" s="9">
        <f>IF(AB5&gt;=0,A5,999)</f>
        <v>999</v>
      </c>
      <c r="AG5" s="9">
        <f>IF(AE5&gt;=Resumo!$E$9,A5,999)</f>
        <v>999</v>
      </c>
      <c r="AH5" s="7">
        <f>AB5+Capital!$A$5</f>
        <v>-37000</v>
      </c>
      <c r="AI5" s="7">
        <f>AB5+Capital!$A$6</f>
        <v>13000</v>
      </c>
      <c r="AJ5" s="7">
        <f>AB5+Capital!$A$7</f>
        <v>63000</v>
      </c>
    </row>
    <row r="6" spans="1:36">
      <c r="A6" s="9">
        <v>2</v>
      </c>
      <c r="B6" s="9">
        <f>'Base'!B6</f>
        <v>0</v>
      </c>
      <c r="C6" s="9">
        <f>ROUNDUP(B6/'Premissas'!$B$14,0)</f>
        <v>0</v>
      </c>
      <c r="D6" s="9">
        <f>'Base'!D6</f>
        <v>0</v>
      </c>
      <c r="E6" s="9">
        <f>D6*'Premissas'!$B$16</f>
        <v>0</v>
      </c>
      <c r="F6" s="7">
        <f>ROUND(B6*'Premissas'!$B$5,2)</f>
        <v>0</v>
      </c>
      <c r="G6" s="7">
        <f>ROUND(F6*'Premissas'!$B$30,2)</f>
        <v>0</v>
      </c>
      <c r="H6" s="7">
        <f>ROUND(G6*'Premissas'!$B$7,2)</f>
        <v>0</v>
      </c>
      <c r="I6" s="7">
        <f>ROUND(G6-H6,2)</f>
        <v>0</v>
      </c>
      <c r="J6" s="7">
        <f>ROUND(I6*'Premissas'!$B$8+B6*(1-'Premissas'!$B$7)*'Premissas'!$B$9*'Premissas'!$B$30,2)</f>
        <v>0</v>
      </c>
      <c r="K6" s="7">
        <f>ROUND(I6-J6,2)</f>
        <v>0</v>
      </c>
      <c r="L6" s="7">
        <f>IF(A6&gt;'Premissas'!$B$20,INDEX($K$5:$K$28,MAX(1,A6-'Premissas'!$B$20)),0)</f>
        <v>0</v>
      </c>
      <c r="M6" s="7">
        <f>ROUND(I6*'Premissas'!$B$10,2)</f>
        <v>0</v>
      </c>
      <c r="N6" s="7">
        <f>ROUND(I6*'Premissas'!$B$11,2)</f>
        <v>0</v>
      </c>
      <c r="O6" s="7">
        <f>ROUND(B6*'Premissas'!$B$12*'Premissas'!$B$30,2)</f>
        <v>0</v>
      </c>
      <c r="P6" s="7">
        <f>ROUND(B6*'Premissas'!$B$13*'Premissas'!$B$30,2)</f>
        <v>0</v>
      </c>
      <c r="Q6" s="7">
        <f>ROUND(D6*'Premissas'!$B$15,2)</f>
        <v>0</v>
      </c>
      <c r="R6" s="7">
        <f>ROUND(Q6*'Premissas'!$B$19+Q5*(1-'Premissas'!$B$19),2)</f>
        <v>0</v>
      </c>
      <c r="S6" s="7">
        <f>ROUND(E6*'Premissas'!$B$17,2)</f>
        <v>0</v>
      </c>
      <c r="T6" s="7">
        <f>ROUND(Q6*'Premissas'!$B$10,2)</f>
        <v>0</v>
      </c>
      <c r="U6" s="7">
        <f>ROUND(R6*'Premissas'!$B$18,2)</f>
        <v>0</v>
      </c>
      <c r="V6" s="7">
        <f>IF(A6&lt;=12,'Premissas'!$B$24,'Premissas'!$B$25)</f>
        <v>37000</v>
      </c>
      <c r="W6" s="7">
        <f>ROUND(G6+Q6,2)</f>
        <v>0</v>
      </c>
      <c r="X6" s="7">
        <f>ROUND(I6+Q6,2)</f>
        <v>0</v>
      </c>
      <c r="Y6" s="7">
        <f>ROUND(L6+R6,2)</f>
        <v>0</v>
      </c>
      <c r="Z6" s="7">
        <f>ROUND(SUM(M6:P6)+SUM(S6:V6),2)</f>
        <v>37000</v>
      </c>
      <c r="AA6" s="7">
        <f>ROUND(Y6-Z6,2)</f>
        <v>-37000</v>
      </c>
      <c r="AB6" s="7">
        <f>ROUND(AB5+AA6,2)</f>
        <v>-174000</v>
      </c>
      <c r="AC6" s="7">
        <f>ROUND(X6-J6-SUM(M6:P6)-S6-T6-ROUND(Q6*'Premissas'!$B$18,2)-V6,2)</f>
        <v>-37000</v>
      </c>
      <c r="AD6" s="7">
        <f>ROUND(SUM($K$5:K6)-SUM($L$5:L6)+SUM($Q$5:Q6)-SUM($R$5:R6),2)</f>
        <v>0</v>
      </c>
      <c r="AE6" s="7">
        <f>MAX(0,AB6)*'Premissas'!$B$28</f>
        <v>0.0</v>
      </c>
      <c r="AF6" s="9">
        <f>IF(AB6&gt;=0,A6,999)</f>
        <v>999</v>
      </c>
      <c r="AG6" s="9">
        <f>IF(AE6&gt;=Resumo!$E$9,A6,999)</f>
        <v>999</v>
      </c>
      <c r="AH6" s="7">
        <f>AB6+Capital!$A$5</f>
        <v>-74000</v>
      </c>
      <c r="AI6" s="7">
        <f>AB6+Capital!$A$6</f>
        <v>-24000</v>
      </c>
      <c r="AJ6" s="7">
        <f>AB6+Capital!$A$7</f>
        <v>26000</v>
      </c>
    </row>
    <row r="7" spans="1:36">
      <c r="A7" s="9">
        <v>3</v>
      </c>
      <c r="B7" s="9">
        <f>'Base'!B7</f>
        <v>50</v>
      </c>
      <c r="C7" s="9">
        <f>ROUNDUP(B7/'Premissas'!$B$14,0)</f>
        <v>2500</v>
      </c>
      <c r="D7" s="9">
        <f>'Base'!D7</f>
        <v>1</v>
      </c>
      <c r="E7" s="9">
        <f>D7*'Premissas'!$B$16</f>
        <v>80</v>
      </c>
      <c r="F7" s="7">
        <f>ROUND(B7*'Premissas'!$B$5,2)</f>
        <v>1450</v>
      </c>
      <c r="G7" s="7">
        <f>ROUND(F7*'Premissas'!$B$30,2)</f>
        <v>6525</v>
      </c>
      <c r="H7" s="7">
        <f>ROUND(G7*'Premissas'!$B$7,2)</f>
        <v>522</v>
      </c>
      <c r="I7" s="7">
        <f>ROUND(G7-H7,2)</f>
        <v>6003</v>
      </c>
      <c r="J7" s="7">
        <f>ROUND(I7*'Premissas'!$B$8+B7*(1-'Premissas'!$B$7)*'Premissas'!$B$9*'Premissas'!$B$30,2)</f>
        <v>801.3</v>
      </c>
      <c r="K7" s="7">
        <f>ROUND(I7-J7,2)</f>
        <v>5201.7</v>
      </c>
      <c r="L7" s="7">
        <f>IF(A7&gt;'Premissas'!$B$20,INDEX($K$5:$K$28,MAX(1,A7-'Premissas'!$B$20)),0)</f>
        <v>0</v>
      </c>
      <c r="M7" s="7">
        <f>ROUND(I7*'Premissas'!$B$10,2)</f>
        <v>900.45</v>
      </c>
      <c r="N7" s="7">
        <f>ROUND(I7*'Premissas'!$B$11,2)</f>
        <v>180.09</v>
      </c>
      <c r="O7" s="7">
        <f>ROUND(B7*'Premissas'!$B$12*'Premissas'!$B$30,2)</f>
        <v>2250</v>
      </c>
      <c r="P7" s="7">
        <f>ROUND(B7*'Premissas'!$B$13*'Premissas'!$B$30,2)</f>
        <v>225</v>
      </c>
      <c r="Q7" s="7">
        <f>ROUND(D7*'Premissas'!$B$15,2)</f>
        <v>30000</v>
      </c>
      <c r="R7" s="7">
        <f>ROUND(Q7*'Premissas'!$B$19+Q6*(1-'Premissas'!$B$19),2)</f>
        <v>15000</v>
      </c>
      <c r="S7" s="7">
        <f>ROUND(E7*'Premissas'!$B$17,2)</f>
        <v>14400</v>
      </c>
      <c r="T7" s="7">
        <f>ROUND(Q7*'Premissas'!$B$10,2)</f>
        <v>4500</v>
      </c>
      <c r="U7" s="7">
        <f>ROUND(R7*'Premissas'!$B$18,2)</f>
        <v>750</v>
      </c>
      <c r="V7" s="7">
        <f>IF(A7&lt;=12,'Premissas'!$B$24,'Premissas'!$B$25)</f>
        <v>37000</v>
      </c>
      <c r="W7" s="7">
        <f>ROUND(G7+Q7,2)</f>
        <v>36525</v>
      </c>
      <c r="X7" s="7">
        <f>ROUND(I7+Q7,2)</f>
        <v>36003</v>
      </c>
      <c r="Y7" s="7">
        <f>ROUND(L7+R7,2)</f>
        <v>15000</v>
      </c>
      <c r="Z7" s="7">
        <f>ROUND(SUM(M7:P7)+SUM(S7:V7),2)</f>
        <v>60205.54</v>
      </c>
      <c r="AA7" s="7">
        <f>ROUND(Y7-Z7,2)</f>
        <v>-45205.54</v>
      </c>
      <c r="AB7" s="7">
        <f>ROUND(AB6+AA7,2)</f>
        <v>-219205.54</v>
      </c>
      <c r="AC7" s="7">
        <f>ROUND(X7-J7-SUM(M7:P7)-S7-T7-ROUND(Q7*'Premissas'!$B$18,2)-V7,2)</f>
        <v>-25753.84</v>
      </c>
      <c r="AD7" s="7">
        <f>ROUND(SUM($K$5:K7)-SUM($L$5:L7)+SUM($Q$5:Q7)-SUM($R$5:R7),2)</f>
        <v>20201.7</v>
      </c>
      <c r="AE7" s="7">
        <f>MAX(0,AB7)*'Premissas'!$B$28</f>
        <v>0.0</v>
      </c>
      <c r="AF7" s="9">
        <f>IF(AB7&gt;=0,A7,999)</f>
        <v>999</v>
      </c>
      <c r="AG7" s="9">
        <f>IF(AE7&gt;=Resumo!$E$9,A7,999)</f>
        <v>999</v>
      </c>
      <c r="AH7" s="7">
        <f>AB7+Capital!$A$5</f>
        <v>-119205.54000000001</v>
      </c>
      <c r="AI7" s="7">
        <f>AB7+Capital!$A$6</f>
        <v>-69205.54000000001</v>
      </c>
      <c r="AJ7" s="7">
        <f>AB7+Capital!$A$7</f>
        <v>-19205.540000000008</v>
      </c>
    </row>
    <row r="8" spans="1:36">
      <c r="A8" s="9">
        <v>4</v>
      </c>
      <c r="B8" s="9">
        <f>'Base'!B8</f>
        <v>150</v>
      </c>
      <c r="C8" s="9">
        <f>ROUNDUP(B8/'Premissas'!$B$14,0)</f>
        <v>7500</v>
      </c>
      <c r="D8" s="9">
        <f>'Base'!D8</f>
        <v>0</v>
      </c>
      <c r="E8" s="9">
        <f>D8*'Premissas'!$B$16</f>
        <v>0</v>
      </c>
      <c r="F8" s="7">
        <f>ROUND(B8*'Premissas'!$B$5,2)</f>
        <v>4350</v>
      </c>
      <c r="G8" s="7">
        <f>ROUND(F8*'Premissas'!$B$30,2)</f>
        <v>19575</v>
      </c>
      <c r="H8" s="7">
        <f>ROUND(G8*'Premissas'!$B$7,2)</f>
        <v>1566</v>
      </c>
      <c r="I8" s="7">
        <f>ROUND(G8-H8,2)</f>
        <v>18009</v>
      </c>
      <c r="J8" s="7">
        <f>ROUND(I8*'Premissas'!$B$8+B8*(1-'Premissas'!$B$7)*'Premissas'!$B$9*'Premissas'!$B$30,2)</f>
        <v>2403.89</v>
      </c>
      <c r="K8" s="7">
        <f>ROUND(I8-J8,2)</f>
        <v>15605.11</v>
      </c>
      <c r="L8" s="7">
        <f>IF(A8&gt;'Premissas'!$B$20,INDEX($K$5:$K$28,MAX(1,A8-'Premissas'!$B$20)),0)</f>
        <v>5201.7</v>
      </c>
      <c r="M8" s="7">
        <f>ROUND(I8*'Premissas'!$B$10,2)</f>
        <v>2701.35</v>
      </c>
      <c r="N8" s="7">
        <f>ROUND(I8*'Premissas'!$B$11,2)</f>
        <v>540.27</v>
      </c>
      <c r="O8" s="7">
        <f>ROUND(B8*'Premissas'!$B$12*'Premissas'!$B$30,2)</f>
        <v>6750</v>
      </c>
      <c r="P8" s="7">
        <f>ROUND(B8*'Premissas'!$B$13*'Premissas'!$B$30,2)</f>
        <v>675</v>
      </c>
      <c r="Q8" s="7">
        <f>ROUND(D8*'Premissas'!$B$15,2)</f>
        <v>0</v>
      </c>
      <c r="R8" s="7">
        <f>ROUND(Q8*'Premissas'!$B$19+Q7*(1-'Premissas'!$B$19),2)</f>
        <v>15000</v>
      </c>
      <c r="S8" s="7">
        <f>ROUND(E8*'Premissas'!$B$17,2)</f>
        <v>0</v>
      </c>
      <c r="T8" s="7">
        <f>ROUND(Q8*'Premissas'!$B$10,2)</f>
        <v>0</v>
      </c>
      <c r="U8" s="7">
        <f>ROUND(R8*'Premissas'!$B$18,2)</f>
        <v>750</v>
      </c>
      <c r="V8" s="7">
        <f>IF(A8&lt;=12,'Premissas'!$B$24,'Premissas'!$B$25)</f>
        <v>37000</v>
      </c>
      <c r="W8" s="7">
        <f>ROUND(G8+Q8,2)</f>
        <v>19575</v>
      </c>
      <c r="X8" s="7">
        <f>ROUND(I8+Q8,2)</f>
        <v>18009</v>
      </c>
      <c r="Y8" s="7">
        <f>ROUND(L8+R8,2)</f>
        <v>20201.7</v>
      </c>
      <c r="Z8" s="7">
        <f>ROUND(SUM(M8:P8)+SUM(S8:V8),2)</f>
        <v>48416.62</v>
      </c>
      <c r="AA8" s="7">
        <f>ROUND(Y8-Z8,2)</f>
        <v>-28214.92</v>
      </c>
      <c r="AB8" s="7">
        <f>ROUND(AB7+AA8,2)</f>
        <v>-247420.46</v>
      </c>
      <c r="AC8" s="7">
        <f>ROUND(X8-J8-SUM(M8:P8)-S8-T8-ROUND(Q8*'Premissas'!$B$18,2)-V8,2)</f>
        <v>-32061.51</v>
      </c>
      <c r="AD8" s="7">
        <f>ROUND(SUM($K$5:K8)-SUM($L$5:L8)+SUM($Q$5:Q8)-SUM($R$5:R8),2)</f>
        <v>15605.11</v>
      </c>
      <c r="AE8" s="7">
        <f>MAX(0,AB8)*'Premissas'!$B$28</f>
        <v>0.0</v>
      </c>
      <c r="AF8" s="9">
        <f>IF(AB8&gt;=0,A8,999)</f>
        <v>999</v>
      </c>
      <c r="AG8" s="9">
        <f>IF(AE8&gt;=Resumo!$E$9,A8,999)</f>
        <v>999</v>
      </c>
      <c r="AH8" s="7">
        <f>AB8+Capital!$A$5</f>
        <v>-147420.46</v>
      </c>
      <c r="AI8" s="7">
        <f>AB8+Capital!$A$6</f>
        <v>-97420.45999999999</v>
      </c>
      <c r="AJ8" s="7">
        <f>AB8+Capital!$A$7</f>
        <v>-47420.45999999999</v>
      </c>
    </row>
    <row r="9" spans="1:36">
      <c r="A9" s="9">
        <v>5</v>
      </c>
      <c r="B9" s="9">
        <f>'Base'!B9</f>
        <v>300</v>
      </c>
      <c r="C9" s="9">
        <f>ROUNDUP(B9/'Premissas'!$B$14,0)</f>
        <v>15000</v>
      </c>
      <c r="D9" s="9">
        <f>'Base'!D9</f>
        <v>1</v>
      </c>
      <c r="E9" s="9">
        <f>D9*'Premissas'!$B$16</f>
        <v>80</v>
      </c>
      <c r="F9" s="7">
        <f>ROUND(B9*'Premissas'!$B$5,2)</f>
        <v>8700</v>
      </c>
      <c r="G9" s="7">
        <f>ROUND(F9*'Premissas'!$B$30,2)</f>
        <v>39150</v>
      </c>
      <c r="H9" s="7">
        <f>ROUND(G9*'Premissas'!$B$7,2)</f>
        <v>3132</v>
      </c>
      <c r="I9" s="7">
        <f>ROUND(G9-H9,2)</f>
        <v>36018</v>
      </c>
      <c r="J9" s="7">
        <f>ROUND(I9*'Premissas'!$B$8+B9*(1-'Premissas'!$B$7)*'Premissas'!$B$9*'Premissas'!$B$30,2)</f>
        <v>4807.78</v>
      </c>
      <c r="K9" s="7">
        <f>ROUND(I9-J9,2)</f>
        <v>31210.22</v>
      </c>
      <c r="L9" s="7">
        <f>IF(A9&gt;'Premissas'!$B$20,INDEX($K$5:$K$28,MAX(1,A9-'Premissas'!$B$20)),0)</f>
        <v>15605.11</v>
      </c>
      <c r="M9" s="7">
        <f>ROUND(I9*'Premissas'!$B$10,2)</f>
        <v>5402.7</v>
      </c>
      <c r="N9" s="7">
        <f>ROUND(I9*'Premissas'!$B$11,2)</f>
        <v>1080.54</v>
      </c>
      <c r="O9" s="7">
        <f>ROUND(B9*'Premissas'!$B$12*'Premissas'!$B$30,2)</f>
        <v>13500</v>
      </c>
      <c r="P9" s="7">
        <f>ROUND(B9*'Premissas'!$B$13*'Premissas'!$B$30,2)</f>
        <v>1350</v>
      </c>
      <c r="Q9" s="7">
        <f>ROUND(D9*'Premissas'!$B$15,2)</f>
        <v>30000</v>
      </c>
      <c r="R9" s="7">
        <f>ROUND(Q9*'Premissas'!$B$19+Q8*(1-'Premissas'!$B$19),2)</f>
        <v>15000</v>
      </c>
      <c r="S9" s="7">
        <f>ROUND(E9*'Premissas'!$B$17,2)</f>
        <v>14400</v>
      </c>
      <c r="T9" s="7">
        <f>ROUND(Q9*'Premissas'!$B$10,2)</f>
        <v>4500</v>
      </c>
      <c r="U9" s="7">
        <f>ROUND(R9*'Premissas'!$B$18,2)</f>
        <v>750</v>
      </c>
      <c r="V9" s="7">
        <f>IF(A9&lt;=12,'Premissas'!$B$24,'Premissas'!$B$25)</f>
        <v>37000</v>
      </c>
      <c r="W9" s="7">
        <f>ROUND(G9+Q9,2)</f>
        <v>69150</v>
      </c>
      <c r="X9" s="7">
        <f>ROUND(I9+Q9,2)</f>
        <v>66018</v>
      </c>
      <c r="Y9" s="7">
        <f>ROUND(L9+R9,2)</f>
        <v>30605.11</v>
      </c>
      <c r="Z9" s="7">
        <f>ROUND(SUM(M9:P9)+SUM(S9:V9),2)</f>
        <v>77983.24</v>
      </c>
      <c r="AA9" s="7">
        <f>ROUND(Y9-Z9,2)</f>
        <v>-47378.13</v>
      </c>
      <c r="AB9" s="7">
        <f>ROUND(AB8+AA9,2)</f>
        <v>-294798.59</v>
      </c>
      <c r="AC9" s="7">
        <f>ROUND(X9-J9-SUM(M9:P9)-S9-T9-ROUND(Q9*'Premissas'!$B$18,2)-V9,2)</f>
        <v>-17523.02</v>
      </c>
      <c r="AD9" s="7">
        <f>ROUND(SUM($K$5:K9)-SUM($L$5:L9)+SUM($Q$5:Q9)-SUM($R$5:R9),2)</f>
        <v>46210.22</v>
      </c>
      <c r="AE9" s="7">
        <f>MAX(0,AB9)*'Premissas'!$B$28</f>
        <v>0.0</v>
      </c>
      <c r="AF9" s="9">
        <f>IF(AB9&gt;=0,A9,999)</f>
        <v>999</v>
      </c>
      <c r="AG9" s="9">
        <f>IF(AE9&gt;=Resumo!$E$9,A9,999)</f>
        <v>999</v>
      </c>
      <c r="AH9" s="7">
        <f>AB9+Capital!$A$5</f>
        <v>-194798.59000000003</v>
      </c>
      <c r="AI9" s="7">
        <f>AB9+Capital!$A$6</f>
        <v>-144798.59000000003</v>
      </c>
      <c r="AJ9" s="7">
        <f>AB9+Capital!$A$7</f>
        <v>-94798.59000000003</v>
      </c>
    </row>
    <row r="10" spans="1:36">
      <c r="A10" s="9">
        <v>6</v>
      </c>
      <c r="B10" s="9">
        <f>'Base'!B10</f>
        <v>500</v>
      </c>
      <c r="C10" s="9">
        <f>ROUNDUP(B10/'Premissas'!$B$14,0)</f>
        <v>25000</v>
      </c>
      <c r="D10" s="9">
        <f>'Base'!D10</f>
        <v>0</v>
      </c>
      <c r="E10" s="9">
        <f>D10*'Premissas'!$B$16</f>
        <v>0</v>
      </c>
      <c r="F10" s="7">
        <f>ROUND(B10*'Premissas'!$B$5,2)</f>
        <v>14500</v>
      </c>
      <c r="G10" s="7">
        <f>ROUND(F10*'Premissas'!$B$30,2)</f>
        <v>65250</v>
      </c>
      <c r="H10" s="7">
        <f>ROUND(G10*'Premissas'!$B$7,2)</f>
        <v>5220</v>
      </c>
      <c r="I10" s="7">
        <f>ROUND(G10-H10,2)</f>
        <v>60030</v>
      </c>
      <c r="J10" s="7">
        <f>ROUND(I10*'Premissas'!$B$8+B10*(1-'Premissas'!$B$7)*'Premissas'!$B$9*'Premissas'!$B$30,2)</f>
        <v>8012.97</v>
      </c>
      <c r="K10" s="7">
        <f>ROUND(I10-J10,2)</f>
        <v>52017.03</v>
      </c>
      <c r="L10" s="7">
        <f>IF(A10&gt;'Premissas'!$B$20,INDEX($K$5:$K$28,MAX(1,A10-'Premissas'!$B$20)),0)</f>
        <v>31210.22</v>
      </c>
      <c r="M10" s="7">
        <f>ROUND(I10*'Premissas'!$B$10,2)</f>
        <v>9004.5</v>
      </c>
      <c r="N10" s="7">
        <f>ROUND(I10*'Premissas'!$B$11,2)</f>
        <v>1800.9</v>
      </c>
      <c r="O10" s="7">
        <f>ROUND(B10*'Premissas'!$B$12*'Premissas'!$B$30,2)</f>
        <v>22500</v>
      </c>
      <c r="P10" s="7">
        <f>ROUND(B10*'Premissas'!$B$13*'Premissas'!$B$30,2)</f>
        <v>2250</v>
      </c>
      <c r="Q10" s="7">
        <f>ROUND(D10*'Premissas'!$B$15,2)</f>
        <v>0</v>
      </c>
      <c r="R10" s="7">
        <f>ROUND(Q10*'Premissas'!$B$19+Q9*(1-'Premissas'!$B$19),2)</f>
        <v>15000</v>
      </c>
      <c r="S10" s="7">
        <f>ROUND(E10*'Premissas'!$B$17,2)</f>
        <v>0</v>
      </c>
      <c r="T10" s="7">
        <f>ROUND(Q10*'Premissas'!$B$10,2)</f>
        <v>0</v>
      </c>
      <c r="U10" s="7">
        <f>ROUND(R10*'Premissas'!$B$18,2)</f>
        <v>750</v>
      </c>
      <c r="V10" s="7">
        <f>IF(A10&lt;=12,'Premissas'!$B$24,'Premissas'!$B$25)</f>
        <v>37000</v>
      </c>
      <c r="W10" s="7">
        <f>ROUND(G10+Q10,2)</f>
        <v>65250</v>
      </c>
      <c r="X10" s="7">
        <f>ROUND(I10+Q10,2)</f>
        <v>60030</v>
      </c>
      <c r="Y10" s="7">
        <f>ROUND(L10+R10,2)</f>
        <v>46210.22</v>
      </c>
      <c r="Z10" s="7">
        <f>ROUND(SUM(M10:P10)+SUM(S10:V10),2)</f>
        <v>73305.4</v>
      </c>
      <c r="AA10" s="7">
        <f>ROUND(Y10-Z10,2)</f>
        <v>-27095.18</v>
      </c>
      <c r="AB10" s="7">
        <f>ROUND(AB9+AA10,2)</f>
        <v>-321893.77</v>
      </c>
      <c r="AC10" s="7">
        <f>ROUND(X10-J10-SUM(M10:P10)-S10-T10-ROUND(Q10*'Premissas'!$B$18,2)-V10,2)</f>
        <v>-20538.37</v>
      </c>
      <c r="AD10" s="7">
        <f>ROUND(SUM($K$5:K10)-SUM($L$5:L10)+SUM($Q$5:Q10)-SUM($R$5:R10),2)</f>
        <v>52017.03</v>
      </c>
      <c r="AE10" s="7">
        <f>MAX(0,AB10)*'Premissas'!$B$28</f>
        <v>0.0</v>
      </c>
      <c r="AF10" s="9">
        <f>IF(AB10&gt;=0,A10,999)</f>
        <v>999</v>
      </c>
      <c r="AG10" s="9">
        <f>IF(AE10&gt;=Resumo!$E$9,A10,999)</f>
        <v>999</v>
      </c>
      <c r="AH10" s="7">
        <f>AB10+Capital!$A$5</f>
        <v>-221893.77000000002</v>
      </c>
      <c r="AI10" s="7">
        <f>AB10+Capital!$A$6</f>
        <v>-171893.77000000002</v>
      </c>
      <c r="AJ10" s="7">
        <f>AB10+Capital!$A$7</f>
        <v>-121893.77000000002</v>
      </c>
    </row>
    <row r="11" spans="1:36">
      <c r="A11" s="9">
        <v>7</v>
      </c>
      <c r="B11" s="9">
        <f>'Base'!B11</f>
        <v>750</v>
      </c>
      <c r="C11" s="9">
        <f>ROUNDUP(B11/'Premissas'!$B$14,0)</f>
        <v>37500</v>
      </c>
      <c r="D11" s="9">
        <f>'Base'!D11</f>
        <v>1</v>
      </c>
      <c r="E11" s="9">
        <f>D11*'Premissas'!$B$16</f>
        <v>80</v>
      </c>
      <c r="F11" s="7">
        <f>ROUND(B11*'Premissas'!$B$5,2)</f>
        <v>21750</v>
      </c>
      <c r="G11" s="7">
        <f>ROUND(F11*'Premissas'!$B$30,2)</f>
        <v>97875</v>
      </c>
      <c r="H11" s="7">
        <f>ROUND(G11*'Premissas'!$B$7,2)</f>
        <v>7830</v>
      </c>
      <c r="I11" s="7">
        <f>ROUND(G11-H11,2)</f>
        <v>90045</v>
      </c>
      <c r="J11" s="7">
        <f>ROUND(I11*'Premissas'!$B$8+B11*(1-'Premissas'!$B$7)*'Premissas'!$B$9*'Premissas'!$B$30,2)</f>
        <v>12019.46</v>
      </c>
      <c r="K11" s="7">
        <f>ROUND(I11-J11,2)</f>
        <v>78025.54</v>
      </c>
      <c r="L11" s="7">
        <f>IF(A11&gt;'Premissas'!$B$20,INDEX($K$5:$K$28,MAX(1,A11-'Premissas'!$B$20)),0)</f>
        <v>52017.03</v>
      </c>
      <c r="M11" s="7">
        <f>ROUND(I11*'Premissas'!$B$10,2)</f>
        <v>13506.75</v>
      </c>
      <c r="N11" s="7">
        <f>ROUND(I11*'Premissas'!$B$11,2)</f>
        <v>2701.35</v>
      </c>
      <c r="O11" s="7">
        <f>ROUND(B11*'Premissas'!$B$12*'Premissas'!$B$30,2)</f>
        <v>33750</v>
      </c>
      <c r="P11" s="7">
        <f>ROUND(B11*'Premissas'!$B$13*'Premissas'!$B$30,2)</f>
        <v>3375</v>
      </c>
      <c r="Q11" s="7">
        <f>ROUND(D11*'Premissas'!$B$15,2)</f>
        <v>30000</v>
      </c>
      <c r="R11" s="7">
        <f>ROUND(Q11*'Premissas'!$B$19+Q10*(1-'Premissas'!$B$19),2)</f>
        <v>15000</v>
      </c>
      <c r="S11" s="7">
        <f>ROUND(E11*'Premissas'!$B$17,2)</f>
        <v>14400</v>
      </c>
      <c r="T11" s="7">
        <f>ROUND(Q11*'Premissas'!$B$10,2)</f>
        <v>4500</v>
      </c>
      <c r="U11" s="7">
        <f>ROUND(R11*'Premissas'!$B$18,2)</f>
        <v>750</v>
      </c>
      <c r="V11" s="7">
        <f>IF(A11&lt;=12,'Premissas'!$B$24,'Premissas'!$B$25)</f>
        <v>37000</v>
      </c>
      <c r="W11" s="7">
        <f>ROUND(G11+Q11,2)</f>
        <v>127875</v>
      </c>
      <c r="X11" s="7">
        <f>ROUND(I11+Q11,2)</f>
        <v>120045</v>
      </c>
      <c r="Y11" s="7">
        <f>ROUND(L11+R11,2)</f>
        <v>67017.03</v>
      </c>
      <c r="Z11" s="7">
        <f>ROUND(SUM(M11:P11)+SUM(S11:V11),2)</f>
        <v>109983.1</v>
      </c>
      <c r="AA11" s="7">
        <f>ROUND(Y11-Z11,2)</f>
        <v>-42966.07</v>
      </c>
      <c r="AB11" s="7">
        <f>ROUND(AB10+AA11,2)</f>
        <v>-364859.84</v>
      </c>
      <c r="AC11" s="7">
        <f>ROUND(X11-J11-SUM(M11:P11)-S11-T11-ROUND(Q11*'Premissas'!$B$18,2)-V11,2)</f>
        <v>-2707.56</v>
      </c>
      <c r="AD11" s="7">
        <f>ROUND(SUM($K$5:K11)-SUM($L$5:L11)+SUM($Q$5:Q11)-SUM($R$5:R11),2)</f>
        <v>93025.54</v>
      </c>
      <c r="AE11" s="7">
        <f>MAX(0,AB11)*'Premissas'!$B$28</f>
        <v>0.0</v>
      </c>
      <c r="AF11" s="9">
        <f>IF(AB11&gt;=0,A11,999)</f>
        <v>999</v>
      </c>
      <c r="AG11" s="9">
        <f>IF(AE11&gt;=Resumo!$E$9,A11,999)</f>
        <v>999</v>
      </c>
      <c r="AH11" s="7">
        <f>AB11+Capital!$A$5</f>
        <v>-264859.84</v>
      </c>
      <c r="AI11" s="7">
        <f>AB11+Capital!$A$6</f>
        <v>-214859.84000000003</v>
      </c>
      <c r="AJ11" s="7">
        <f>AB11+Capital!$A$7</f>
        <v>-164859.84000000003</v>
      </c>
    </row>
    <row r="12" spans="1:36">
      <c r="A12" s="9">
        <v>8</v>
      </c>
      <c r="B12" s="9">
        <f>'Base'!B12</f>
        <v>1000</v>
      </c>
      <c r="C12" s="9">
        <f>ROUNDUP(B12/'Premissas'!$B$14,0)</f>
        <v>50000</v>
      </c>
      <c r="D12" s="9">
        <f>'Base'!D12</f>
        <v>1</v>
      </c>
      <c r="E12" s="9">
        <f>D12*'Premissas'!$B$16</f>
        <v>80</v>
      </c>
      <c r="F12" s="7">
        <f>ROUND(B12*'Premissas'!$B$5,2)</f>
        <v>29000</v>
      </c>
      <c r="G12" s="7">
        <f>ROUND(F12*'Premissas'!$B$30,2)</f>
        <v>130500</v>
      </c>
      <c r="H12" s="7">
        <f>ROUND(G12*'Premissas'!$B$7,2)</f>
        <v>10440</v>
      </c>
      <c r="I12" s="7">
        <f>ROUND(G12-H12,2)</f>
        <v>120060</v>
      </c>
      <c r="J12" s="7">
        <f>ROUND(I12*'Premissas'!$B$8+B12*(1-'Premissas'!$B$7)*'Premissas'!$B$9*'Premissas'!$B$30,2)</f>
        <v>16025.94</v>
      </c>
      <c r="K12" s="7">
        <f>ROUND(I12-J12,2)</f>
        <v>104034.06</v>
      </c>
      <c r="L12" s="7">
        <f>IF(A12&gt;'Premissas'!$B$20,INDEX($K$5:$K$28,MAX(1,A12-'Premissas'!$B$20)),0)</f>
        <v>78025.54</v>
      </c>
      <c r="M12" s="7">
        <f>ROUND(I12*'Premissas'!$B$10,2)</f>
        <v>18009</v>
      </c>
      <c r="N12" s="7">
        <f>ROUND(I12*'Premissas'!$B$11,2)</f>
        <v>3601.8</v>
      </c>
      <c r="O12" s="7">
        <f>ROUND(B12*'Premissas'!$B$12*'Premissas'!$B$30,2)</f>
        <v>45000</v>
      </c>
      <c r="P12" s="7">
        <f>ROUND(B12*'Premissas'!$B$13*'Premissas'!$B$30,2)</f>
        <v>4500</v>
      </c>
      <c r="Q12" s="7">
        <f>ROUND(D12*'Premissas'!$B$15,2)</f>
        <v>30000</v>
      </c>
      <c r="R12" s="7">
        <f>ROUND(Q12*'Premissas'!$B$19+Q11*(1-'Premissas'!$B$19),2)</f>
        <v>30000</v>
      </c>
      <c r="S12" s="7">
        <f>ROUND(E12*'Premissas'!$B$17,2)</f>
        <v>14400</v>
      </c>
      <c r="T12" s="7">
        <f>ROUND(Q12*'Premissas'!$B$10,2)</f>
        <v>4500</v>
      </c>
      <c r="U12" s="7">
        <f>ROUND(R12*'Premissas'!$B$18,2)</f>
        <v>1500</v>
      </c>
      <c r="V12" s="7">
        <f>IF(A12&lt;=12,'Premissas'!$B$24,'Premissas'!$B$25)</f>
        <v>37000</v>
      </c>
      <c r="W12" s="7">
        <f>ROUND(G12+Q12,2)</f>
        <v>160500</v>
      </c>
      <c r="X12" s="7">
        <f>ROUND(I12+Q12,2)</f>
        <v>150060</v>
      </c>
      <c r="Y12" s="7">
        <f>ROUND(L12+R12,2)</f>
        <v>108025.54</v>
      </c>
      <c r="Z12" s="7">
        <f>ROUND(SUM(M12:P12)+SUM(S12:V12),2)</f>
        <v>128510.8</v>
      </c>
      <c r="AA12" s="7">
        <f>ROUND(Y12-Z12,2)</f>
        <v>-20485.26</v>
      </c>
      <c r="AB12" s="7">
        <f>ROUND(AB11+AA12,2)</f>
        <v>-385345.1</v>
      </c>
      <c r="AC12" s="7">
        <f>ROUND(X12-J12-SUM(M12:P12)-S12-T12-ROUND(Q12*'Premissas'!$B$18,2)-V12,2)</f>
        <v>5523.26</v>
      </c>
      <c r="AD12" s="7">
        <f>ROUND(SUM($K$5:K12)-SUM($L$5:L12)+SUM($Q$5:Q12)-SUM($R$5:R12),2)</f>
        <v>119034.06</v>
      </c>
      <c r="AE12" s="7">
        <f>MAX(0,AB12)*'Premissas'!$B$28</f>
        <v>0.0</v>
      </c>
      <c r="AF12" s="9">
        <f>IF(AB12&gt;=0,A12,999)</f>
        <v>999</v>
      </c>
      <c r="AG12" s="9">
        <f>IF(AE12&gt;=Resumo!$E$9,A12,999)</f>
        <v>999</v>
      </c>
      <c r="AH12" s="7">
        <f>AB12+Capital!$A$5</f>
        <v>-285345.1</v>
      </c>
      <c r="AI12" s="7">
        <f>AB12+Capital!$A$6</f>
        <v>-235345.09999999998</v>
      </c>
      <c r="AJ12" s="7">
        <f>AB12+Capital!$A$7</f>
        <v>-185345.09999999998</v>
      </c>
    </row>
    <row r="13" spans="1:36">
      <c r="A13" s="9">
        <v>9</v>
      </c>
      <c r="B13" s="9">
        <f>'Base'!B13</f>
        <v>1250</v>
      </c>
      <c r="C13" s="9">
        <f>ROUNDUP(B13/'Premissas'!$B$14,0)</f>
        <v>62500</v>
      </c>
      <c r="D13" s="9">
        <f>'Base'!D13</f>
        <v>1</v>
      </c>
      <c r="E13" s="9">
        <f>D13*'Premissas'!$B$16</f>
        <v>80</v>
      </c>
      <c r="F13" s="7">
        <f>ROUND(B13*'Premissas'!$B$5,2)</f>
        <v>36250</v>
      </c>
      <c r="G13" s="7">
        <f>ROUND(F13*'Premissas'!$B$30,2)</f>
        <v>163125</v>
      </c>
      <c r="H13" s="7">
        <f>ROUND(G13*'Premissas'!$B$7,2)</f>
        <v>13050</v>
      </c>
      <c r="I13" s="7">
        <f>ROUND(G13-H13,2)</f>
        <v>150075</v>
      </c>
      <c r="J13" s="7">
        <f>ROUND(I13*'Premissas'!$B$8+B13*(1-'Premissas'!$B$7)*'Premissas'!$B$9*'Premissas'!$B$30,2)</f>
        <v>20032.43</v>
      </c>
      <c r="K13" s="7">
        <f>ROUND(I13-J13,2)</f>
        <v>130042.57</v>
      </c>
      <c r="L13" s="7">
        <f>IF(A13&gt;'Premissas'!$B$20,INDEX($K$5:$K$28,MAX(1,A13-'Premissas'!$B$20)),0)</f>
        <v>104034.06</v>
      </c>
      <c r="M13" s="7">
        <f>ROUND(I13*'Premissas'!$B$10,2)</f>
        <v>22511.25</v>
      </c>
      <c r="N13" s="7">
        <f>ROUND(I13*'Premissas'!$B$11,2)</f>
        <v>4502.25</v>
      </c>
      <c r="O13" s="7">
        <f>ROUND(B13*'Premissas'!$B$12*'Premissas'!$B$30,2)</f>
        <v>56250</v>
      </c>
      <c r="P13" s="7">
        <f>ROUND(B13*'Premissas'!$B$13*'Premissas'!$B$30,2)</f>
        <v>5625</v>
      </c>
      <c r="Q13" s="7">
        <f>ROUND(D13*'Premissas'!$B$15,2)</f>
        <v>30000</v>
      </c>
      <c r="R13" s="7">
        <f>ROUND(Q13*'Premissas'!$B$19+Q12*(1-'Premissas'!$B$19),2)</f>
        <v>30000</v>
      </c>
      <c r="S13" s="7">
        <f>ROUND(E13*'Premissas'!$B$17,2)</f>
        <v>14400</v>
      </c>
      <c r="T13" s="7">
        <f>ROUND(Q13*'Premissas'!$B$10,2)</f>
        <v>4500</v>
      </c>
      <c r="U13" s="7">
        <f>ROUND(R13*'Premissas'!$B$18,2)</f>
        <v>1500</v>
      </c>
      <c r="V13" s="7">
        <f>IF(A13&lt;=12,'Premissas'!$B$24,'Premissas'!$B$25)</f>
        <v>37000</v>
      </c>
      <c r="W13" s="7">
        <f>ROUND(G13+Q13,2)</f>
        <v>193125</v>
      </c>
      <c r="X13" s="7">
        <f>ROUND(I13+Q13,2)</f>
        <v>180075</v>
      </c>
      <c r="Y13" s="7">
        <f>ROUND(L13+R13,2)</f>
        <v>134034.06</v>
      </c>
      <c r="Z13" s="7">
        <f>ROUND(SUM(M13:P13)+SUM(S13:V13),2)</f>
        <v>146288.5</v>
      </c>
      <c r="AA13" s="7">
        <f>ROUND(Y13-Z13,2)</f>
        <v>-12254.44</v>
      </c>
      <c r="AB13" s="7">
        <f>ROUND(AB12+AA13,2)</f>
        <v>-397599.54</v>
      </c>
      <c r="AC13" s="7">
        <f>ROUND(X13-J13-SUM(M13:P13)-S13-T13-ROUND(Q13*'Premissas'!$B$18,2)-V13,2)</f>
        <v>13754.07</v>
      </c>
      <c r="AD13" s="7">
        <f>ROUND(SUM($K$5:K13)-SUM($L$5:L13)+SUM($Q$5:Q13)-SUM($R$5:R13),2)</f>
        <v>145042.57</v>
      </c>
      <c r="AE13" s="7">
        <f>MAX(0,AB13)*'Premissas'!$B$28</f>
        <v>0.0</v>
      </c>
      <c r="AF13" s="9">
        <f>IF(AB13&gt;=0,A13,999)</f>
        <v>999</v>
      </c>
      <c r="AG13" s="9">
        <f>IF(AE13&gt;=Resumo!$E$9,A13,999)</f>
        <v>999</v>
      </c>
      <c r="AH13" s="7">
        <f>AB13+Capital!$A$5</f>
        <v>-297599.54</v>
      </c>
      <c r="AI13" s="7">
        <f>AB13+Capital!$A$6</f>
        <v>-247599.53999999998</v>
      </c>
      <c r="AJ13" s="7">
        <f>AB13+Capital!$A$7</f>
        <v>-197599.53999999998</v>
      </c>
    </row>
    <row r="14" spans="1:36">
      <c r="A14" s="9">
        <v>10</v>
      </c>
      <c r="B14" s="9">
        <f>'Base'!B14</f>
        <v>1500</v>
      </c>
      <c r="C14" s="9">
        <f>ROUNDUP(B14/'Premissas'!$B$14,0)</f>
        <v>75000</v>
      </c>
      <c r="D14" s="9">
        <f>'Base'!D14</f>
        <v>1</v>
      </c>
      <c r="E14" s="9">
        <f>D14*'Premissas'!$B$16</f>
        <v>80</v>
      </c>
      <c r="F14" s="7">
        <f>ROUND(B14*'Premissas'!$B$5,2)</f>
        <v>43500</v>
      </c>
      <c r="G14" s="7">
        <f>ROUND(F14*'Premissas'!$B$30,2)</f>
        <v>195750</v>
      </c>
      <c r="H14" s="7">
        <f>ROUND(G14*'Premissas'!$B$7,2)</f>
        <v>15660</v>
      </c>
      <c r="I14" s="7">
        <f>ROUND(G14-H14,2)</f>
        <v>180090</v>
      </c>
      <c r="J14" s="7">
        <f>ROUND(I14*'Premissas'!$B$8+B14*(1-'Premissas'!$B$7)*'Premissas'!$B$9*'Premissas'!$B$30,2)</f>
        <v>24038.91</v>
      </c>
      <c r="K14" s="7">
        <f>ROUND(I14-J14,2)</f>
        <v>156051.09</v>
      </c>
      <c r="L14" s="7">
        <f>IF(A14&gt;'Premissas'!$B$20,INDEX($K$5:$K$28,MAX(1,A14-'Premissas'!$B$20)),0)</f>
        <v>130042.57</v>
      </c>
      <c r="M14" s="7">
        <f>ROUND(I14*'Premissas'!$B$10,2)</f>
        <v>27013.5</v>
      </c>
      <c r="N14" s="7">
        <f>ROUND(I14*'Premissas'!$B$11,2)</f>
        <v>5402.7</v>
      </c>
      <c r="O14" s="7">
        <f>ROUND(B14*'Premissas'!$B$12*'Premissas'!$B$30,2)</f>
        <v>67500</v>
      </c>
      <c r="P14" s="7">
        <f>ROUND(B14*'Premissas'!$B$13*'Premissas'!$B$30,2)</f>
        <v>6750</v>
      </c>
      <c r="Q14" s="7">
        <f>ROUND(D14*'Premissas'!$B$15,2)</f>
        <v>30000</v>
      </c>
      <c r="R14" s="7">
        <f>ROUND(Q14*'Premissas'!$B$19+Q13*(1-'Premissas'!$B$19),2)</f>
        <v>30000</v>
      </c>
      <c r="S14" s="7">
        <f>ROUND(E14*'Premissas'!$B$17,2)</f>
        <v>14400</v>
      </c>
      <c r="T14" s="7">
        <f>ROUND(Q14*'Premissas'!$B$10,2)</f>
        <v>4500</v>
      </c>
      <c r="U14" s="7">
        <f>ROUND(R14*'Premissas'!$B$18,2)</f>
        <v>1500</v>
      </c>
      <c r="V14" s="7">
        <f>IF(A14&lt;=12,'Premissas'!$B$24,'Premissas'!$B$25)</f>
        <v>37000</v>
      </c>
      <c r="W14" s="7">
        <f>ROUND(G14+Q14,2)</f>
        <v>225750</v>
      </c>
      <c r="X14" s="7">
        <f>ROUND(I14+Q14,2)</f>
        <v>210090</v>
      </c>
      <c r="Y14" s="7">
        <f>ROUND(L14+R14,2)</f>
        <v>160042.57</v>
      </c>
      <c r="Z14" s="7">
        <f>ROUND(SUM(M14:P14)+SUM(S14:V14),2)</f>
        <v>164066.2</v>
      </c>
      <c r="AA14" s="7">
        <f>ROUND(Y14-Z14,2)</f>
        <v>-4023.63</v>
      </c>
      <c r="AB14" s="7">
        <f>ROUND(AB13+AA14,2)</f>
        <v>-401623.17</v>
      </c>
      <c r="AC14" s="7">
        <f>ROUND(X14-J14-SUM(M14:P14)-S14-T14-ROUND(Q14*'Premissas'!$B$18,2)-V14,2)</f>
        <v>21984.89</v>
      </c>
      <c r="AD14" s="7">
        <f>ROUND(SUM($K$5:K14)-SUM($L$5:L14)+SUM($Q$5:Q14)-SUM($R$5:R14),2)</f>
        <v>171051.09</v>
      </c>
      <c r="AE14" s="7">
        <f>MAX(0,AB14)*'Premissas'!$B$28</f>
        <v>0.0</v>
      </c>
      <c r="AF14" s="9">
        <f>IF(AB14&gt;=0,A14,999)</f>
        <v>999</v>
      </c>
      <c r="AG14" s="9">
        <f>IF(AE14&gt;=Resumo!$E$9,A14,999)</f>
        <v>999</v>
      </c>
      <c r="AH14" s="7">
        <f>AB14+Capital!$A$5</f>
        <v>-301623.17</v>
      </c>
      <c r="AI14" s="7">
        <f>AB14+Capital!$A$6</f>
        <v>-251623.16999999998</v>
      </c>
      <c r="AJ14" s="7">
        <f>AB14+Capital!$A$7</f>
        <v>-201623.16999999998</v>
      </c>
    </row>
    <row r="15" spans="1:36">
      <c r="A15" s="9">
        <v>11</v>
      </c>
      <c r="B15" s="9">
        <f>'Base'!B15</f>
        <v>1750</v>
      </c>
      <c r="C15" s="9">
        <f>ROUNDUP(B15/'Premissas'!$B$14,0)</f>
        <v>87500</v>
      </c>
      <c r="D15" s="9">
        <f>'Base'!D15</f>
        <v>1</v>
      </c>
      <c r="E15" s="9">
        <f>D15*'Premissas'!$B$16</f>
        <v>80</v>
      </c>
      <c r="F15" s="7">
        <f>ROUND(B15*'Premissas'!$B$5,2)</f>
        <v>50750</v>
      </c>
      <c r="G15" s="7">
        <f>ROUND(F15*'Premissas'!$B$30,2)</f>
        <v>228375</v>
      </c>
      <c r="H15" s="7">
        <f>ROUND(G15*'Premissas'!$B$7,2)</f>
        <v>18270</v>
      </c>
      <c r="I15" s="7">
        <f>ROUND(G15-H15,2)</f>
        <v>210105</v>
      </c>
      <c r="J15" s="7">
        <f>ROUND(I15*'Premissas'!$B$8+B15*(1-'Premissas'!$B$7)*'Premissas'!$B$9*'Premissas'!$B$30,2)</f>
        <v>28045.4</v>
      </c>
      <c r="K15" s="7">
        <f>ROUND(I15-J15,2)</f>
        <v>182059.6</v>
      </c>
      <c r="L15" s="7">
        <f>IF(A15&gt;'Premissas'!$B$20,INDEX($K$5:$K$28,MAX(1,A15-'Premissas'!$B$20)),0)</f>
        <v>156051.09</v>
      </c>
      <c r="M15" s="7">
        <f>ROUND(I15*'Premissas'!$B$10,2)</f>
        <v>31515.75</v>
      </c>
      <c r="N15" s="7">
        <f>ROUND(I15*'Premissas'!$B$11,2)</f>
        <v>6303.15</v>
      </c>
      <c r="O15" s="7">
        <f>ROUND(B15*'Premissas'!$B$12*'Premissas'!$B$30,2)</f>
        <v>78750</v>
      </c>
      <c r="P15" s="7">
        <f>ROUND(B15*'Premissas'!$B$13*'Premissas'!$B$30,2)</f>
        <v>7875</v>
      </c>
      <c r="Q15" s="7">
        <f>ROUND(D15*'Premissas'!$B$15,2)</f>
        <v>30000</v>
      </c>
      <c r="R15" s="7">
        <f>ROUND(Q15*'Premissas'!$B$19+Q14*(1-'Premissas'!$B$19),2)</f>
        <v>30000</v>
      </c>
      <c r="S15" s="7">
        <f>ROUND(E15*'Premissas'!$B$17,2)</f>
        <v>14400</v>
      </c>
      <c r="T15" s="7">
        <f>ROUND(Q15*'Premissas'!$B$10,2)</f>
        <v>4500</v>
      </c>
      <c r="U15" s="7">
        <f>ROUND(R15*'Premissas'!$B$18,2)</f>
        <v>1500</v>
      </c>
      <c r="V15" s="7">
        <f>IF(A15&lt;=12,'Premissas'!$B$24,'Premissas'!$B$25)</f>
        <v>37000</v>
      </c>
      <c r="W15" s="7">
        <f>ROUND(G15+Q15,2)</f>
        <v>258375</v>
      </c>
      <c r="X15" s="7">
        <f>ROUND(I15+Q15,2)</f>
        <v>240105</v>
      </c>
      <c r="Y15" s="7">
        <f>ROUND(L15+R15,2)</f>
        <v>186051.09</v>
      </c>
      <c r="Z15" s="7">
        <f>ROUND(SUM(M15:P15)+SUM(S15:V15),2)</f>
        <v>181843.9</v>
      </c>
      <c r="AA15" s="7">
        <f>ROUND(Y15-Z15,2)</f>
        <v>4207.19</v>
      </c>
      <c r="AB15" s="7">
        <f>ROUND(AB14+AA15,2)</f>
        <v>-397415.98</v>
      </c>
      <c r="AC15" s="7">
        <f>ROUND(X15-J15-SUM(M15:P15)-S15-T15-ROUND(Q15*'Premissas'!$B$18,2)-V15,2)</f>
        <v>30215.7</v>
      </c>
      <c r="AD15" s="7">
        <f>ROUND(SUM($K$5:K15)-SUM($L$5:L15)+SUM($Q$5:Q15)-SUM($R$5:R15),2)</f>
        <v>197059.6</v>
      </c>
      <c r="AE15" s="7">
        <f>MAX(0,AB15)*'Premissas'!$B$28</f>
        <v>0.0</v>
      </c>
      <c r="AF15" s="9">
        <f>IF(AB15&gt;=0,A15,999)</f>
        <v>999</v>
      </c>
      <c r="AG15" s="9">
        <f>IF(AE15&gt;=Resumo!$E$9,A15,999)</f>
        <v>999</v>
      </c>
      <c r="AH15" s="7">
        <f>AB15+Capital!$A$5</f>
        <v>-297415.98</v>
      </c>
      <c r="AI15" s="7">
        <f>AB15+Capital!$A$6</f>
        <v>-247415.97999999998</v>
      </c>
      <c r="AJ15" s="7">
        <f>AB15+Capital!$A$7</f>
        <v>-197415.97999999998</v>
      </c>
    </row>
    <row r="16" spans="1:36">
      <c r="A16" s="9">
        <v>12</v>
      </c>
      <c r="B16" s="9">
        <f>'Base'!B16</f>
        <v>2000</v>
      </c>
      <c r="C16" s="9">
        <f>ROUNDUP(B16/'Premissas'!$B$14,0)</f>
        <v>100000</v>
      </c>
      <c r="D16" s="9">
        <f>'Base'!D16</f>
        <v>1</v>
      </c>
      <c r="E16" s="9">
        <f>D16*'Premissas'!$B$16</f>
        <v>80</v>
      </c>
      <c r="F16" s="7">
        <f>ROUND(B16*'Premissas'!$B$5,2)</f>
        <v>58000</v>
      </c>
      <c r="G16" s="7">
        <f>ROUND(F16*'Premissas'!$B$30,2)</f>
        <v>261000</v>
      </c>
      <c r="H16" s="7">
        <f>ROUND(G16*'Premissas'!$B$7,2)</f>
        <v>20880</v>
      </c>
      <c r="I16" s="7">
        <f>ROUND(G16-H16,2)</f>
        <v>240120</v>
      </c>
      <c r="J16" s="7">
        <f>ROUND(I16*'Premissas'!$B$8+B16*(1-'Premissas'!$B$7)*'Premissas'!$B$9*'Premissas'!$B$30,2)</f>
        <v>32051.88</v>
      </c>
      <c r="K16" s="7">
        <f>ROUND(I16-J16,2)</f>
        <v>208068.12</v>
      </c>
      <c r="L16" s="7">
        <f>IF(A16&gt;'Premissas'!$B$20,INDEX($K$5:$K$28,MAX(1,A16-'Premissas'!$B$20)),0)</f>
        <v>182059.6</v>
      </c>
      <c r="M16" s="7">
        <f>ROUND(I16*'Premissas'!$B$10,2)</f>
        <v>36018</v>
      </c>
      <c r="N16" s="7">
        <f>ROUND(I16*'Premissas'!$B$11,2)</f>
        <v>7203.6</v>
      </c>
      <c r="O16" s="7">
        <f>ROUND(B16*'Premissas'!$B$12*'Premissas'!$B$30,2)</f>
        <v>90000</v>
      </c>
      <c r="P16" s="7">
        <f>ROUND(B16*'Premissas'!$B$13*'Premissas'!$B$30,2)</f>
        <v>9000</v>
      </c>
      <c r="Q16" s="7">
        <f>ROUND(D16*'Premissas'!$B$15,2)</f>
        <v>30000</v>
      </c>
      <c r="R16" s="7">
        <f>ROUND(Q16*'Premissas'!$B$19+Q15*(1-'Premissas'!$B$19),2)</f>
        <v>30000</v>
      </c>
      <c r="S16" s="7">
        <f>ROUND(E16*'Premissas'!$B$17,2)</f>
        <v>14400</v>
      </c>
      <c r="T16" s="7">
        <f>ROUND(Q16*'Premissas'!$B$10,2)</f>
        <v>4500</v>
      </c>
      <c r="U16" s="7">
        <f>ROUND(R16*'Premissas'!$B$18,2)</f>
        <v>1500</v>
      </c>
      <c r="V16" s="7">
        <f>IF(A16&lt;=12,'Premissas'!$B$24,'Premissas'!$B$25)</f>
        <v>37000</v>
      </c>
      <c r="W16" s="7">
        <f>ROUND(G16+Q16,2)</f>
        <v>291000</v>
      </c>
      <c r="X16" s="7">
        <f>ROUND(I16+Q16,2)</f>
        <v>270120</v>
      </c>
      <c r="Y16" s="7">
        <f>ROUND(L16+R16,2)</f>
        <v>212059.6</v>
      </c>
      <c r="Z16" s="7">
        <f>ROUND(SUM(M16:P16)+SUM(S16:V16),2)</f>
        <v>199621.6</v>
      </c>
      <c r="AA16" s="7">
        <f>ROUND(Y16-Z16,2)</f>
        <v>12438</v>
      </c>
      <c r="AB16" s="7">
        <f>ROUND(AB15+AA16,2)</f>
        <v>-384977.98</v>
      </c>
      <c r="AC16" s="7">
        <f>ROUND(X16-J16-SUM(M16:P16)-S16-T16-ROUND(Q16*'Premissas'!$B$18,2)-V16,2)</f>
        <v>38446.52</v>
      </c>
      <c r="AD16" s="7">
        <f>ROUND(SUM($K$5:K16)-SUM($L$5:L16)+SUM($Q$5:Q16)-SUM($R$5:R16),2)</f>
        <v>223068.12</v>
      </c>
      <c r="AE16" s="7">
        <f>MAX(0,AB16)*'Premissas'!$B$28</f>
        <v>0.0</v>
      </c>
      <c r="AF16" s="9">
        <f>IF(AB16&gt;=0,A16,999)</f>
        <v>999</v>
      </c>
      <c r="AG16" s="9">
        <f>IF(AE16&gt;=Resumo!$E$9,A16,999)</f>
        <v>999</v>
      </c>
      <c r="AH16" s="7">
        <f>AB16+Capital!$A$5</f>
        <v>-284977.98</v>
      </c>
      <c r="AI16" s="7">
        <f>AB16+Capital!$A$6</f>
        <v>-234977.97999999998</v>
      </c>
      <c r="AJ16" s="7">
        <f>AB16+Capital!$A$7</f>
        <v>-184977.97999999998</v>
      </c>
    </row>
    <row r="17" spans="1:36">
      <c r="A17" s="9">
        <v>13</v>
      </c>
      <c r="B17" s="9">
        <f>'Base'!B17</f>
        <v>2200</v>
      </c>
      <c r="C17" s="9">
        <f>ROUNDUP(B17/'Premissas'!$B$14,0)</f>
        <v>110000</v>
      </c>
      <c r="D17" s="9">
        <f>'Base'!D17</f>
        <v>2</v>
      </c>
      <c r="E17" s="9">
        <f>D17*'Premissas'!$B$16</f>
        <v>160</v>
      </c>
      <c r="F17" s="7">
        <f>ROUND(B17*'Premissas'!$B$5,2)</f>
        <v>63800</v>
      </c>
      <c r="G17" s="7">
        <f>ROUND(F17*'Premissas'!$B$30,2)</f>
        <v>287100</v>
      </c>
      <c r="H17" s="7">
        <f>ROUND(G17*'Premissas'!$B$7,2)</f>
        <v>22968</v>
      </c>
      <c r="I17" s="7">
        <f>ROUND(G17-H17,2)</f>
        <v>264132</v>
      </c>
      <c r="J17" s="7">
        <f>ROUND(I17*'Premissas'!$B$8+B17*(1-'Premissas'!$B$7)*'Premissas'!$B$9*'Premissas'!$B$30,2)</f>
        <v>35257.07</v>
      </c>
      <c r="K17" s="7">
        <f>ROUND(I17-J17,2)</f>
        <v>228874.93</v>
      </c>
      <c r="L17" s="7">
        <f>IF(A17&gt;'Premissas'!$B$20,INDEX($K$5:$K$28,MAX(1,A17-'Premissas'!$B$20)),0)</f>
        <v>208068.12</v>
      </c>
      <c r="M17" s="7">
        <f>ROUND(I17*'Premissas'!$B$10,2)</f>
        <v>39619.8</v>
      </c>
      <c r="N17" s="7">
        <f>ROUND(I17*'Premissas'!$B$11,2)</f>
        <v>7923.96</v>
      </c>
      <c r="O17" s="7">
        <f>ROUND(B17*'Premissas'!$B$12*'Premissas'!$B$30,2)</f>
        <v>99000</v>
      </c>
      <c r="P17" s="7">
        <f>ROUND(B17*'Premissas'!$B$13*'Premissas'!$B$30,2)</f>
        <v>9900</v>
      </c>
      <c r="Q17" s="7">
        <f>ROUND(D17*'Premissas'!$B$15,2)</f>
        <v>60000</v>
      </c>
      <c r="R17" s="7">
        <f>ROUND(Q17*'Premissas'!$B$19+Q16*(1-'Premissas'!$B$19),2)</f>
        <v>45000</v>
      </c>
      <c r="S17" s="7">
        <f>ROUND(E17*'Premissas'!$B$17,2)</f>
        <v>28800</v>
      </c>
      <c r="T17" s="7">
        <f>ROUND(Q17*'Premissas'!$B$10,2)</f>
        <v>9000</v>
      </c>
      <c r="U17" s="7">
        <f>ROUND(R17*'Premissas'!$B$18,2)</f>
        <v>2250</v>
      </c>
      <c r="V17" s="7">
        <f>IF(A17&lt;=12,'Premissas'!$B$24,'Premissas'!$B$25)</f>
        <v>42000</v>
      </c>
      <c r="W17" s="7">
        <f>ROUND(G17+Q17,2)</f>
        <v>347100</v>
      </c>
      <c r="X17" s="7">
        <f>ROUND(I17+Q17,2)</f>
        <v>324132</v>
      </c>
      <c r="Y17" s="7">
        <f>ROUND(L17+R17,2)</f>
        <v>253068.12</v>
      </c>
      <c r="Z17" s="7">
        <f>ROUND(SUM(M17:P17)+SUM(S17:V17),2)</f>
        <v>238493.76</v>
      </c>
      <c r="AA17" s="7">
        <f>ROUND(Y17-Z17,2)</f>
        <v>14574.36</v>
      </c>
      <c r="AB17" s="7">
        <f>ROUND(AB16+AA17,2)</f>
        <v>-370403.62</v>
      </c>
      <c r="AC17" s="7">
        <f>ROUND(X17-J17-SUM(M17:P17)-S17-T17-ROUND(Q17*'Premissas'!$B$18,2)-V17,2)</f>
        <v>49631.17</v>
      </c>
      <c r="AD17" s="7">
        <f>ROUND(SUM($K$5:K17)-SUM($L$5:L17)+SUM($Q$5:Q17)-SUM($R$5:R17),2)</f>
        <v>258874.93</v>
      </c>
      <c r="AE17" s="7">
        <f>MAX(0,AB17)*'Premissas'!$B$28</f>
        <v>0.0</v>
      </c>
      <c r="AF17" s="9">
        <f>IF(AB17&gt;=0,A17,999)</f>
        <v>999</v>
      </c>
      <c r="AG17" s="9">
        <f>IF(AE17&gt;=Resumo!$E$9,A17,999)</f>
        <v>999</v>
      </c>
      <c r="AH17" s="7">
        <f>AB17+Capital!$A$5</f>
        <v>-270403.62</v>
      </c>
      <c r="AI17" s="7">
        <f>AB17+Capital!$A$6</f>
        <v>-220403.62</v>
      </c>
      <c r="AJ17" s="7">
        <f>AB17+Capital!$A$7</f>
        <v>-170403.62</v>
      </c>
    </row>
    <row r="18" spans="1:36">
      <c r="A18" s="9">
        <v>14</v>
      </c>
      <c r="B18" s="9">
        <f>'Base'!B18</f>
        <v>2400</v>
      </c>
      <c r="C18" s="9">
        <f>ROUNDUP(B18/'Premissas'!$B$14,0)</f>
        <v>120000</v>
      </c>
      <c r="D18" s="9">
        <f>'Base'!D18</f>
        <v>2</v>
      </c>
      <c r="E18" s="9">
        <f>D18*'Premissas'!$B$16</f>
        <v>160</v>
      </c>
      <c r="F18" s="7">
        <f>ROUND(B18*'Premissas'!$B$5,2)</f>
        <v>69600</v>
      </c>
      <c r="G18" s="7">
        <f>ROUND(F18*'Premissas'!$B$30,2)</f>
        <v>313200</v>
      </c>
      <c r="H18" s="7">
        <f>ROUND(G18*'Premissas'!$B$7,2)</f>
        <v>25056</v>
      </c>
      <c r="I18" s="7">
        <f>ROUND(G18-H18,2)</f>
        <v>288144</v>
      </c>
      <c r="J18" s="7">
        <f>ROUND(I18*'Premissas'!$B$8+B18*(1-'Premissas'!$B$7)*'Premissas'!$B$9*'Premissas'!$B$30,2)</f>
        <v>38462.26</v>
      </c>
      <c r="K18" s="7">
        <f>ROUND(I18-J18,2)</f>
        <v>249681.74</v>
      </c>
      <c r="L18" s="7">
        <f>IF(A18&gt;'Premissas'!$B$20,INDEX($K$5:$K$28,MAX(1,A18-'Premissas'!$B$20)),0)</f>
        <v>228874.93</v>
      </c>
      <c r="M18" s="7">
        <f>ROUND(I18*'Premissas'!$B$10,2)</f>
        <v>43221.6</v>
      </c>
      <c r="N18" s="7">
        <f>ROUND(I18*'Premissas'!$B$11,2)</f>
        <v>8644.32</v>
      </c>
      <c r="O18" s="7">
        <f>ROUND(B18*'Premissas'!$B$12*'Premissas'!$B$30,2)</f>
        <v>108000</v>
      </c>
      <c r="P18" s="7">
        <f>ROUND(B18*'Premissas'!$B$13*'Premissas'!$B$30,2)</f>
        <v>10800</v>
      </c>
      <c r="Q18" s="7">
        <f>ROUND(D18*'Premissas'!$B$15,2)</f>
        <v>60000</v>
      </c>
      <c r="R18" s="7">
        <f>ROUND(Q18*'Premissas'!$B$19+Q17*(1-'Premissas'!$B$19),2)</f>
        <v>60000</v>
      </c>
      <c r="S18" s="7">
        <f>ROUND(E18*'Premissas'!$B$17,2)</f>
        <v>28800</v>
      </c>
      <c r="T18" s="7">
        <f>ROUND(Q18*'Premissas'!$B$10,2)</f>
        <v>9000</v>
      </c>
      <c r="U18" s="7">
        <f>ROUND(R18*'Premissas'!$B$18,2)</f>
        <v>3000</v>
      </c>
      <c r="V18" s="7">
        <f>IF(A18&lt;=12,'Premissas'!$B$24,'Premissas'!$B$25)</f>
        <v>42000</v>
      </c>
      <c r="W18" s="7">
        <f>ROUND(G18+Q18,2)</f>
        <v>373200</v>
      </c>
      <c r="X18" s="7">
        <f>ROUND(I18+Q18,2)</f>
        <v>348144</v>
      </c>
      <c r="Y18" s="7">
        <f>ROUND(L18+R18,2)</f>
        <v>288874.93</v>
      </c>
      <c r="Z18" s="7">
        <f>ROUND(SUM(M18:P18)+SUM(S18:V18),2)</f>
        <v>253465.92</v>
      </c>
      <c r="AA18" s="7">
        <f>ROUND(Y18-Z18,2)</f>
        <v>35409.01</v>
      </c>
      <c r="AB18" s="7">
        <f>ROUND(AB17+AA18,2)</f>
        <v>-334994.61</v>
      </c>
      <c r="AC18" s="7">
        <f>ROUND(X18-J18-SUM(M18:P18)-S18-T18-ROUND(Q18*'Premissas'!$B$18,2)-V18,2)</f>
        <v>56215.82</v>
      </c>
      <c r="AD18" s="7">
        <f>ROUND(SUM($K$5:K18)-SUM($L$5:L18)+SUM($Q$5:Q18)-SUM($R$5:R18),2)</f>
        <v>279681.74</v>
      </c>
      <c r="AE18" s="7">
        <f>MAX(0,AB18)*'Premissas'!$B$28</f>
        <v>0.0</v>
      </c>
      <c r="AF18" s="9">
        <f>IF(AB18&gt;=0,A18,999)</f>
        <v>999</v>
      </c>
      <c r="AG18" s="9">
        <f>IF(AE18&gt;=Resumo!$E$9,A18,999)</f>
        <v>999</v>
      </c>
      <c r="AH18" s="7">
        <f>AB18+Capital!$A$5</f>
        <v>-234994.61</v>
      </c>
      <c r="AI18" s="7">
        <f>AB18+Capital!$A$6</f>
        <v>-184994.61</v>
      </c>
      <c r="AJ18" s="7">
        <f>AB18+Capital!$A$7</f>
        <v>-134994.61</v>
      </c>
    </row>
    <row r="19" spans="1:36">
      <c r="A19" s="9">
        <v>15</v>
      </c>
      <c r="B19" s="9">
        <f>'Base'!B19</f>
        <v>2600</v>
      </c>
      <c r="C19" s="9">
        <f>ROUNDUP(B19/'Premissas'!$B$14,0)</f>
        <v>130000</v>
      </c>
      <c r="D19" s="9">
        <f>'Base'!D19</f>
        <v>2</v>
      </c>
      <c r="E19" s="9">
        <f>D19*'Premissas'!$B$16</f>
        <v>160</v>
      </c>
      <c r="F19" s="7">
        <f>ROUND(B19*'Premissas'!$B$5,2)</f>
        <v>75400</v>
      </c>
      <c r="G19" s="7">
        <f>ROUND(F19*'Premissas'!$B$30,2)</f>
        <v>339300</v>
      </c>
      <c r="H19" s="7">
        <f>ROUND(G19*'Premissas'!$B$7,2)</f>
        <v>27144</v>
      </c>
      <c r="I19" s="7">
        <f>ROUND(G19-H19,2)</f>
        <v>312156</v>
      </c>
      <c r="J19" s="7">
        <f>ROUND(I19*'Premissas'!$B$8+B19*(1-'Premissas'!$B$7)*'Premissas'!$B$9*'Premissas'!$B$30,2)</f>
        <v>41667.44</v>
      </c>
      <c r="K19" s="7">
        <f>ROUND(I19-J19,2)</f>
        <v>270488.56</v>
      </c>
      <c r="L19" s="7">
        <f>IF(A19&gt;'Premissas'!$B$20,INDEX($K$5:$K$28,MAX(1,A19-'Premissas'!$B$20)),0)</f>
        <v>249681.74</v>
      </c>
      <c r="M19" s="7">
        <f>ROUND(I19*'Premissas'!$B$10,2)</f>
        <v>46823.4</v>
      </c>
      <c r="N19" s="7">
        <f>ROUND(I19*'Premissas'!$B$11,2)</f>
        <v>9364.68</v>
      </c>
      <c r="O19" s="7">
        <f>ROUND(B19*'Premissas'!$B$12*'Premissas'!$B$30,2)</f>
        <v>117000</v>
      </c>
      <c r="P19" s="7">
        <f>ROUND(B19*'Premissas'!$B$13*'Premissas'!$B$30,2)</f>
        <v>11700</v>
      </c>
      <c r="Q19" s="7">
        <f>ROUND(D19*'Premissas'!$B$15,2)</f>
        <v>60000</v>
      </c>
      <c r="R19" s="7">
        <f>ROUND(Q19*'Premissas'!$B$19+Q18*(1-'Premissas'!$B$19),2)</f>
        <v>60000</v>
      </c>
      <c r="S19" s="7">
        <f>ROUND(E19*'Premissas'!$B$17,2)</f>
        <v>28800</v>
      </c>
      <c r="T19" s="7">
        <f>ROUND(Q19*'Premissas'!$B$10,2)</f>
        <v>9000</v>
      </c>
      <c r="U19" s="7">
        <f>ROUND(R19*'Premissas'!$B$18,2)</f>
        <v>3000</v>
      </c>
      <c r="V19" s="7">
        <f>IF(A19&lt;=12,'Premissas'!$B$24,'Premissas'!$B$25)</f>
        <v>42000</v>
      </c>
      <c r="W19" s="7">
        <f>ROUND(G19+Q19,2)</f>
        <v>399300</v>
      </c>
      <c r="X19" s="7">
        <f>ROUND(I19+Q19,2)</f>
        <v>372156</v>
      </c>
      <c r="Y19" s="7">
        <f>ROUND(L19+R19,2)</f>
        <v>309681.74</v>
      </c>
      <c r="Z19" s="7">
        <f>ROUND(SUM(M19:P19)+SUM(S19:V19),2)</f>
        <v>267688.08</v>
      </c>
      <c r="AA19" s="7">
        <f>ROUND(Y19-Z19,2)</f>
        <v>41993.66</v>
      </c>
      <c r="AB19" s="7">
        <f>ROUND(AB18+AA19,2)</f>
        <v>-293000.95</v>
      </c>
      <c r="AC19" s="7">
        <f>ROUND(X19-J19-SUM(M19:P19)-S19-T19-ROUND(Q19*'Premissas'!$B$18,2)-V19,2)</f>
        <v>62800.48</v>
      </c>
      <c r="AD19" s="7">
        <f>ROUND(SUM($K$5:K19)-SUM($L$5:L19)+SUM($Q$5:Q19)-SUM($R$5:R19),2)</f>
        <v>300488.56</v>
      </c>
      <c r="AE19" s="7">
        <f>MAX(0,AB19)*'Premissas'!$B$28</f>
        <v>0.0</v>
      </c>
      <c r="AF19" s="9">
        <f>IF(AB19&gt;=0,A19,999)</f>
        <v>999</v>
      </c>
      <c r="AG19" s="9">
        <f>IF(AE19&gt;=Resumo!$E$9,A19,999)</f>
        <v>999</v>
      </c>
      <c r="AH19" s="7">
        <f>AB19+Capital!$A$5</f>
        <v>-193000.95</v>
      </c>
      <c r="AI19" s="7">
        <f>AB19+Capital!$A$6</f>
        <v>-143000.95</v>
      </c>
      <c r="AJ19" s="7">
        <f>AB19+Capital!$A$7</f>
        <v>-93000.95000000001</v>
      </c>
    </row>
    <row r="20" spans="1:36">
      <c r="A20" s="9">
        <v>16</v>
      </c>
      <c r="B20" s="9">
        <f>'Base'!B20</f>
        <v>2800</v>
      </c>
      <c r="C20" s="9">
        <f>ROUNDUP(B20/'Premissas'!$B$14,0)</f>
        <v>140000</v>
      </c>
      <c r="D20" s="9">
        <f>'Base'!D20</f>
        <v>2</v>
      </c>
      <c r="E20" s="9">
        <f>D20*'Premissas'!$B$16</f>
        <v>160</v>
      </c>
      <c r="F20" s="7">
        <f>ROUND(B20*'Premissas'!$B$5,2)</f>
        <v>81200</v>
      </c>
      <c r="G20" s="7">
        <f>ROUND(F20*'Premissas'!$B$30,2)</f>
        <v>365400</v>
      </c>
      <c r="H20" s="7">
        <f>ROUND(G20*'Premissas'!$B$7,2)</f>
        <v>29232</v>
      </c>
      <c r="I20" s="7">
        <f>ROUND(G20-H20,2)</f>
        <v>336168</v>
      </c>
      <c r="J20" s="7">
        <f>ROUND(I20*'Premissas'!$B$8+B20*(1-'Premissas'!$B$7)*'Premissas'!$B$9*'Premissas'!$B$30,2)</f>
        <v>44872.63</v>
      </c>
      <c r="K20" s="7">
        <f>ROUND(I20-J20,2)</f>
        <v>291295.37</v>
      </c>
      <c r="L20" s="7">
        <f>IF(A20&gt;'Premissas'!$B$20,INDEX($K$5:$K$28,MAX(1,A20-'Premissas'!$B$20)),0)</f>
        <v>270488.56</v>
      </c>
      <c r="M20" s="7">
        <f>ROUND(I20*'Premissas'!$B$10,2)</f>
        <v>50425.2</v>
      </c>
      <c r="N20" s="7">
        <f>ROUND(I20*'Premissas'!$B$11,2)</f>
        <v>10085.04</v>
      </c>
      <c r="O20" s="7">
        <f>ROUND(B20*'Premissas'!$B$12*'Premissas'!$B$30,2)</f>
        <v>126000</v>
      </c>
      <c r="P20" s="7">
        <f>ROUND(B20*'Premissas'!$B$13*'Premissas'!$B$30,2)</f>
        <v>12600</v>
      </c>
      <c r="Q20" s="7">
        <f>ROUND(D20*'Premissas'!$B$15,2)</f>
        <v>60000</v>
      </c>
      <c r="R20" s="7">
        <f>ROUND(Q20*'Premissas'!$B$19+Q19*(1-'Premissas'!$B$19),2)</f>
        <v>60000</v>
      </c>
      <c r="S20" s="7">
        <f>ROUND(E20*'Premissas'!$B$17,2)</f>
        <v>28800</v>
      </c>
      <c r="T20" s="7">
        <f>ROUND(Q20*'Premissas'!$B$10,2)</f>
        <v>9000</v>
      </c>
      <c r="U20" s="7">
        <f>ROUND(R20*'Premissas'!$B$18,2)</f>
        <v>3000</v>
      </c>
      <c r="V20" s="7">
        <f>IF(A20&lt;=12,'Premissas'!$B$24,'Premissas'!$B$25)</f>
        <v>42000</v>
      </c>
      <c r="W20" s="7">
        <f>ROUND(G20+Q20,2)</f>
        <v>425400</v>
      </c>
      <c r="X20" s="7">
        <f>ROUND(I20+Q20,2)</f>
        <v>396168</v>
      </c>
      <c r="Y20" s="7">
        <f>ROUND(L20+R20,2)</f>
        <v>330488.56</v>
      </c>
      <c r="Z20" s="7">
        <f>ROUND(SUM(M20:P20)+SUM(S20:V20),2)</f>
        <v>281910.24</v>
      </c>
      <c r="AA20" s="7">
        <f>ROUND(Y20-Z20,2)</f>
        <v>48578.32</v>
      </c>
      <c r="AB20" s="7">
        <f>ROUND(AB19+AA20,2)</f>
        <v>-244422.63</v>
      </c>
      <c r="AC20" s="7">
        <f>ROUND(X20-J20-SUM(M20:P20)-S20-T20-ROUND(Q20*'Premissas'!$B$18,2)-V20,2)</f>
        <v>69385.13</v>
      </c>
      <c r="AD20" s="7">
        <f>ROUND(SUM($K$5:K20)-SUM($L$5:L20)+SUM($Q$5:Q20)-SUM($R$5:R20),2)</f>
        <v>321295.37</v>
      </c>
      <c r="AE20" s="7">
        <f>MAX(0,AB20)*'Premissas'!$B$28</f>
        <v>0.0</v>
      </c>
      <c r="AF20" s="9">
        <f>IF(AB20&gt;=0,A20,999)</f>
        <v>999</v>
      </c>
      <c r="AG20" s="9">
        <f>IF(AE20&gt;=Resumo!$E$9,A20,999)</f>
        <v>999</v>
      </c>
      <c r="AH20" s="7">
        <f>AB20+Capital!$A$5</f>
        <v>-144422.63</v>
      </c>
      <c r="AI20" s="7">
        <f>AB20+Capital!$A$6</f>
        <v>-94422.63</v>
      </c>
      <c r="AJ20" s="7">
        <f>AB20+Capital!$A$7</f>
        <v>-44422.630000000005</v>
      </c>
    </row>
    <row r="21" spans="1:36">
      <c r="A21" s="9">
        <v>17</v>
      </c>
      <c r="B21" s="9">
        <f>'Base'!B21</f>
        <v>3000</v>
      </c>
      <c r="C21" s="9">
        <f>ROUNDUP(B21/'Premissas'!$B$14,0)</f>
        <v>150000</v>
      </c>
      <c r="D21" s="9">
        <f>'Base'!D21</f>
        <v>2</v>
      </c>
      <c r="E21" s="9">
        <f>D21*'Premissas'!$B$16</f>
        <v>160</v>
      </c>
      <c r="F21" s="7">
        <f>ROUND(B21*'Premissas'!$B$5,2)</f>
        <v>87000</v>
      </c>
      <c r="G21" s="7">
        <f>ROUND(F21*'Premissas'!$B$30,2)</f>
        <v>391500</v>
      </c>
      <c r="H21" s="7">
        <f>ROUND(G21*'Premissas'!$B$7,2)</f>
        <v>31320</v>
      </c>
      <c r="I21" s="7">
        <f>ROUND(G21-H21,2)</f>
        <v>360180</v>
      </c>
      <c r="J21" s="7">
        <f>ROUND(I21*'Premissas'!$B$8+B21*(1-'Premissas'!$B$7)*'Premissas'!$B$9*'Premissas'!$B$30,2)</f>
        <v>48077.82</v>
      </c>
      <c r="K21" s="7">
        <f>ROUND(I21-J21,2)</f>
        <v>312102.18</v>
      </c>
      <c r="L21" s="7">
        <f>IF(A21&gt;'Premissas'!$B$20,INDEX($K$5:$K$28,MAX(1,A21-'Premissas'!$B$20)),0)</f>
        <v>291295.37</v>
      </c>
      <c r="M21" s="7">
        <f>ROUND(I21*'Premissas'!$B$10,2)</f>
        <v>54027</v>
      </c>
      <c r="N21" s="7">
        <f>ROUND(I21*'Premissas'!$B$11,2)</f>
        <v>10805.4</v>
      </c>
      <c r="O21" s="7">
        <f>ROUND(B21*'Premissas'!$B$12*'Premissas'!$B$30,2)</f>
        <v>135000</v>
      </c>
      <c r="P21" s="7">
        <f>ROUND(B21*'Premissas'!$B$13*'Premissas'!$B$30,2)</f>
        <v>13500</v>
      </c>
      <c r="Q21" s="7">
        <f>ROUND(D21*'Premissas'!$B$15,2)</f>
        <v>60000</v>
      </c>
      <c r="R21" s="7">
        <f>ROUND(Q21*'Premissas'!$B$19+Q20*(1-'Premissas'!$B$19),2)</f>
        <v>60000</v>
      </c>
      <c r="S21" s="7">
        <f>ROUND(E21*'Premissas'!$B$17,2)</f>
        <v>28800</v>
      </c>
      <c r="T21" s="7">
        <f>ROUND(Q21*'Premissas'!$B$10,2)</f>
        <v>9000</v>
      </c>
      <c r="U21" s="7">
        <f>ROUND(R21*'Premissas'!$B$18,2)</f>
        <v>3000</v>
      </c>
      <c r="V21" s="7">
        <f>IF(A21&lt;=12,'Premissas'!$B$24,'Premissas'!$B$25)</f>
        <v>42000</v>
      </c>
      <c r="W21" s="7">
        <f>ROUND(G21+Q21,2)</f>
        <v>451500</v>
      </c>
      <c r="X21" s="7">
        <f>ROUND(I21+Q21,2)</f>
        <v>420180</v>
      </c>
      <c r="Y21" s="7">
        <f>ROUND(L21+R21,2)</f>
        <v>351295.37</v>
      </c>
      <c r="Z21" s="7">
        <f>ROUND(SUM(M21:P21)+SUM(S21:V21),2)</f>
        <v>296132.4</v>
      </c>
      <c r="AA21" s="7">
        <f>ROUND(Y21-Z21,2)</f>
        <v>55162.97</v>
      </c>
      <c r="AB21" s="7">
        <f>ROUND(AB20+AA21,2)</f>
        <v>-189259.66</v>
      </c>
      <c r="AC21" s="7">
        <f>ROUND(X21-J21-SUM(M21:P21)-S21-T21-ROUND(Q21*'Premissas'!$B$18,2)-V21,2)</f>
        <v>75969.78</v>
      </c>
      <c r="AD21" s="7">
        <f>ROUND(SUM($K$5:K21)-SUM($L$5:L21)+SUM($Q$5:Q21)-SUM($R$5:R21),2)</f>
        <v>342102.18</v>
      </c>
      <c r="AE21" s="7">
        <f>MAX(0,AB21)*'Premissas'!$B$28</f>
        <v>0.0</v>
      </c>
      <c r="AF21" s="9">
        <f>IF(AB21&gt;=0,A21,999)</f>
        <v>999</v>
      </c>
      <c r="AG21" s="9">
        <f>IF(AE21&gt;=Resumo!$E$9,A21,999)</f>
        <v>999</v>
      </c>
      <c r="AH21" s="7">
        <f>AB21+Capital!$A$5</f>
        <v>-89259.66</v>
      </c>
      <c r="AI21" s="7">
        <f>AB21+Capital!$A$6</f>
        <v>-39259.66</v>
      </c>
      <c r="AJ21" s="7">
        <f>AB21+Capital!$A$7</f>
        <v>10740.339999999997</v>
      </c>
    </row>
    <row r="22" spans="1:36">
      <c r="A22" s="9">
        <v>18</v>
      </c>
      <c r="B22" s="9">
        <f>'Base'!B22</f>
        <v>3000</v>
      </c>
      <c r="C22" s="9">
        <f>ROUNDUP(B22/'Premissas'!$B$14,0)</f>
        <v>150000</v>
      </c>
      <c r="D22" s="9">
        <f>'Base'!D22</f>
        <v>2</v>
      </c>
      <c r="E22" s="9">
        <f>D22*'Premissas'!$B$16</f>
        <v>160</v>
      </c>
      <c r="F22" s="7">
        <f>ROUND(B22*'Premissas'!$B$5,2)</f>
        <v>87000</v>
      </c>
      <c r="G22" s="7">
        <f>ROUND(F22*'Premissas'!$B$30,2)</f>
        <v>391500</v>
      </c>
      <c r="H22" s="7">
        <f>ROUND(G22*'Premissas'!$B$7,2)</f>
        <v>31320</v>
      </c>
      <c r="I22" s="7">
        <f>ROUND(G22-H22,2)</f>
        <v>360180</v>
      </c>
      <c r="J22" s="7">
        <f>ROUND(I22*'Premissas'!$B$8+B22*(1-'Premissas'!$B$7)*'Premissas'!$B$9*'Premissas'!$B$30,2)</f>
        <v>48077.82</v>
      </c>
      <c r="K22" s="7">
        <f>ROUND(I22-J22,2)</f>
        <v>312102.18</v>
      </c>
      <c r="L22" s="7">
        <f>IF(A22&gt;'Premissas'!$B$20,INDEX($K$5:$K$28,MAX(1,A22-'Premissas'!$B$20)),0)</f>
        <v>312102.18</v>
      </c>
      <c r="M22" s="7">
        <f>ROUND(I22*'Premissas'!$B$10,2)</f>
        <v>54027</v>
      </c>
      <c r="N22" s="7">
        <f>ROUND(I22*'Premissas'!$B$11,2)</f>
        <v>10805.4</v>
      </c>
      <c r="O22" s="7">
        <f>ROUND(B22*'Premissas'!$B$12*'Premissas'!$B$30,2)</f>
        <v>135000</v>
      </c>
      <c r="P22" s="7">
        <f>ROUND(B22*'Premissas'!$B$13*'Premissas'!$B$30,2)</f>
        <v>13500</v>
      </c>
      <c r="Q22" s="7">
        <f>ROUND(D22*'Premissas'!$B$15,2)</f>
        <v>60000</v>
      </c>
      <c r="R22" s="7">
        <f>ROUND(Q22*'Premissas'!$B$19+Q21*(1-'Premissas'!$B$19),2)</f>
        <v>60000</v>
      </c>
      <c r="S22" s="7">
        <f>ROUND(E22*'Premissas'!$B$17,2)</f>
        <v>28800</v>
      </c>
      <c r="T22" s="7">
        <f>ROUND(Q22*'Premissas'!$B$10,2)</f>
        <v>9000</v>
      </c>
      <c r="U22" s="7">
        <f>ROUND(R22*'Premissas'!$B$18,2)</f>
        <v>3000</v>
      </c>
      <c r="V22" s="7">
        <f>IF(A22&lt;=12,'Premissas'!$B$24,'Premissas'!$B$25)</f>
        <v>42000</v>
      </c>
      <c r="W22" s="7">
        <f>ROUND(G22+Q22,2)</f>
        <v>451500</v>
      </c>
      <c r="X22" s="7">
        <f>ROUND(I22+Q22,2)</f>
        <v>420180</v>
      </c>
      <c r="Y22" s="7">
        <f>ROUND(L22+R22,2)</f>
        <v>372102.18</v>
      </c>
      <c r="Z22" s="7">
        <f>ROUND(SUM(M22:P22)+SUM(S22:V22),2)</f>
        <v>296132.4</v>
      </c>
      <c r="AA22" s="7">
        <f>ROUND(Y22-Z22,2)</f>
        <v>75969.78</v>
      </c>
      <c r="AB22" s="7">
        <f>ROUND(AB21+AA22,2)</f>
        <v>-113289.88</v>
      </c>
      <c r="AC22" s="7">
        <f>ROUND(X22-J22-SUM(M22:P22)-S22-T22-ROUND(Q22*'Premissas'!$B$18,2)-V22,2)</f>
        <v>75969.78</v>
      </c>
      <c r="AD22" s="7">
        <f>ROUND(SUM($K$5:K22)-SUM($L$5:L22)+SUM($Q$5:Q22)-SUM($R$5:R22),2)</f>
        <v>342102.18</v>
      </c>
      <c r="AE22" s="7">
        <f>MAX(0,AB22)*'Premissas'!$B$28</f>
        <v>0.0</v>
      </c>
      <c r="AF22" s="9">
        <f>IF(AB22&gt;=0,A22,999)</f>
        <v>999</v>
      </c>
      <c r="AG22" s="9">
        <f>IF(AE22&gt;=Resumo!$E$9,A22,999)</f>
        <v>999</v>
      </c>
      <c r="AH22" s="7">
        <f>AB22+Capital!$A$5</f>
        <v>-13289.880000000005</v>
      </c>
      <c r="AI22" s="7">
        <f>AB22+Capital!$A$6</f>
        <v>36710.119999999995</v>
      </c>
      <c r="AJ22" s="7">
        <f>AB22+Capital!$A$7</f>
        <v>86710.12</v>
      </c>
    </row>
    <row r="23" spans="1:36">
      <c r="A23" s="9">
        <v>19</v>
      </c>
      <c r="B23" s="9">
        <f>'Base'!B23</f>
        <v>3000</v>
      </c>
      <c r="C23" s="9">
        <f>ROUNDUP(B23/'Premissas'!$B$14,0)</f>
        <v>150000</v>
      </c>
      <c r="D23" s="9">
        <f>'Base'!D23</f>
        <v>2</v>
      </c>
      <c r="E23" s="9">
        <f>D23*'Premissas'!$B$16</f>
        <v>160</v>
      </c>
      <c r="F23" s="7">
        <f>ROUND(B23*'Premissas'!$B$5,2)</f>
        <v>87000</v>
      </c>
      <c r="G23" s="7">
        <f>ROUND(F23*'Premissas'!$B$30,2)</f>
        <v>391500</v>
      </c>
      <c r="H23" s="7">
        <f>ROUND(G23*'Premissas'!$B$7,2)</f>
        <v>31320</v>
      </c>
      <c r="I23" s="7">
        <f>ROUND(G23-H23,2)</f>
        <v>360180</v>
      </c>
      <c r="J23" s="7">
        <f>ROUND(I23*'Premissas'!$B$8+B23*(1-'Premissas'!$B$7)*'Premissas'!$B$9*'Premissas'!$B$30,2)</f>
        <v>48077.82</v>
      </c>
      <c r="K23" s="7">
        <f>ROUND(I23-J23,2)</f>
        <v>312102.18</v>
      </c>
      <c r="L23" s="7">
        <f>IF(A23&gt;'Premissas'!$B$20,INDEX($K$5:$K$28,MAX(1,A23-'Premissas'!$B$20)),0)</f>
        <v>312102.18</v>
      </c>
      <c r="M23" s="7">
        <f>ROUND(I23*'Premissas'!$B$10,2)</f>
        <v>54027</v>
      </c>
      <c r="N23" s="7">
        <f>ROUND(I23*'Premissas'!$B$11,2)</f>
        <v>10805.4</v>
      </c>
      <c r="O23" s="7">
        <f>ROUND(B23*'Premissas'!$B$12*'Premissas'!$B$30,2)</f>
        <v>135000</v>
      </c>
      <c r="P23" s="7">
        <f>ROUND(B23*'Premissas'!$B$13*'Premissas'!$B$30,2)</f>
        <v>13500</v>
      </c>
      <c r="Q23" s="7">
        <f>ROUND(D23*'Premissas'!$B$15,2)</f>
        <v>60000</v>
      </c>
      <c r="R23" s="7">
        <f>ROUND(Q23*'Premissas'!$B$19+Q22*(1-'Premissas'!$B$19),2)</f>
        <v>60000</v>
      </c>
      <c r="S23" s="7">
        <f>ROUND(E23*'Premissas'!$B$17,2)</f>
        <v>28800</v>
      </c>
      <c r="T23" s="7">
        <f>ROUND(Q23*'Premissas'!$B$10,2)</f>
        <v>9000</v>
      </c>
      <c r="U23" s="7">
        <f>ROUND(R23*'Premissas'!$B$18,2)</f>
        <v>3000</v>
      </c>
      <c r="V23" s="7">
        <f>IF(A23&lt;=12,'Premissas'!$B$24,'Premissas'!$B$25)</f>
        <v>42000</v>
      </c>
      <c r="W23" s="7">
        <f>ROUND(G23+Q23,2)</f>
        <v>451500</v>
      </c>
      <c r="X23" s="7">
        <f>ROUND(I23+Q23,2)</f>
        <v>420180</v>
      </c>
      <c r="Y23" s="7">
        <f>ROUND(L23+R23,2)</f>
        <v>372102.18</v>
      </c>
      <c r="Z23" s="7">
        <f>ROUND(SUM(M23:P23)+SUM(S23:V23),2)</f>
        <v>296132.4</v>
      </c>
      <c r="AA23" s="7">
        <f>ROUND(Y23-Z23,2)</f>
        <v>75969.78</v>
      </c>
      <c r="AB23" s="7">
        <f>ROUND(AB22+AA23,2)</f>
        <v>-37320.1</v>
      </c>
      <c r="AC23" s="7">
        <f>ROUND(X23-J23-SUM(M23:P23)-S23-T23-ROUND(Q23*'Premissas'!$B$18,2)-V23,2)</f>
        <v>75969.78</v>
      </c>
      <c r="AD23" s="7">
        <f>ROUND(SUM($K$5:K23)-SUM($L$5:L23)+SUM($Q$5:Q23)-SUM($R$5:R23),2)</f>
        <v>342102.18</v>
      </c>
      <c r="AE23" s="7">
        <f>MAX(0,AB23)*'Premissas'!$B$28</f>
        <v>0.0</v>
      </c>
      <c r="AF23" s="9">
        <f>IF(AB23&gt;=0,A23,999)</f>
        <v>999</v>
      </c>
      <c r="AG23" s="9">
        <f>IF(AE23&gt;=Resumo!$E$9,A23,999)</f>
        <v>999</v>
      </c>
      <c r="AH23" s="7">
        <f>AB23+Capital!$A$5</f>
        <v>62679.9</v>
      </c>
      <c r="AI23" s="7">
        <f>AB23+Capital!$A$6</f>
        <v>112679.9</v>
      </c>
      <c r="AJ23" s="7">
        <f>AB23+Capital!$A$7</f>
        <v>162679.9</v>
      </c>
    </row>
    <row r="24" spans="1:36">
      <c r="A24" s="9">
        <v>20</v>
      </c>
      <c r="B24" s="9">
        <f>'Base'!B24</f>
        <v>3000</v>
      </c>
      <c r="C24" s="9">
        <f>ROUNDUP(B24/'Premissas'!$B$14,0)</f>
        <v>150000</v>
      </c>
      <c r="D24" s="9">
        <f>'Base'!D24</f>
        <v>2</v>
      </c>
      <c r="E24" s="9">
        <f>D24*'Premissas'!$B$16</f>
        <v>160</v>
      </c>
      <c r="F24" s="7">
        <f>ROUND(B24*'Premissas'!$B$5,2)</f>
        <v>87000</v>
      </c>
      <c r="G24" s="7">
        <f>ROUND(F24*'Premissas'!$B$30,2)</f>
        <v>391500</v>
      </c>
      <c r="H24" s="7">
        <f>ROUND(G24*'Premissas'!$B$7,2)</f>
        <v>31320</v>
      </c>
      <c r="I24" s="7">
        <f>ROUND(G24-H24,2)</f>
        <v>360180</v>
      </c>
      <c r="J24" s="7">
        <f>ROUND(I24*'Premissas'!$B$8+B24*(1-'Premissas'!$B$7)*'Premissas'!$B$9*'Premissas'!$B$30,2)</f>
        <v>48077.82</v>
      </c>
      <c r="K24" s="7">
        <f>ROUND(I24-J24,2)</f>
        <v>312102.18</v>
      </c>
      <c r="L24" s="7">
        <f>IF(A24&gt;'Premissas'!$B$20,INDEX($K$5:$K$28,MAX(1,A24-'Premissas'!$B$20)),0)</f>
        <v>312102.18</v>
      </c>
      <c r="M24" s="7">
        <f>ROUND(I24*'Premissas'!$B$10,2)</f>
        <v>54027</v>
      </c>
      <c r="N24" s="7">
        <f>ROUND(I24*'Premissas'!$B$11,2)</f>
        <v>10805.4</v>
      </c>
      <c r="O24" s="7">
        <f>ROUND(B24*'Premissas'!$B$12*'Premissas'!$B$30,2)</f>
        <v>135000</v>
      </c>
      <c r="P24" s="7">
        <f>ROUND(B24*'Premissas'!$B$13*'Premissas'!$B$30,2)</f>
        <v>13500</v>
      </c>
      <c r="Q24" s="7">
        <f>ROUND(D24*'Premissas'!$B$15,2)</f>
        <v>60000</v>
      </c>
      <c r="R24" s="7">
        <f>ROUND(Q24*'Premissas'!$B$19+Q23*(1-'Premissas'!$B$19),2)</f>
        <v>60000</v>
      </c>
      <c r="S24" s="7">
        <f>ROUND(E24*'Premissas'!$B$17,2)</f>
        <v>28800</v>
      </c>
      <c r="T24" s="7">
        <f>ROUND(Q24*'Premissas'!$B$10,2)</f>
        <v>9000</v>
      </c>
      <c r="U24" s="7">
        <f>ROUND(R24*'Premissas'!$B$18,2)</f>
        <v>3000</v>
      </c>
      <c r="V24" s="7">
        <f>IF(A24&lt;=12,'Premissas'!$B$24,'Premissas'!$B$25)</f>
        <v>42000</v>
      </c>
      <c r="W24" s="7">
        <f>ROUND(G24+Q24,2)</f>
        <v>451500</v>
      </c>
      <c r="X24" s="7">
        <f>ROUND(I24+Q24,2)</f>
        <v>420180</v>
      </c>
      <c r="Y24" s="7">
        <f>ROUND(L24+R24,2)</f>
        <v>372102.18</v>
      </c>
      <c r="Z24" s="7">
        <f>ROUND(SUM(M24:P24)+SUM(S24:V24),2)</f>
        <v>296132.4</v>
      </c>
      <c r="AA24" s="7">
        <f>ROUND(Y24-Z24,2)</f>
        <v>75969.78</v>
      </c>
      <c r="AB24" s="7">
        <f>ROUND(AB23+AA24,2)</f>
        <v>38649.68</v>
      </c>
      <c r="AC24" s="7">
        <f>ROUND(X24-J24-SUM(M24:P24)-S24-T24-ROUND(Q24*'Premissas'!$B$18,2)-V24,2)</f>
        <v>75969.78</v>
      </c>
      <c r="AD24" s="7">
        <f>ROUND(SUM($K$5:K24)-SUM($L$5:L24)+SUM($Q$5:Q24)-SUM($R$5:R24),2)</f>
        <v>342102.18</v>
      </c>
      <c r="AE24" s="7">
        <f>MAX(0,AB24)*'Premissas'!$B$28</f>
        <v>19324.84</v>
      </c>
      <c r="AF24" s="9">
        <f>IF(AB24&gt;=0,A24,999)</f>
        <v>20</v>
      </c>
      <c r="AG24" s="9">
        <f>IF(AE24&gt;=Resumo!$E$9,A24,999)</f>
        <v>999</v>
      </c>
      <c r="AH24" s="7">
        <f>AB24+Capital!$A$5</f>
        <v>138649.68</v>
      </c>
      <c r="AI24" s="7">
        <f>AB24+Capital!$A$6</f>
        <v>188649.68</v>
      </c>
      <c r="AJ24" s="7">
        <f>AB24+Capital!$A$7</f>
        <v>238649.68</v>
      </c>
    </row>
    <row r="25" spans="1:36">
      <c r="A25" s="9">
        <v>21</v>
      </c>
      <c r="B25" s="9">
        <f>'Base'!B25</f>
        <v>3000</v>
      </c>
      <c r="C25" s="9">
        <f>ROUNDUP(B25/'Premissas'!$B$14,0)</f>
        <v>150000</v>
      </c>
      <c r="D25" s="9">
        <f>'Base'!D25</f>
        <v>2</v>
      </c>
      <c r="E25" s="9">
        <f>D25*'Premissas'!$B$16</f>
        <v>160</v>
      </c>
      <c r="F25" s="7">
        <f>ROUND(B25*'Premissas'!$B$5,2)</f>
        <v>87000</v>
      </c>
      <c r="G25" s="7">
        <f>ROUND(F25*'Premissas'!$B$30,2)</f>
        <v>391500</v>
      </c>
      <c r="H25" s="7">
        <f>ROUND(G25*'Premissas'!$B$7,2)</f>
        <v>31320</v>
      </c>
      <c r="I25" s="7">
        <f>ROUND(G25-H25,2)</f>
        <v>360180</v>
      </c>
      <c r="J25" s="7">
        <f>ROUND(I25*'Premissas'!$B$8+B25*(1-'Premissas'!$B$7)*'Premissas'!$B$9*'Premissas'!$B$30,2)</f>
        <v>48077.82</v>
      </c>
      <c r="K25" s="7">
        <f>ROUND(I25-J25,2)</f>
        <v>312102.18</v>
      </c>
      <c r="L25" s="7">
        <f>IF(A25&gt;'Premissas'!$B$20,INDEX($K$5:$K$28,MAX(1,A25-'Premissas'!$B$20)),0)</f>
        <v>312102.18</v>
      </c>
      <c r="M25" s="7">
        <f>ROUND(I25*'Premissas'!$B$10,2)</f>
        <v>54027</v>
      </c>
      <c r="N25" s="7">
        <f>ROUND(I25*'Premissas'!$B$11,2)</f>
        <v>10805.4</v>
      </c>
      <c r="O25" s="7">
        <f>ROUND(B25*'Premissas'!$B$12*'Premissas'!$B$30,2)</f>
        <v>135000</v>
      </c>
      <c r="P25" s="7">
        <f>ROUND(B25*'Premissas'!$B$13*'Premissas'!$B$30,2)</f>
        <v>13500</v>
      </c>
      <c r="Q25" s="7">
        <f>ROUND(D25*'Premissas'!$B$15,2)</f>
        <v>60000</v>
      </c>
      <c r="R25" s="7">
        <f>ROUND(Q25*'Premissas'!$B$19+Q24*(1-'Premissas'!$B$19),2)</f>
        <v>60000</v>
      </c>
      <c r="S25" s="7">
        <f>ROUND(E25*'Premissas'!$B$17,2)</f>
        <v>28800</v>
      </c>
      <c r="T25" s="7">
        <f>ROUND(Q25*'Premissas'!$B$10,2)</f>
        <v>9000</v>
      </c>
      <c r="U25" s="7">
        <f>ROUND(R25*'Premissas'!$B$18,2)</f>
        <v>3000</v>
      </c>
      <c r="V25" s="7">
        <f>IF(A25&lt;=12,'Premissas'!$B$24,'Premissas'!$B$25)</f>
        <v>42000</v>
      </c>
      <c r="W25" s="7">
        <f>ROUND(G25+Q25,2)</f>
        <v>451500</v>
      </c>
      <c r="X25" s="7">
        <f>ROUND(I25+Q25,2)</f>
        <v>420180</v>
      </c>
      <c r="Y25" s="7">
        <f>ROUND(L25+R25,2)</f>
        <v>372102.18</v>
      </c>
      <c r="Z25" s="7">
        <f>ROUND(SUM(M25:P25)+SUM(S25:V25),2)</f>
        <v>296132.4</v>
      </c>
      <c r="AA25" s="7">
        <f>ROUND(Y25-Z25,2)</f>
        <v>75969.78</v>
      </c>
      <c r="AB25" s="7">
        <f>ROUND(AB24+AA25,2)</f>
        <v>114619.46</v>
      </c>
      <c r="AC25" s="7">
        <f>ROUND(X25-J25-SUM(M25:P25)-S25-T25-ROUND(Q25*'Premissas'!$B$18,2)-V25,2)</f>
        <v>75969.78</v>
      </c>
      <c r="AD25" s="7">
        <f>ROUND(SUM($K$5:K25)-SUM($L$5:L25)+SUM($Q$5:Q25)-SUM($R$5:R25),2)</f>
        <v>342102.18</v>
      </c>
      <c r="AE25" s="7">
        <f>MAX(0,AB25)*'Premissas'!$B$28</f>
        <v>57309.73</v>
      </c>
      <c r="AF25" s="9">
        <f>IF(AB25&gt;=0,A25,999)</f>
        <v>21</v>
      </c>
      <c r="AG25" s="9">
        <f>IF(AE25&gt;=Resumo!$E$9,A25,999)</f>
        <v>999</v>
      </c>
      <c r="AH25" s="7">
        <f>AB25+Capital!$A$5</f>
        <v>214619.46000000002</v>
      </c>
      <c r="AI25" s="7">
        <f>AB25+Capital!$A$6</f>
        <v>264619.46</v>
      </c>
      <c r="AJ25" s="7">
        <f>AB25+Capital!$A$7</f>
        <v>314619.46</v>
      </c>
    </row>
    <row r="26" spans="1:36">
      <c r="A26" s="9">
        <v>22</v>
      </c>
      <c r="B26" s="9">
        <f>'Base'!B26</f>
        <v>3000</v>
      </c>
      <c r="C26" s="9">
        <f>ROUNDUP(B26/'Premissas'!$B$14,0)</f>
        <v>150000</v>
      </c>
      <c r="D26" s="9">
        <f>'Base'!D26</f>
        <v>2</v>
      </c>
      <c r="E26" s="9">
        <f>D26*'Premissas'!$B$16</f>
        <v>160</v>
      </c>
      <c r="F26" s="7">
        <f>ROUND(B26*'Premissas'!$B$5,2)</f>
        <v>87000</v>
      </c>
      <c r="G26" s="7">
        <f>ROUND(F26*'Premissas'!$B$30,2)</f>
        <v>391500</v>
      </c>
      <c r="H26" s="7">
        <f>ROUND(G26*'Premissas'!$B$7,2)</f>
        <v>31320</v>
      </c>
      <c r="I26" s="7">
        <f>ROUND(G26-H26,2)</f>
        <v>360180</v>
      </c>
      <c r="J26" s="7">
        <f>ROUND(I26*'Premissas'!$B$8+B26*(1-'Premissas'!$B$7)*'Premissas'!$B$9*'Premissas'!$B$30,2)</f>
        <v>48077.82</v>
      </c>
      <c r="K26" s="7">
        <f>ROUND(I26-J26,2)</f>
        <v>312102.18</v>
      </c>
      <c r="L26" s="7">
        <f>IF(A26&gt;'Premissas'!$B$20,INDEX($K$5:$K$28,MAX(1,A26-'Premissas'!$B$20)),0)</f>
        <v>312102.18</v>
      </c>
      <c r="M26" s="7">
        <f>ROUND(I26*'Premissas'!$B$10,2)</f>
        <v>54027</v>
      </c>
      <c r="N26" s="7">
        <f>ROUND(I26*'Premissas'!$B$11,2)</f>
        <v>10805.4</v>
      </c>
      <c r="O26" s="7">
        <f>ROUND(B26*'Premissas'!$B$12*'Premissas'!$B$30,2)</f>
        <v>135000</v>
      </c>
      <c r="P26" s="7">
        <f>ROUND(B26*'Premissas'!$B$13*'Premissas'!$B$30,2)</f>
        <v>13500</v>
      </c>
      <c r="Q26" s="7">
        <f>ROUND(D26*'Premissas'!$B$15,2)</f>
        <v>60000</v>
      </c>
      <c r="R26" s="7">
        <f>ROUND(Q26*'Premissas'!$B$19+Q25*(1-'Premissas'!$B$19),2)</f>
        <v>60000</v>
      </c>
      <c r="S26" s="7">
        <f>ROUND(E26*'Premissas'!$B$17,2)</f>
        <v>28800</v>
      </c>
      <c r="T26" s="7">
        <f>ROUND(Q26*'Premissas'!$B$10,2)</f>
        <v>9000</v>
      </c>
      <c r="U26" s="7">
        <f>ROUND(R26*'Premissas'!$B$18,2)</f>
        <v>3000</v>
      </c>
      <c r="V26" s="7">
        <f>IF(A26&lt;=12,'Premissas'!$B$24,'Premissas'!$B$25)</f>
        <v>42000</v>
      </c>
      <c r="W26" s="7">
        <f>ROUND(G26+Q26,2)</f>
        <v>451500</v>
      </c>
      <c r="X26" s="7">
        <f>ROUND(I26+Q26,2)</f>
        <v>420180</v>
      </c>
      <c r="Y26" s="7">
        <f>ROUND(L26+R26,2)</f>
        <v>372102.18</v>
      </c>
      <c r="Z26" s="7">
        <f>ROUND(SUM(M26:P26)+SUM(S26:V26),2)</f>
        <v>296132.4</v>
      </c>
      <c r="AA26" s="7">
        <f>ROUND(Y26-Z26,2)</f>
        <v>75969.78</v>
      </c>
      <c r="AB26" s="7">
        <f>ROUND(AB25+AA26,2)</f>
        <v>190589.24</v>
      </c>
      <c r="AC26" s="7">
        <f>ROUND(X26-J26-SUM(M26:P26)-S26-T26-ROUND(Q26*'Premissas'!$B$18,2)-V26,2)</f>
        <v>75969.78</v>
      </c>
      <c r="AD26" s="7">
        <f>ROUND(SUM($K$5:K26)-SUM($L$5:L26)+SUM($Q$5:Q26)-SUM($R$5:R26),2)</f>
        <v>342102.18</v>
      </c>
      <c r="AE26" s="7">
        <f>MAX(0,AB26)*'Premissas'!$B$28</f>
        <v>95294.62</v>
      </c>
      <c r="AF26" s="9">
        <f>IF(AB26&gt;=0,A26,999)</f>
        <v>22</v>
      </c>
      <c r="AG26" s="9">
        <f>IF(AE26&gt;=Resumo!$E$9,A26,999)</f>
        <v>999</v>
      </c>
      <c r="AH26" s="7">
        <f>AB26+Capital!$A$5</f>
        <v>290589.24</v>
      </c>
      <c r="AI26" s="7">
        <f>AB26+Capital!$A$6</f>
        <v>340589.24</v>
      </c>
      <c r="AJ26" s="7">
        <f>AB26+Capital!$A$7</f>
        <v>390589.24</v>
      </c>
    </row>
    <row r="27" spans="1:36">
      <c r="A27" s="9">
        <v>23</v>
      </c>
      <c r="B27" s="9">
        <f>'Base'!B27</f>
        <v>3000</v>
      </c>
      <c r="C27" s="9">
        <f>ROUNDUP(B27/'Premissas'!$B$14,0)</f>
        <v>150000</v>
      </c>
      <c r="D27" s="9">
        <f>'Base'!D27</f>
        <v>2</v>
      </c>
      <c r="E27" s="9">
        <f>D27*'Premissas'!$B$16</f>
        <v>160</v>
      </c>
      <c r="F27" s="7">
        <f>ROUND(B27*'Premissas'!$B$5,2)</f>
        <v>87000</v>
      </c>
      <c r="G27" s="7">
        <f>ROUND(F27*'Premissas'!$B$30,2)</f>
        <v>391500</v>
      </c>
      <c r="H27" s="7">
        <f>ROUND(G27*'Premissas'!$B$7,2)</f>
        <v>31320</v>
      </c>
      <c r="I27" s="7">
        <f>ROUND(G27-H27,2)</f>
        <v>360180</v>
      </c>
      <c r="J27" s="7">
        <f>ROUND(I27*'Premissas'!$B$8+B27*(1-'Premissas'!$B$7)*'Premissas'!$B$9*'Premissas'!$B$30,2)</f>
        <v>48077.82</v>
      </c>
      <c r="K27" s="7">
        <f>ROUND(I27-J27,2)</f>
        <v>312102.18</v>
      </c>
      <c r="L27" s="7">
        <f>IF(A27&gt;'Premissas'!$B$20,INDEX($K$5:$K$28,MAX(1,A27-'Premissas'!$B$20)),0)</f>
        <v>312102.18</v>
      </c>
      <c r="M27" s="7">
        <f>ROUND(I27*'Premissas'!$B$10,2)</f>
        <v>54027</v>
      </c>
      <c r="N27" s="7">
        <f>ROUND(I27*'Premissas'!$B$11,2)</f>
        <v>10805.4</v>
      </c>
      <c r="O27" s="7">
        <f>ROUND(B27*'Premissas'!$B$12*'Premissas'!$B$30,2)</f>
        <v>135000</v>
      </c>
      <c r="P27" s="7">
        <f>ROUND(B27*'Premissas'!$B$13*'Premissas'!$B$30,2)</f>
        <v>13500</v>
      </c>
      <c r="Q27" s="7">
        <f>ROUND(D27*'Premissas'!$B$15,2)</f>
        <v>60000</v>
      </c>
      <c r="R27" s="7">
        <f>ROUND(Q27*'Premissas'!$B$19+Q26*(1-'Premissas'!$B$19),2)</f>
        <v>60000</v>
      </c>
      <c r="S27" s="7">
        <f>ROUND(E27*'Premissas'!$B$17,2)</f>
        <v>28800</v>
      </c>
      <c r="T27" s="7">
        <f>ROUND(Q27*'Premissas'!$B$10,2)</f>
        <v>9000</v>
      </c>
      <c r="U27" s="7">
        <f>ROUND(R27*'Premissas'!$B$18,2)</f>
        <v>3000</v>
      </c>
      <c r="V27" s="7">
        <f>IF(A27&lt;=12,'Premissas'!$B$24,'Premissas'!$B$25)</f>
        <v>42000</v>
      </c>
      <c r="W27" s="7">
        <f>ROUND(G27+Q27,2)</f>
        <v>451500</v>
      </c>
      <c r="X27" s="7">
        <f>ROUND(I27+Q27,2)</f>
        <v>420180</v>
      </c>
      <c r="Y27" s="7">
        <f>ROUND(L27+R27,2)</f>
        <v>372102.18</v>
      </c>
      <c r="Z27" s="7">
        <f>ROUND(SUM(M27:P27)+SUM(S27:V27),2)</f>
        <v>296132.4</v>
      </c>
      <c r="AA27" s="7">
        <f>ROUND(Y27-Z27,2)</f>
        <v>75969.78</v>
      </c>
      <c r="AB27" s="7">
        <f>ROUND(AB26+AA27,2)</f>
        <v>266559.02</v>
      </c>
      <c r="AC27" s="7">
        <f>ROUND(X27-J27-SUM(M27:P27)-S27-T27-ROUND(Q27*'Premissas'!$B$18,2)-V27,2)</f>
        <v>75969.78</v>
      </c>
      <c r="AD27" s="7">
        <f>ROUND(SUM($K$5:K27)-SUM($L$5:L27)+SUM($Q$5:Q27)-SUM($R$5:R27),2)</f>
        <v>342102.18</v>
      </c>
      <c r="AE27" s="7">
        <f>MAX(0,AB27)*'Premissas'!$B$28</f>
        <v>133279.51</v>
      </c>
      <c r="AF27" s="9">
        <f>IF(AB27&gt;=0,A27,999)</f>
        <v>23</v>
      </c>
      <c r="AG27" s="9">
        <f>IF(AE27&gt;=Resumo!$E$9,A27,999)</f>
        <v>999</v>
      </c>
      <c r="AH27" s="7">
        <f>AB27+Capital!$A$5</f>
        <v>366559.02</v>
      </c>
      <c r="AI27" s="7">
        <f>AB27+Capital!$A$6</f>
        <v>416559.02</v>
      </c>
      <c r="AJ27" s="7">
        <f>AB27+Capital!$A$7</f>
        <v>466559.02</v>
      </c>
    </row>
    <row r="28" spans="1:36">
      <c r="A28" s="9">
        <v>24</v>
      </c>
      <c r="B28" s="9">
        <f>'Base'!B28</f>
        <v>3000</v>
      </c>
      <c r="C28" s="9">
        <f>ROUNDUP(B28/'Premissas'!$B$14,0)</f>
        <v>150000</v>
      </c>
      <c r="D28" s="9">
        <f>'Base'!D28</f>
        <v>2</v>
      </c>
      <c r="E28" s="9">
        <f>D28*'Premissas'!$B$16</f>
        <v>160</v>
      </c>
      <c r="F28" s="7">
        <f>ROUND(B28*'Premissas'!$B$5,2)</f>
        <v>87000</v>
      </c>
      <c r="G28" s="7">
        <f>ROUND(F28*'Premissas'!$B$30,2)</f>
        <v>391500</v>
      </c>
      <c r="H28" s="7">
        <f>ROUND(G28*'Premissas'!$B$7,2)</f>
        <v>31320</v>
      </c>
      <c r="I28" s="7">
        <f>ROUND(G28-H28,2)</f>
        <v>360180</v>
      </c>
      <c r="J28" s="7">
        <f>ROUND(I28*'Premissas'!$B$8+B28*(1-'Premissas'!$B$7)*'Premissas'!$B$9*'Premissas'!$B$30,2)</f>
        <v>48077.82</v>
      </c>
      <c r="K28" s="7">
        <f>ROUND(I28-J28,2)</f>
        <v>312102.18</v>
      </c>
      <c r="L28" s="7">
        <f>IF(A28&gt;'Premissas'!$B$20,INDEX($K$5:$K$28,MAX(1,A28-'Premissas'!$B$20)),0)</f>
        <v>312102.18</v>
      </c>
      <c r="M28" s="7">
        <f>ROUND(I28*'Premissas'!$B$10,2)</f>
        <v>54027</v>
      </c>
      <c r="N28" s="7">
        <f>ROUND(I28*'Premissas'!$B$11,2)</f>
        <v>10805.4</v>
      </c>
      <c r="O28" s="7">
        <f>ROUND(B28*'Premissas'!$B$12*'Premissas'!$B$30,2)</f>
        <v>135000</v>
      </c>
      <c r="P28" s="7">
        <f>ROUND(B28*'Premissas'!$B$13*'Premissas'!$B$30,2)</f>
        <v>13500</v>
      </c>
      <c r="Q28" s="7">
        <f>ROUND(D28*'Premissas'!$B$15,2)</f>
        <v>60000</v>
      </c>
      <c r="R28" s="7">
        <f>ROUND(Q28*'Premissas'!$B$19+Q27*(1-'Premissas'!$B$19),2)</f>
        <v>60000</v>
      </c>
      <c r="S28" s="7">
        <f>ROUND(E28*'Premissas'!$B$17,2)</f>
        <v>28800</v>
      </c>
      <c r="T28" s="7">
        <f>ROUND(Q28*'Premissas'!$B$10,2)</f>
        <v>9000</v>
      </c>
      <c r="U28" s="7">
        <f>ROUND(R28*'Premissas'!$B$18,2)</f>
        <v>3000</v>
      </c>
      <c r="V28" s="7">
        <f>IF(A28&lt;=12,'Premissas'!$B$24,'Premissas'!$B$25)</f>
        <v>42000</v>
      </c>
      <c r="W28" s="7">
        <f>ROUND(G28+Q28,2)</f>
        <v>451500</v>
      </c>
      <c r="X28" s="7">
        <f>ROUND(I28+Q28,2)</f>
        <v>420180</v>
      </c>
      <c r="Y28" s="7">
        <f>ROUND(L28+R28,2)</f>
        <v>372102.18</v>
      </c>
      <c r="Z28" s="7">
        <f>ROUND(SUM(M28:P28)+SUM(S28:V28),2)</f>
        <v>296132.4</v>
      </c>
      <c r="AA28" s="7">
        <f>ROUND(Y28-Z28,2)</f>
        <v>75969.78</v>
      </c>
      <c r="AB28" s="7">
        <f>ROUND(AB27+AA28,2)</f>
        <v>342528.8</v>
      </c>
      <c r="AC28" s="7">
        <f>ROUND(X28-J28-SUM(M28:P28)-S28-T28-ROUND(Q28*'Premissas'!$B$18,2)-V28,2)</f>
        <v>75969.78</v>
      </c>
      <c r="AD28" s="7">
        <f>ROUND(SUM($K$5:K28)-SUM($L$5:L28)+SUM($Q$5:Q28)-SUM($R$5:R28),2)</f>
        <v>342102.18</v>
      </c>
      <c r="AE28" s="7">
        <f>MAX(0,AB28)*'Premissas'!$B$28</f>
        <v>171264.4</v>
      </c>
      <c r="AF28" s="9">
        <f>IF(AB28&gt;=0,A28,999)</f>
        <v>24</v>
      </c>
      <c r="AG28" s="9">
        <f>IF(AE28&gt;=Resumo!$E$9,A28,999)</f>
        <v>999</v>
      </c>
      <c r="AH28" s="7">
        <f>AB28+Capital!$A$5</f>
        <v>442528.8</v>
      </c>
      <c r="AI28" s="7">
        <f>AB28+Capital!$A$6</f>
        <v>492528.8</v>
      </c>
      <c r="AJ28" s="7">
        <f>AB28+Capital!$A$7</f>
        <v>542528.8</v>
      </c>
    </row>
  </sheetData>
  <autoFilter ref="A4:AD28"/>
  <mergeCells count="2">
    <mergeCell ref="A1:AJ1"/>
    <mergeCell ref="A2:AJ2"/>
  </mergeCells>
  <conditionalFormatting sqref="AB5:AB28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rowBreaks count="1" manualBreakCount="1">
    <brk id="1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5" width="19.7109375" customWidth="1"/>
  </cols>
  <sheetData>
    <row r="1" spans="1:15" ht="32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spans="1:15" ht="48" customHeight="1">
      <c r="A4" s="3" t="s">
        <v>162</v>
      </c>
      <c r="B4" s="3" t="s">
        <v>163</v>
      </c>
      <c r="C4" s="3" t="s">
        <v>164</v>
      </c>
      <c r="D4" s="3" t="s">
        <v>165</v>
      </c>
      <c r="E4" s="3" t="s">
        <v>166</v>
      </c>
      <c r="F4" s="3" t="s">
        <v>167</v>
      </c>
      <c r="G4" s="3" t="s">
        <v>168</v>
      </c>
      <c r="H4" s="3" t="s">
        <v>169</v>
      </c>
      <c r="I4" s="3" t="s">
        <v>170</v>
      </c>
      <c r="J4" s="3" t="s">
        <v>171</v>
      </c>
      <c r="K4" s="3" t="s">
        <v>172</v>
      </c>
      <c r="L4" s="3" t="s">
        <v>173</v>
      </c>
      <c r="M4" s="3" t="s">
        <v>174</v>
      </c>
      <c r="N4" s="3" t="s">
        <v>175</v>
      </c>
      <c r="O4" s="3" t="s">
        <v>176</v>
      </c>
    </row>
    <row r="5" spans="1:15" ht="32" customHeight="1">
      <c r="A5" t="s">
        <v>177</v>
      </c>
      <c r="B5" s="7">
        <f>'Premissas'!$B$23</f>
        <v>100000</v>
      </c>
      <c r="C5" s="7">
        <f>MAX('Premissas'!$B$23,-MIN('Conservador'!AB5:AB28))</f>
        <v>737708.49</v>
      </c>
      <c r="D5" s="7">
        <f>'Premissas'!$B$25*'Premissas'!$B$26</f>
        <v>126000</v>
      </c>
      <c r="E5" s="7">
        <f>ROUNDUP((C5+D5)/'Premissas'!$B$27,0)*'Premissas'!$B$27</f>
        <v>870000</v>
      </c>
      <c r="F5" s="9" t="str">
        <f>IF(MIN('Conservador'!AF5:AF28)=999,"Sem retorno em 24m",MIN('Conservador'!AF5:AF28))</f>
        <v>Sem retorno em 24m</v>
      </c>
      <c r="G5" s="9" t="str">
        <f>IF(MIN('Conservador'!AG5:AG28)=999,"Sem retorno em 24m",MIN('Conservador'!AG5:AG28))</f>
        <v>Sem retorno em 24m</v>
      </c>
      <c r="H5" s="7">
        <f>SUM('Conservador'!W5:W16)</f>
        <v>377550</v>
      </c>
      <c r="I5" s="7">
        <f>SUM('Conservador'!W17:W28)</f>
        <v>1155750</v>
      </c>
      <c r="J5" s="7">
        <f>SUM('Conservador'!X5:X16)</f>
        <v>352146</v>
      </c>
      <c r="K5" s="7">
        <f>SUM('Conservador'!X17:X28)</f>
        <v>1070490</v>
      </c>
      <c r="L5" s="7">
        <f>SUM('Conservador'!Y5:Y16)</f>
        <v>261132.52</v>
      </c>
      <c r="M5" s="7">
        <f>SUM('Conservador'!Y17:Y28)</f>
        <v>904933.47</v>
      </c>
      <c r="N5" s="7">
        <f>'Conservador'!AB28</f>
        <v>-737708.49</v>
      </c>
      <c r="O5" s="7">
        <f>'Conservador'!AD28</f>
        <v>86695.05</v>
      </c>
    </row>
    <row r="6" spans="1:15" ht="32" customHeight="1">
      <c r="A6" t="s">
        <v>178</v>
      </c>
      <c r="B6" s="7">
        <f>'Premissas'!$B$23</f>
        <v>100000</v>
      </c>
      <c r="C6" s="7">
        <f>MAX('Premissas'!$B$23,-MIN('Base'!AB5:AB28))</f>
        <v>398842.4</v>
      </c>
      <c r="D6" s="7">
        <f>'Premissas'!$B$25*'Premissas'!$B$26</f>
        <v>126000</v>
      </c>
      <c r="E6" s="7">
        <f>ROUNDUP((C6+D6)/'Premissas'!$B$27,0)*'Premissas'!$B$27</f>
        <v>530000</v>
      </c>
      <c r="F6" s="9">
        <f>IF(MIN('Base'!AF5:AF28)=999,"Sem retorno em 24m",MIN('Base'!AF5:AF28))</f>
        <v>19</v>
      </c>
      <c r="G6" s="9" t="str">
        <f>IF(MIN('Base'!AG5:AG28)=999,"Sem retorno em 24m",MIN('Base'!AG5:AG28))</f>
        <v>Sem retorno em 24m</v>
      </c>
      <c r="H6" s="7">
        <f>SUM('Base'!W5:W16)</f>
        <v>1581250</v>
      </c>
      <c r="I6" s="7">
        <f>SUM('Base'!W17:W28)</f>
        <v>5650000</v>
      </c>
      <c r="J6" s="7">
        <f>SUM('Base'!X5:X16)</f>
        <v>1473950</v>
      </c>
      <c r="K6" s="7">
        <f>SUM('Base'!X17:X28)</f>
        <v>5255600</v>
      </c>
      <c r="L6" s="7">
        <f>SUM('Base'!Y5:Y16)</f>
        <v>1063052.15</v>
      </c>
      <c r="M6" s="7">
        <f>SUM('Base'!Y17:Y28)</f>
        <v>4519582.2</v>
      </c>
      <c r="N6" s="7">
        <f>'Base'!AB28</f>
        <v>466065.35</v>
      </c>
      <c r="O6" s="7">
        <f>'Base'!AD28</f>
        <v>376780.2</v>
      </c>
    </row>
    <row r="7" spans="1:15" ht="32" customHeight="1">
      <c r="A7" t="s">
        <v>179</v>
      </c>
      <c r="B7" s="7">
        <f>'Premissas'!$B$23</f>
        <v>100000</v>
      </c>
      <c r="C7" s="7">
        <f>MAX('Premissas'!$B$23,-MIN('Escala24'!AB5:AB28))</f>
        <v>384422.02</v>
      </c>
      <c r="D7" s="7">
        <f>'Premissas'!$B$25*'Premissas'!$B$26</f>
        <v>126000</v>
      </c>
      <c r="E7" s="7">
        <f>ROUNDUP((C7+D7)/'Premissas'!$B$27,0)*'Premissas'!$B$27</f>
        <v>520000</v>
      </c>
      <c r="F7" s="9">
        <f>IF(MIN('Escala24'!AF5:AF28)=999,"Sem retorno em 24m",MIN('Escala24'!AF5:AF28))</f>
        <v>14</v>
      </c>
      <c r="G7" s="9">
        <f>IF(MIN('Escala24'!AG5:AG28)=999,"Sem retorno em 24m",MIN('Escala24'!AG5:AG28))</f>
        <v>20</v>
      </c>
      <c r="H7" s="7">
        <f>SUM('Escala24'!W5:W16)</f>
        <v>3601500</v>
      </c>
      <c r="I7" s="7">
        <f>SUM('Escala24'!W17:W28)</f>
        <v>9780000</v>
      </c>
      <c r="J7" s="7">
        <f>SUM('Escala24'!X5:X16)</f>
        <v>3361380</v>
      </c>
      <c r="K7" s="7">
        <f>SUM('Escala24'!X17:X28)</f>
        <v>9084000</v>
      </c>
      <c r="L7" s="7">
        <f>SUM('Escala24'!Y5:Y16)</f>
        <v>2427613.08</v>
      </c>
      <c r="M7" s="7">
        <f>SUM('Escala24'!Y17:Y28)</f>
        <v>7957807.3</v>
      </c>
      <c r="N7" s="7">
        <f>'Escala24'!AB28</f>
        <v>1821001.98</v>
      </c>
      <c r="O7" s="7">
        <f>'Escala24'!AD28</f>
        <v>622967</v>
      </c>
    </row>
    <row r="8" spans="1:15" ht="32" customHeight="1">
      <c r="A8" t="s">
        <v>180</v>
      </c>
      <c r="B8" s="7">
        <f>'Premissas'!$B$23</f>
        <v>100000</v>
      </c>
      <c r="C8" s="7">
        <f>MAX('Premissas'!$B$23,-MIN('CAC15'!AB5:AB28))</f>
        <v>698794.05</v>
      </c>
      <c r="D8" s="7">
        <f>'Premissas'!$B$25*'Premissas'!$B$26</f>
        <v>126000</v>
      </c>
      <c r="E8" s="7">
        <f>ROUNDUP((C8+D8)/'Premissas'!$B$27,0)*'Premissas'!$B$27</f>
        <v>830000</v>
      </c>
      <c r="F8" s="9" t="str">
        <f>IF(MIN('CAC15'!AF5:AF28)=999,"Sem retorno em 24m",MIN('CAC15'!AF5:AF28))</f>
        <v>Sem retorno em 24m</v>
      </c>
      <c r="G8" s="9" t="str">
        <f>IF(MIN('CAC15'!AG5:AG28)=999,"Sem retorno em 24m",MIN('CAC15'!AG5:AG28))</f>
        <v>Sem retorno em 24m</v>
      </c>
      <c r="H8" s="7">
        <f>SUM('CAC15'!W5:W16)</f>
        <v>1581250</v>
      </c>
      <c r="I8" s="7">
        <f>SUM('CAC15'!W17:W28)</f>
        <v>5650000</v>
      </c>
      <c r="J8" s="7">
        <f>SUM('CAC15'!X5:X16)</f>
        <v>1473950</v>
      </c>
      <c r="K8" s="7">
        <f>SUM('CAC15'!X17:X28)</f>
        <v>5255600</v>
      </c>
      <c r="L8" s="7">
        <f>SUM('CAC15'!Y5:Y16)</f>
        <v>1063052.15</v>
      </c>
      <c r="M8" s="7">
        <f>SUM('CAC15'!Y17:Y28)</f>
        <v>4519582.2</v>
      </c>
      <c r="N8" s="7">
        <f>'CAC15'!AB28</f>
        <v>-615184.65</v>
      </c>
      <c r="O8" s="7">
        <f>'CAC15'!AD28</f>
        <v>376780.2</v>
      </c>
    </row>
    <row r="9" spans="1:15" ht="32" customHeight="1">
      <c r="A9" t="s">
        <v>181</v>
      </c>
      <c r="B9" s="7">
        <f>'Premissas'!$B$23</f>
        <v>100000</v>
      </c>
      <c r="C9" s="7">
        <f>MAX('Premissas'!$B$23,-MIN('FX4,5'!AB5:AB28))</f>
        <v>401623.17</v>
      </c>
      <c r="D9" s="7">
        <f>'Premissas'!$B$25*'Premissas'!$B$26</f>
        <v>126000</v>
      </c>
      <c r="E9" s="7">
        <f>ROUNDUP((C9+D9)/'Premissas'!$B$27,0)*'Premissas'!$B$27</f>
        <v>530000</v>
      </c>
      <c r="F9" s="9">
        <f>IF(MIN('FX4,5'!AF5:AF28)=999,"Sem retorno em 24m",MIN('FX4,5'!AF5:AF28))</f>
        <v>20</v>
      </c>
      <c r="G9" s="9" t="str">
        <f>IF(MIN('FX4,5'!AG5:AG28)=999,"Sem retorno em 24m",MIN('FX4,5'!AG5:AG28))</f>
        <v>Sem retorno em 24m</v>
      </c>
      <c r="H9" s="7">
        <f>SUM('FX4,5'!W5:W16)</f>
        <v>1447125</v>
      </c>
      <c r="I9" s="7">
        <f>SUM('FX4,5'!W17:W28)</f>
        <v>5157000</v>
      </c>
      <c r="J9" s="7">
        <f>SUM('FX4,5'!X5:X16)</f>
        <v>1350555</v>
      </c>
      <c r="K9" s="7">
        <f>SUM('FX4,5'!X17:X28)</f>
        <v>4802040</v>
      </c>
      <c r="L9" s="7">
        <f>SUM('FX4,5'!Y5:Y16)</f>
        <v>979246.92</v>
      </c>
      <c r="M9" s="7">
        <f>SUM('FX4,5'!Y17:Y28)</f>
        <v>4138123.98</v>
      </c>
      <c r="N9" s="7">
        <f>'FX4,5'!AB28</f>
        <v>342528.8</v>
      </c>
      <c r="O9" s="7">
        <f>'FX4,5'!AD28</f>
        <v>342102.18</v>
      </c>
    </row>
    <row r="12" spans="1:15" ht="42" customHeight="1">
      <c r="A12" s="2" t="s">
        <v>182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4" spans="1:15" ht="42" customHeight="1">
      <c r="A14" s="2" t="s">
        <v>183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6" spans="1:15" ht="42" customHeight="1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mergeCells count="4">
    <mergeCell ref="A1:O1"/>
    <mergeCell ref="A12:O12"/>
    <mergeCell ref="A14:O14"/>
    <mergeCell ref="A16:O16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9" width="19.7109375" customWidth="1"/>
  </cols>
  <sheetData>
    <row r="1" spans="1:9" ht="32" customHeight="1">
      <c r="A1" s="1" t="s">
        <v>185</v>
      </c>
      <c r="B1" s="1"/>
      <c r="C1" s="1"/>
      <c r="D1" s="1"/>
      <c r="E1" s="1"/>
      <c r="F1" s="1"/>
      <c r="G1" s="1"/>
      <c r="H1" s="1"/>
      <c r="I1" s="1"/>
    </row>
    <row r="4" spans="1:9" ht="48" customHeight="1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3" t="s">
        <v>193</v>
      </c>
      <c r="I4" s="3" t="s">
        <v>89</v>
      </c>
    </row>
    <row r="5" spans="1:9" ht="40" customHeight="1">
      <c r="A5" s="5">
        <v>100000</v>
      </c>
      <c r="B5" s="7">
        <f>A5-'Premissas'!$B$23</f>
        <v>0</v>
      </c>
      <c r="C5" s="7">
        <f>B5/'Premissas'!$B$24</f>
        <v>0</v>
      </c>
      <c r="D5" s="7">
        <f>MAX(0,Resumo!E6-A5)</f>
        <v>430000</v>
      </c>
      <c r="E5" s="9">
        <f>IF(A5&lt;'Premissas'!$B$23,0,IF(MIN(IF(Base!AH5&lt;0,Base!A5,999),IF(Base!AH6&lt;0,Base!A6,999),IF(Base!AH7&lt;0,Base!A7,999),IF(Base!AH8&lt;0,Base!A8,999),IF(Base!AH9&lt;0,Base!A9,999),IF(Base!AH10&lt;0,Base!A10,999),IF(Base!AH11&lt;0,Base!A11,999),IF(Base!AH12&lt;0,Base!A12,999),IF(Base!AH13&lt;0,Base!A13,999),IF(Base!AH14&lt;0,Base!A14,999),IF(Base!AH15&lt;0,Base!A15,999),IF(Base!AH16&lt;0,Base!A16,999),IF(Base!AH17&lt;0,Base!A17,999),IF(Base!AH18&lt;0,Base!A18,999),IF(Base!AH19&lt;0,Base!A19,999),IF(Base!AH20&lt;0,Base!A20,999),IF(Base!AH21&lt;0,Base!A21,999),IF(Base!AH22&lt;0,Base!A22,999),IF(Base!AH23&lt;0,Base!A23,999),IF(Base!AH24&lt;0,Base!A24,999),IF(Base!AH25&lt;0,Base!A25,999),IF(Base!AH26&lt;0,Base!A26,999),IF(Base!AH27&lt;0,Base!A27,999),IF(Base!AH28&lt;0,Base!A28,999))=999,"Nenhum em 24m",MIN(IF(Base!AH5&lt;0,Base!A5,999),IF(Base!AH6&lt;0,Base!A6,999),IF(Base!AH7&lt;0,Base!A7,999),IF(Base!AH8&lt;0,Base!A8,999),IF(Base!AH9&lt;0,Base!A9,999),IF(Base!AH10&lt;0,Base!A10,999),IF(Base!AH11&lt;0,Base!A11,999),IF(Base!AH12&lt;0,Base!A12,999),IF(Base!AH13&lt;0,Base!A13,999),IF(Base!AH14&lt;0,Base!A14,999),IF(Base!AH15&lt;0,Base!A15,999),IF(Base!AH16&lt;0,Base!A16,999),IF(Base!AH17&lt;0,Base!A17,999),IF(Base!AH18&lt;0,Base!A18,999),IF(Base!AH19&lt;0,Base!A19,999),IF(Base!AH20&lt;0,Base!A20,999),IF(Base!AH21&lt;0,Base!A21,999),IF(Base!AH22&lt;0,Base!A22,999),IF(Base!AH23&lt;0,Base!A23,999),IF(Base!AH24&lt;0,Base!A24,999),IF(Base!AH25&lt;0,Base!A25,999),IF(Base!AH26&lt;0,Base!A26,999),IF(Base!AH27&lt;0,Base!A27,999),IF(Base!AH28&lt;0,Base!A28,999))))</f>
        <v>1</v>
      </c>
      <c r="F5" s="7">
        <f>MIN(B5,MIN(Base!AB5:AB28)+A5)</f>
        <v>-298842.4</v>
      </c>
      <c r="G5" s="7">
        <f>MAX(0,-F5)</f>
        <v>298842.4</v>
      </c>
      <c r="H5" s="7">
        <f>Base!AB28+A5</f>
        <v>566065.35</v>
      </c>
      <c r="I5" s="2" t="s">
        <v>194</v>
      </c>
    </row>
    <row r="6" spans="1:9" ht="40" customHeight="1">
      <c r="A6" s="5">
        <v>150000</v>
      </c>
      <c r="B6" s="7">
        <f>A6-'Premissas'!$B$23</f>
        <v>50000</v>
      </c>
      <c r="C6" s="7">
        <f>B6/'Premissas'!$B$24</f>
        <v>1.3513513513513513</v>
      </c>
      <c r="D6" s="7">
        <f>MAX(0,Resumo!E6-A6)</f>
        <v>380000</v>
      </c>
      <c r="E6" s="9">
        <f>IF(A6&lt;'Premissas'!$B$23,0,IF(MIN(IF(Base!AI5&lt;0,Base!A5,999),IF(Base!AI6&lt;0,Base!A6,999),IF(Base!AI7&lt;0,Base!A7,999),IF(Base!AI8&lt;0,Base!A8,999),IF(Base!AI9&lt;0,Base!A9,999),IF(Base!AI10&lt;0,Base!A10,999),IF(Base!AI11&lt;0,Base!A11,999),IF(Base!AI12&lt;0,Base!A12,999),IF(Base!AI13&lt;0,Base!A13,999),IF(Base!AI14&lt;0,Base!A14,999),IF(Base!AI15&lt;0,Base!A15,999),IF(Base!AI16&lt;0,Base!A16,999),IF(Base!AI17&lt;0,Base!A17,999),IF(Base!AI18&lt;0,Base!A18,999),IF(Base!AI19&lt;0,Base!A19,999),IF(Base!AI20&lt;0,Base!A20,999),IF(Base!AI21&lt;0,Base!A21,999),IF(Base!AI22&lt;0,Base!A22,999),IF(Base!AI23&lt;0,Base!A23,999),IF(Base!AI24&lt;0,Base!A24,999),IF(Base!AI25&lt;0,Base!A25,999),IF(Base!AI26&lt;0,Base!A26,999),IF(Base!AI27&lt;0,Base!A27,999),IF(Base!AI28&lt;0,Base!A28,999))=999,"Nenhum em 24m",MIN(IF(Base!AI5&lt;0,Base!A5,999),IF(Base!AI6&lt;0,Base!A6,999),IF(Base!AI7&lt;0,Base!A7,999),IF(Base!AI8&lt;0,Base!A8,999),IF(Base!AI9&lt;0,Base!A9,999),IF(Base!AI10&lt;0,Base!A10,999),IF(Base!AI11&lt;0,Base!A11,999),IF(Base!AI12&lt;0,Base!A12,999),IF(Base!AI13&lt;0,Base!A13,999),IF(Base!AI14&lt;0,Base!A14,999),IF(Base!AI15&lt;0,Base!A15,999),IF(Base!AI16&lt;0,Base!A16,999),IF(Base!AI17&lt;0,Base!A17,999),IF(Base!AI18&lt;0,Base!A18,999),IF(Base!AI19&lt;0,Base!A19,999),IF(Base!AI20&lt;0,Base!A20,999),IF(Base!AI21&lt;0,Base!A21,999),IF(Base!AI22&lt;0,Base!A22,999),IF(Base!AI23&lt;0,Base!A23,999),IF(Base!AI24&lt;0,Base!A24,999),IF(Base!AI25&lt;0,Base!A25,999),IF(Base!AI26&lt;0,Base!A26,999),IF(Base!AI27&lt;0,Base!A27,999),IF(Base!AI28&lt;0,Base!A28,999))))</f>
        <v>2</v>
      </c>
      <c r="F6" s="7">
        <f>MIN(B6,MIN(Base!AB5:AB28)+A6)</f>
        <v>-248842.40000000002</v>
      </c>
      <c r="G6" s="7">
        <f>MAX(0,-F6)</f>
        <v>248842.40000000002</v>
      </c>
      <c r="H6" s="7">
        <f>Base!AB28+A6</f>
        <v>616065.35</v>
      </c>
      <c r="I6" s="2" t="s">
        <v>194</v>
      </c>
    </row>
    <row r="7" spans="1:9" ht="40" customHeight="1">
      <c r="A7" s="5">
        <v>200000</v>
      </c>
      <c r="B7" s="7">
        <f>A7-'Premissas'!$B$23</f>
        <v>100000</v>
      </c>
      <c r="C7" s="7">
        <f>B7/'Premissas'!$B$24</f>
        <v>2.7027027027027026</v>
      </c>
      <c r="D7" s="7">
        <f>MAX(0,Resumo!E6-A7)</f>
        <v>330000</v>
      </c>
      <c r="E7" s="9">
        <f>IF(A7&lt;'Premissas'!$B$23,0,IF(MIN(IF(Base!AJ5&lt;0,Base!A5,999),IF(Base!AJ6&lt;0,Base!A6,999),IF(Base!AJ7&lt;0,Base!A7,999),IF(Base!AJ8&lt;0,Base!A8,999),IF(Base!AJ9&lt;0,Base!A9,999),IF(Base!AJ10&lt;0,Base!A10,999),IF(Base!AJ11&lt;0,Base!A11,999),IF(Base!AJ12&lt;0,Base!A12,999),IF(Base!AJ13&lt;0,Base!A13,999),IF(Base!AJ14&lt;0,Base!A14,999),IF(Base!AJ15&lt;0,Base!A15,999),IF(Base!AJ16&lt;0,Base!A16,999),IF(Base!AJ17&lt;0,Base!A17,999),IF(Base!AJ18&lt;0,Base!A18,999),IF(Base!AJ19&lt;0,Base!A19,999),IF(Base!AJ20&lt;0,Base!A20,999),IF(Base!AJ21&lt;0,Base!A21,999),IF(Base!AJ22&lt;0,Base!A22,999),IF(Base!AJ23&lt;0,Base!A23,999),IF(Base!AJ24&lt;0,Base!A24,999),IF(Base!AJ25&lt;0,Base!A25,999),IF(Base!AJ26&lt;0,Base!A26,999),IF(Base!AJ27&lt;0,Base!A27,999),IF(Base!AJ28&lt;0,Base!A28,999))=999,"Nenhum em 24m",MIN(IF(Base!AJ5&lt;0,Base!A5,999),IF(Base!AJ6&lt;0,Base!A6,999),IF(Base!AJ7&lt;0,Base!A7,999),IF(Base!AJ8&lt;0,Base!A8,999),IF(Base!AJ9&lt;0,Base!A9,999),IF(Base!AJ10&lt;0,Base!A10,999),IF(Base!AJ11&lt;0,Base!A11,999),IF(Base!AJ12&lt;0,Base!A12,999),IF(Base!AJ13&lt;0,Base!A13,999),IF(Base!AJ14&lt;0,Base!A14,999),IF(Base!AJ15&lt;0,Base!A15,999),IF(Base!AJ16&lt;0,Base!A16,999),IF(Base!AJ17&lt;0,Base!A17,999),IF(Base!AJ18&lt;0,Base!A18,999),IF(Base!AJ19&lt;0,Base!A19,999),IF(Base!AJ20&lt;0,Base!A20,999),IF(Base!AJ21&lt;0,Base!A21,999),IF(Base!AJ22&lt;0,Base!A22,999),IF(Base!AJ23&lt;0,Base!A23,999),IF(Base!AJ24&lt;0,Base!A24,999),IF(Base!AJ25&lt;0,Base!A25,999),IF(Base!AJ26&lt;0,Base!A26,999),IF(Base!AJ27&lt;0,Base!A27,999),IF(Base!AJ28&lt;0,Base!A28,999))))</f>
        <v>3</v>
      </c>
      <c r="F7" s="7">
        <f>MIN(B7,MIN(Base!AB5:AB28)+A7)</f>
        <v>-198842.40000000002</v>
      </c>
      <c r="G7" s="7">
        <f>MAX(0,-F7)</f>
        <v>198842.40000000002</v>
      </c>
      <c r="H7" s="7">
        <f>Base!AB28+A7</f>
        <v>666065.35</v>
      </c>
      <c r="I7" s="2" t="s">
        <v>194</v>
      </c>
    </row>
    <row r="10" spans="1:9" ht="42" customHeight="1">
      <c r="A10" s="2" t="s">
        <v>195</v>
      </c>
      <c r="B10" s="2"/>
      <c r="C10" s="2"/>
      <c r="D10" s="2"/>
      <c r="E10" s="2"/>
      <c r="F10" s="2"/>
      <c r="G10" s="2"/>
      <c r="H10" s="2"/>
      <c r="I10" s="2"/>
    </row>
    <row r="12" spans="1:9" ht="42" customHeight="1">
      <c r="A12" s="2" t="s">
        <v>196</v>
      </c>
      <c r="B12" s="2"/>
      <c r="C12" s="2"/>
      <c r="D12" s="2"/>
      <c r="E12" s="2"/>
      <c r="F12" s="2"/>
      <c r="G12" s="2"/>
      <c r="H12" s="2"/>
      <c r="I12" s="2"/>
    </row>
  </sheetData>
  <mergeCells count="3">
    <mergeCell ref="A1:I1"/>
    <mergeCell ref="A10:I10"/>
    <mergeCell ref="A12:I12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0" width="19.7109375" customWidth="1"/>
  </cols>
  <sheetData>
    <row r="1" spans="1:10" ht="32" customHeight="1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</row>
    <row r="4" spans="1:10" ht="48" customHeight="1">
      <c r="A4" s="3" t="s">
        <v>198</v>
      </c>
      <c r="B4" s="3" t="s">
        <v>199</v>
      </c>
      <c r="C4" s="3" t="s">
        <v>124</v>
      </c>
      <c r="D4" s="3" t="s">
        <v>141</v>
      </c>
      <c r="E4" s="3" t="s">
        <v>142</v>
      </c>
      <c r="F4" s="3" t="s">
        <v>200</v>
      </c>
      <c r="G4" s="3" t="s">
        <v>121</v>
      </c>
      <c r="H4" s="3" t="s">
        <v>123</v>
      </c>
      <c r="I4" s="3" t="s">
        <v>140</v>
      </c>
      <c r="J4" s="3" t="s">
        <v>201</v>
      </c>
    </row>
    <row r="5" spans="1:10">
      <c r="A5" s="10">
        <v>300</v>
      </c>
      <c r="B5" s="10">
        <v>0</v>
      </c>
      <c r="C5" s="7">
        <f>A5*'Premissas'!$B$5</f>
        <v>8700</v>
      </c>
      <c r="D5" s="7">
        <f>C5*'Premissas'!$B$6+B5*'Premissas'!$B$15</f>
        <v>43500</v>
      </c>
      <c r="E5" s="7">
        <f>C5*'Premissas'!$B$6*(1-'Premissas'!$B$7)+B5*'Premissas'!$B$15</f>
        <v>40020</v>
      </c>
      <c r="F5" s="7">
        <f>A5*'Premissas'!$B$12*'Premissas'!$B$6</f>
        <v>15000</v>
      </c>
      <c r="G5" s="9">
        <f>ROUNDUP(A5/'Premissas'!$B$14,0)</f>
        <v>15000</v>
      </c>
      <c r="H5" s="9">
        <f>B5*'Premissas'!$B$16</f>
        <v>0</v>
      </c>
      <c r="I5" s="7">
        <f>'Premissas'!$B$25</f>
        <v>42000</v>
      </c>
      <c r="J5" s="7">
        <f>ROUND(A5*Economia!C13+B5*Economia!B21-I5,2)</f>
        <v>-31025.58</v>
      </c>
    </row>
    <row r="6" spans="1:10">
      <c r="A6" s="10">
        <v>1000</v>
      </c>
      <c r="B6" s="10">
        <v>1</v>
      </c>
      <c r="C6" s="7">
        <f>A6*'Premissas'!$B$5</f>
        <v>29000</v>
      </c>
      <c r="D6" s="7">
        <f>C6*'Premissas'!$B$6+B6*'Premissas'!$B$15</f>
        <v>175000</v>
      </c>
      <c r="E6" s="7">
        <f>C6*'Premissas'!$B$6*(1-'Premissas'!$B$7)+B6*'Premissas'!$B$15</f>
        <v>163400</v>
      </c>
      <c r="F6" s="7">
        <f>A6*'Premissas'!$B$12*'Premissas'!$B$6</f>
        <v>50000</v>
      </c>
      <c r="G6" s="9">
        <f>ROUNDUP(A6/'Premissas'!$B$14,0)</f>
        <v>50000</v>
      </c>
      <c r="H6" s="9">
        <f>B6*'Premissas'!$B$16</f>
        <v>80</v>
      </c>
      <c r="I6" s="7">
        <f>'Premissas'!$B$25</f>
        <v>42000</v>
      </c>
      <c r="J6" s="7">
        <f>ROUND(A6*Economia!C13+B6*Economia!B21-I6,2)</f>
        <v>4181.4</v>
      </c>
    </row>
    <row r="7" spans="1:10">
      <c r="A7" s="10">
        <v>3000</v>
      </c>
      <c r="B7" s="10">
        <v>2</v>
      </c>
      <c r="C7" s="7">
        <f>A7*'Premissas'!$B$5</f>
        <v>87000</v>
      </c>
      <c r="D7" s="7">
        <f>C7*'Premissas'!$B$6+B7*'Premissas'!$B$15</f>
        <v>495000</v>
      </c>
      <c r="E7" s="7">
        <f>C7*'Premissas'!$B$6*(1-'Premissas'!$B$7)+B7*'Premissas'!$B$15</f>
        <v>460200</v>
      </c>
      <c r="F7" s="7">
        <f>A7*'Premissas'!$B$12*'Premissas'!$B$6</f>
        <v>150000</v>
      </c>
      <c r="G7" s="9">
        <f>ROUNDUP(A7/'Premissas'!$B$14,0)</f>
        <v>150000</v>
      </c>
      <c r="H7" s="9">
        <f>B7*'Premissas'!$B$16</f>
        <v>160</v>
      </c>
      <c r="I7" s="7">
        <f>'Premissas'!$B$25</f>
        <v>42000</v>
      </c>
      <c r="J7" s="7">
        <f>ROUND(A7*Economia!C13+B7*Economia!B21-I7,2)</f>
        <v>86944.2</v>
      </c>
    </row>
    <row r="8" spans="1:10">
      <c r="A8" s="10">
        <v>5000</v>
      </c>
      <c r="B8" s="10">
        <v>3</v>
      </c>
      <c r="C8" s="7">
        <f>A8*'Premissas'!$B$5</f>
        <v>145000</v>
      </c>
      <c r="D8" s="7">
        <f>C8*'Premissas'!$B$6+B8*'Premissas'!$B$15</f>
        <v>815000</v>
      </c>
      <c r="E8" s="7">
        <f>C8*'Premissas'!$B$6*(1-'Premissas'!$B$7)+B8*'Premissas'!$B$15</f>
        <v>757000</v>
      </c>
      <c r="F8" s="7">
        <f>A8*'Premissas'!$B$12*'Premissas'!$B$6</f>
        <v>250000</v>
      </c>
      <c r="G8" s="9">
        <f>ROUNDUP(A8/'Premissas'!$B$14,0)</f>
        <v>250000</v>
      </c>
      <c r="H8" s="9">
        <f>B8*'Premissas'!$B$16</f>
        <v>240</v>
      </c>
      <c r="I8" s="7">
        <f>'Premissas'!$B$25</f>
        <v>42000</v>
      </c>
      <c r="J8" s="7">
        <f>ROUND(A8*Economia!C13+B8*Economia!B21-I8,2)</f>
        <v>169707</v>
      </c>
    </row>
    <row r="11" spans="1:10" ht="42" customHeight="1">
      <c r="A11" s="2" t="s">
        <v>202</v>
      </c>
      <c r="B11" s="2"/>
      <c r="C11" s="2"/>
      <c r="D11" s="2"/>
      <c r="E11" s="2"/>
      <c r="F11" s="2"/>
      <c r="G11" s="2"/>
      <c r="H11" s="2"/>
      <c r="I11" s="2"/>
      <c r="J11" s="2"/>
    </row>
  </sheetData>
  <mergeCells count="2">
    <mergeCell ref="A1:J1"/>
    <mergeCell ref="A11:J11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6" width="25.7109375" customWidth="1"/>
  </cols>
  <sheetData>
    <row r="1" spans="1:6" ht="32" customHeight="1">
      <c r="A1" s="1" t="s">
        <v>203</v>
      </c>
      <c r="B1" s="1"/>
      <c r="C1" s="1"/>
      <c r="D1" s="1"/>
      <c r="E1" s="1"/>
      <c r="F1" s="1"/>
    </row>
    <row r="4" spans="1:6" ht="48" customHeight="1">
      <c r="A4" s="3" t="s">
        <v>204</v>
      </c>
      <c r="B4" s="3" t="s">
        <v>205</v>
      </c>
      <c r="C4" s="3"/>
      <c r="D4" s="3"/>
      <c r="E4" s="3"/>
      <c r="F4" s="3"/>
    </row>
    <row r="5" spans="1:6" ht="65" customHeight="1">
      <c r="A5" s="3" t="s">
        <v>206</v>
      </c>
      <c r="B5" s="4" t="s">
        <v>207</v>
      </c>
      <c r="C5" s="4"/>
      <c r="D5" s="4"/>
      <c r="E5" s="4"/>
      <c r="F5" s="4"/>
    </row>
    <row r="6" spans="1:6" ht="65" customHeight="1">
      <c r="A6" s="3" t="s">
        <v>208</v>
      </c>
      <c r="B6" s="4" t="s">
        <v>209</v>
      </c>
      <c r="C6" s="4"/>
      <c r="D6" s="4"/>
      <c r="E6" s="4"/>
      <c r="F6" s="4"/>
    </row>
    <row r="7" spans="1:6" ht="65" customHeight="1">
      <c r="A7" s="3" t="s">
        <v>210</v>
      </c>
      <c r="B7" s="4" t="s">
        <v>211</v>
      </c>
      <c r="C7" s="4"/>
      <c r="D7" s="4"/>
      <c r="E7" s="4"/>
      <c r="F7" s="4"/>
    </row>
    <row r="8" spans="1:6" ht="65" customHeight="1">
      <c r="A8" s="3" t="s">
        <v>212</v>
      </c>
      <c r="B8" s="4" t="s">
        <v>213</v>
      </c>
      <c r="C8" s="4"/>
      <c r="D8" s="4"/>
      <c r="E8" s="4"/>
      <c r="F8" s="4"/>
    </row>
    <row r="9" spans="1:6" ht="65" customHeight="1">
      <c r="A9" s="3" t="s">
        <v>214</v>
      </c>
      <c r="B9" s="4" t="s">
        <v>215</v>
      </c>
      <c r="C9" s="4"/>
      <c r="D9" s="4"/>
      <c r="E9" s="4"/>
      <c r="F9" s="4"/>
    </row>
    <row r="10" spans="1:6" ht="65" customHeight="1">
      <c r="A10" s="3" t="s">
        <v>216</v>
      </c>
      <c r="B10" s="4" t="s">
        <v>217</v>
      </c>
      <c r="C10" s="4"/>
      <c r="D10" s="4"/>
      <c r="E10" s="4"/>
      <c r="F10" s="4"/>
    </row>
    <row r="11" spans="1:6" ht="65" customHeight="1">
      <c r="A11" s="3" t="s">
        <v>218</v>
      </c>
      <c r="B11" s="4" t="s">
        <v>219</v>
      </c>
      <c r="C11" s="4"/>
      <c r="D11" s="4"/>
      <c r="E11" s="4"/>
      <c r="F11" s="4"/>
    </row>
    <row r="12" spans="1:6" ht="65" customHeight="1">
      <c r="A12" s="3" t="s">
        <v>220</v>
      </c>
      <c r="B12" s="4" t="s">
        <v>221</v>
      </c>
      <c r="C12" s="4"/>
      <c r="D12" s="4"/>
      <c r="E12" s="4"/>
      <c r="F12" s="4"/>
    </row>
    <row r="13" spans="1:6" ht="65" customHeight="1">
      <c r="A13" s="3" t="s">
        <v>222</v>
      </c>
      <c r="B13" s="4" t="s">
        <v>223</v>
      </c>
      <c r="C13" s="4"/>
      <c r="D13" s="4"/>
      <c r="E13" s="4"/>
      <c r="F13" s="4"/>
    </row>
    <row r="14" spans="1:6" ht="65" customHeight="1">
      <c r="A14" s="3" t="s">
        <v>224</v>
      </c>
      <c r="B14" s="4" t="s">
        <v>225</v>
      </c>
      <c r="C14" s="4"/>
      <c r="D14" s="4"/>
      <c r="E14" s="4"/>
      <c r="F14" s="4"/>
    </row>
    <row r="15" spans="1:6" ht="65" customHeight="1">
      <c r="A15" s="3" t="s">
        <v>226</v>
      </c>
      <c r="B15" s="4" t="s">
        <v>227</v>
      </c>
      <c r="C15" s="4"/>
      <c r="D15" s="4"/>
      <c r="E15" s="4"/>
      <c r="F15" s="4"/>
    </row>
    <row r="16" spans="1:6" ht="65" customHeight="1">
      <c r="A16" s="3" t="s">
        <v>228</v>
      </c>
      <c r="B16" s="4" t="s">
        <v>229</v>
      </c>
      <c r="C16" s="4"/>
      <c r="D16" s="4"/>
      <c r="E16" s="4"/>
      <c r="F16" s="4"/>
    </row>
  </sheetData>
  <mergeCells count="13">
    <mergeCell ref="A1:F1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2.7109375" customWidth="1"/>
    <col min="2" max="2" width="30.7109375" customWidth="1"/>
    <col min="3" max="3" width="65.7109375" customWidth="1"/>
    <col min="4" max="5" width="45.7109375" customWidth="1"/>
  </cols>
  <sheetData>
    <row r="1" spans="1:5" ht="32" customHeight="1">
      <c r="A1" s="1" t="s">
        <v>230</v>
      </c>
      <c r="B1" s="1"/>
      <c r="C1" s="1"/>
      <c r="D1" s="1"/>
      <c r="E1" s="1"/>
    </row>
    <row r="4" spans="1:5" ht="48" customHeight="1">
      <c r="A4" s="3" t="s">
        <v>231</v>
      </c>
      <c r="B4" s="3" t="s">
        <v>232</v>
      </c>
      <c r="C4" s="3" t="s">
        <v>233</v>
      </c>
      <c r="D4" s="3" t="s">
        <v>234</v>
      </c>
      <c r="E4" s="3" t="s">
        <v>235</v>
      </c>
    </row>
    <row r="5" spans="1:5" ht="110" customHeight="1">
      <c r="A5" t="s">
        <v>236</v>
      </c>
      <c r="B5" s="4" t="s">
        <v>237</v>
      </c>
      <c r="C5" s="11" t="s">
        <v>238</v>
      </c>
      <c r="D5" s="4" t="s">
        <v>239</v>
      </c>
      <c r="E5" s="4" t="s">
        <v>240</v>
      </c>
    </row>
    <row r="6" spans="1:5" ht="110" customHeight="1">
      <c r="A6" t="s">
        <v>241</v>
      </c>
      <c r="B6" s="4" t="s">
        <v>242</v>
      </c>
      <c r="C6" s="11" t="s">
        <v>243</v>
      </c>
      <c r="D6" s="4" t="s">
        <v>244</v>
      </c>
      <c r="E6" s="4" t="s">
        <v>240</v>
      </c>
    </row>
    <row r="7" spans="1:5" ht="110" customHeight="1">
      <c r="A7" t="s">
        <v>245</v>
      </c>
      <c r="B7" s="4" t="s">
        <v>246</v>
      </c>
      <c r="C7" s="11" t="s">
        <v>247</v>
      </c>
      <c r="D7" s="4" t="s">
        <v>248</v>
      </c>
      <c r="E7" s="4" t="s">
        <v>240</v>
      </c>
    </row>
    <row r="8" spans="1:5" ht="110" customHeight="1">
      <c r="A8" t="s">
        <v>249</v>
      </c>
      <c r="B8" s="4" t="s">
        <v>250</v>
      </c>
      <c r="C8" s="11" t="s">
        <v>251</v>
      </c>
      <c r="D8" s="4" t="s">
        <v>252</v>
      </c>
      <c r="E8" s="4" t="s">
        <v>240</v>
      </c>
    </row>
    <row r="9" spans="1:5" ht="110" customHeight="1">
      <c r="A9" t="s">
        <v>253</v>
      </c>
      <c r="B9" s="4" t="s">
        <v>254</v>
      </c>
      <c r="C9" s="11" t="s">
        <v>255</v>
      </c>
      <c r="D9" s="4" t="s">
        <v>256</v>
      </c>
      <c r="E9" s="4" t="s">
        <v>240</v>
      </c>
    </row>
    <row r="12" spans="1:5" ht="60" customHeight="1">
      <c r="A12" s="2" t="s">
        <v>257</v>
      </c>
      <c r="B12" s="2"/>
      <c r="C12" s="2"/>
      <c r="D12" s="2"/>
      <c r="E12" s="2"/>
    </row>
    <row r="14" spans="1:5" ht="60" customHeight="1">
      <c r="A14" s="2" t="s">
        <v>258</v>
      </c>
      <c r="B14" s="2"/>
      <c r="C14" s="2"/>
      <c r="D14" s="2"/>
      <c r="E14" s="2"/>
    </row>
    <row r="16" spans="1:5" ht="60" customHeight="1">
      <c r="A16" s="2" t="s">
        <v>259</v>
      </c>
      <c r="B16" s="2"/>
      <c r="C16" s="2"/>
      <c r="D16" s="2"/>
      <c r="E16" s="2"/>
    </row>
    <row r="18" spans="1:5" ht="60" customHeight="1">
      <c r="A18" s="2" t="s">
        <v>260</v>
      </c>
      <c r="B18" s="2"/>
      <c r="C18" s="2"/>
      <c r="D18" s="2"/>
      <c r="E18" s="2"/>
    </row>
    <row r="20" spans="1:5" ht="60" customHeight="1">
      <c r="A20" s="2" t="s">
        <v>261</v>
      </c>
      <c r="B20" s="2"/>
      <c r="C20" s="2"/>
      <c r="D20" s="2"/>
      <c r="E20" s="2"/>
    </row>
    <row r="22" spans="1:5" ht="60" customHeight="1">
      <c r="A22" s="2" t="s">
        <v>262</v>
      </c>
      <c r="B22" s="2"/>
      <c r="C22" s="2"/>
      <c r="D22" s="2"/>
      <c r="E22" s="2"/>
    </row>
    <row r="24" spans="1:5" ht="60" customHeight="1">
      <c r="A24" s="2" t="s">
        <v>263</v>
      </c>
      <c r="B24" s="2"/>
      <c r="C24" s="2"/>
      <c r="D24" s="2"/>
      <c r="E24" s="2"/>
    </row>
    <row r="26" spans="1:5" ht="60" customHeight="1">
      <c r="A26" s="2" t="s">
        <v>264</v>
      </c>
      <c r="B26" s="2"/>
      <c r="C26" s="2"/>
      <c r="D26" s="2"/>
      <c r="E26" s="2"/>
    </row>
    <row r="28" spans="1:5" ht="60" customHeight="1">
      <c r="A28" s="2" t="s">
        <v>265</v>
      </c>
      <c r="B28" s="2"/>
      <c r="C28" s="2"/>
      <c r="D28" s="2"/>
      <c r="E28" s="2"/>
    </row>
  </sheetData>
  <mergeCells count="10">
    <mergeCell ref="A1:E1"/>
    <mergeCell ref="A12:E12"/>
    <mergeCell ref="A14:E14"/>
    <mergeCell ref="A16:E16"/>
    <mergeCell ref="A18:E18"/>
    <mergeCell ref="A20:E20"/>
    <mergeCell ref="A22:E22"/>
    <mergeCell ref="A24:E24"/>
    <mergeCell ref="A26:E26"/>
    <mergeCell ref="A28:E28"/>
  </mergeCells>
  <hyperlinks>
    <hyperlink ref="C5" r:id="rId1"/>
    <hyperlink ref="C6" r:id="rId2"/>
    <hyperlink ref="C7" r:id="rId3"/>
    <hyperlink ref="C8" r:id="rId4"/>
    <hyperlink ref="C9" r:id="rId5"/>
  </hyperlinks>
  <pageMargins left="0.7" right="0.7" top="0.75" bottom="0.75" header="0.3" footer="0.3"/>
  <pageSetup fitToHeight="0" orientation="landscape"/>
  <headerFooter>
    <oddFooter>&amp;L AUMI | Hipóteses — não promessa de retorno 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18</vt:i4>
      </vt:variant>
    </vt:vector>
  </HeadingPairs>
  <TitlesOfParts>
    <vt:vector size="31" baseType="lpstr">
      <vt:lpstr>Leia primeiro</vt:lpstr>
      <vt:lpstr>Premissas</vt:lpstr>
      <vt:lpstr>Economia</vt:lpstr>
      <vt:lpstr>Conservador</vt:lpstr>
      <vt:lpstr>Base</vt:lpstr>
      <vt:lpstr>Escala24</vt:lpstr>
      <vt:lpstr>CAC15</vt:lpstr>
      <vt:lpstr>FX4,5</vt:lpstr>
      <vt:lpstr>Resumo</vt:lpstr>
      <vt:lpstr>Capital</vt:lpstr>
      <vt:lpstr>Escala</vt:lpstr>
      <vt:lpstr>Gates</vt:lpstr>
      <vt:lpstr>Fontes</vt:lpstr>
      <vt:lpstr>Base!Print_Area</vt:lpstr>
      <vt:lpstr>CAC15!Print_Area</vt:lpstr>
      <vt:lpstr>Conservador!Print_Area</vt:lpstr>
      <vt:lpstr>Escala24!Print_Area</vt:lpstr>
      <vt:lpstr>'FX4,5'!Print_Area</vt:lpstr>
      <vt:lpstr>Base!Print_Titles</vt:lpstr>
      <vt:lpstr>CAC15!Print_Titles</vt:lpstr>
      <vt:lpstr>Capital!Print_Titles</vt:lpstr>
      <vt:lpstr>Conservador!Print_Titles</vt:lpstr>
      <vt:lpstr>Economia!Print_Titles</vt:lpstr>
      <vt:lpstr>Escala!Print_Titles</vt:lpstr>
      <vt:lpstr>Escala24!Print_Titles</vt:lpstr>
      <vt:lpstr>Fontes!Print_Titles</vt:lpstr>
      <vt:lpstr>'FX4,5'!Print_Titles</vt:lpstr>
      <vt:lpstr>Gates!Print_Titles</vt:lpstr>
      <vt:lpstr>'Leia primeiro'!Print_Titles</vt:lpstr>
      <vt:lpstr>Premissas!Print_Titles</vt:lpstr>
      <vt:lpstr>Resumo!Print_Titles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AUMI — modelo do portfólio</dc:title>
  <dc:subject>Simulação, não previsão; separado do Topologic empresarial</dc:subject>
  <dc:creator>AUMI</dc:creator>
  <cp:lastModifiedBy>AUMI</cp:lastModifiedBy>
  <dcterms:created xsi:type="dcterms:W3CDTF">2026-10-02T14:47:11Z</dcterms:created>
  <dcterms:modified xsi:type="dcterms:W3CDTF">2026-10-02T14:47:11Z</dcterms:modified>
</cp:coreProperties>
</file>