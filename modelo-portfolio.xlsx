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ia primeiro" sheetId="1" r:id="rId1"/>
    <sheet name="Premissas" sheetId="2" r:id="rId2"/>
    <sheet name="Ofertas" sheetId="3" r:id="rId3"/>
    <sheet name="Conservador" sheetId="4" r:id="rId4"/>
    <sheet name="Base" sheetId="5" r:id="rId5"/>
    <sheet name="Escala24" sheetId="6" r:id="rId6"/>
    <sheet name="CAC15" sheetId="7" r:id="rId7"/>
    <sheet name="Novas50" sheetId="8" r:id="rId8"/>
    <sheet name="Resumo" sheetId="9" r:id="rId9"/>
    <sheet name="Capital" sheetId="10" r:id="rId10"/>
    <sheet name="Capacidade" sheetId="11" r:id="rId11"/>
    <sheet name="Sensibilidades" sheetId="12" r:id="rId12"/>
    <sheet name="Máquina incremental" sheetId="13" r:id="rId13"/>
    <sheet name="Fontes" sheetId="14" r:id="rId14"/>
  </sheets>
  <definedNames>
    <definedName name="_xlnm._FilterDatabase" localSheetId="4" hidden="1">Base!$A$4:$BV$28</definedName>
    <definedName name="_xlnm._FilterDatabase" localSheetId="6" hidden="1">CAC15!$A$4:$BV$28</definedName>
    <definedName name="_xlnm._FilterDatabase" localSheetId="10" hidden="1">Capacidade!$A$4:$K$124</definedName>
    <definedName name="_xlnm._FilterDatabase" localSheetId="3" hidden="1">Conservador!$A$4:$BV$28</definedName>
    <definedName name="_xlnm._FilterDatabase" localSheetId="5" hidden="1">Escala24!$A$4:$BV$28</definedName>
    <definedName name="_xlnm._FilterDatabase" localSheetId="7" hidden="1">Novas50!$A$4:$BV$28</definedName>
    <definedName name="_xlnm.Print_Area" localSheetId="4">Base!$A$1:$BV$28</definedName>
    <definedName name="_xlnm.Print_Area" localSheetId="6">CAC15!$A$1:$BV$28</definedName>
    <definedName name="_xlnm.Print_Area" localSheetId="3">Conservador!$A$1:$BV$28</definedName>
    <definedName name="_xlnm.Print_Area" localSheetId="5">Escala24!$A$1:$BV$28</definedName>
    <definedName name="_xlnm.Print_Area" localSheetId="7">Novas50!$A$1:$BV$28</definedName>
    <definedName name="_xlnm.Print_Titles" localSheetId="4">Base!$1:$4</definedName>
    <definedName name="_xlnm.Print_Titles" localSheetId="6">CAC15!$1:$4</definedName>
    <definedName name="_xlnm.Print_Titles" localSheetId="10">Capacidade!$1:$4</definedName>
    <definedName name="_xlnm.Print_Titles" localSheetId="9">Capital!$1:$4</definedName>
    <definedName name="_xlnm.Print_Titles" localSheetId="3">Conservador!$1:$4</definedName>
    <definedName name="_xlnm.Print_Titles" localSheetId="5">Escala24!$1:$4</definedName>
    <definedName name="_xlnm.Print_Titles" localSheetId="13">Fontes!$1:$4</definedName>
    <definedName name="_xlnm.Print_Titles" localSheetId="0">'Leia primeiro'!$1:$4</definedName>
    <definedName name="_xlnm.Print_Titles" localSheetId="12">'Máquina incremental'!$1:$4</definedName>
    <definedName name="_xlnm.Print_Titles" localSheetId="7">Novas50!$1:$4</definedName>
    <definedName name="_xlnm.Print_Titles" localSheetId="2">Ofertas!$1:$4</definedName>
    <definedName name="_xlnm.Print_Titles" localSheetId="1">Premissas!$1:$4</definedName>
    <definedName name="_xlnm.Print_Titles" localSheetId="8">Resumo!$1:$4</definedName>
    <definedName name="_xlnm.Print_Titles" localSheetId="11">Sensibilidades!$1:$4</definedName>
  </definedNames>
  <calcPr calcId="124519" fullCalcOnLoad="1"/>
</workbook>
</file>

<file path=xl/sharedStrings.xml><?xml version="1.0" encoding="utf-8"?>
<sst xmlns="http://schemas.openxmlformats.org/spreadsheetml/2006/main" count="873" uniqueCount="299">
  <si>
    <t>AUMI | Uma base produtiva. Cinco frentes.</t>
  </si>
  <si>
    <t>LEGENDA: azul = entrada editável; demais valores = fórmulas com cache. Editar exige aplicativo que recalcule fórmulas. CSV e JSON são snapshots: não acompanham edições manuais no XLSX.</t>
  </si>
  <si>
    <t>Todas as novas ofertas, preços, custos e agendas são hipóteses gerenciais para testar; não pesquisa de preços, contratos, pipeline ou previsão garantida.</t>
  </si>
  <si>
    <t>Loja e mapa preservam premissas/agendas de pitch-data.json. Enterprise R$200k + R$12k/mês é expansão excluída.</t>
  </si>
  <si>
    <t>Fluxo de 24 meses pressupõe financiamento integral, contratação e qualidade; saldos negativos identificam capital necessário. R$200k não financia automaticamente o plano.</t>
  </si>
  <si>
    <t>Caixa, receita após estornos, contribuição e resultado de competência são distintos. Plataforma é retida antes da liquidação: não descontar duas vezes.</t>
  </si>
  <si>
    <t>Loja M+1; mapa50/50 com comercial caixa sobre recebido e competência sobre faturado; código50/50 com todos os custos correntes. Conteúdo, atendimento e setup correntes.</t>
  </si>
  <si>
    <t>Valores monetários arredondados por componente a duas casas. Capital = pico de déficit incluindo M0 + reserva126k, teto em10k. Fixos37k ano1/42k ano2 uma única vez.</t>
  </si>
  <si>
    <t>Payback do projeto é o primeiro acumulado &gt;=0 após M0; exclui juros, distribuição e tributos pessoais. Retorno da Dani indefinido: aporte/payout não acordados, mesmo com participação50%.</t>
  </si>
  <si>
    <t>Horas diretas pagas como variável além de P&amp;D/estrutura fixa. Equivalência /160h é aritmética, não capacidade contratada. Não inclui horas de loja, vendas, gestão e P&amp;D ainda não dimensionadas.</t>
  </si>
  <si>
    <t>Atendimento sem churn no cenário: retenção não provada. Setup só em crescimento líquido; cenário não modela substituição de clientes perdidos. Novas50 não é modelo explícito de churn.</t>
  </si>
  <si>
    <t>Muitas frentes disputam a mesma GPU/equipe; expansão condicional a compradores, contratação, qualidade e medição. Horas humanas não são throughput de GPU.</t>
  </si>
  <si>
    <t>Uma DGX compartilhada; não multiplicar equipamento por oferta nem atribuir toda receita à máquina. vLLM OU SGLang conforme carga; imagem/áudio/vídeo exigem pipelines próprios.</t>
  </si>
  <si>
    <t>Recuperação de hardware é exemplo incremental separado do negócio: margem incremental + economia efetiva − custos incrementais contra operação sem compra/APIs alternativas. Sem dupla contagem; horas poupadas não viram dinheiro automaticamente.</t>
  </si>
  <si>
    <t>Exemplos de hardware sem ramp, valor residual ou juros; não são benchmarks nem resultados do modelo operacional.</t>
  </si>
  <si>
    <t>Navegação: Premissas → Ofertas → Resumo/Capital → fluxos mensais → Capacidade → Sensibilidades → Máquina incremental → Fontes. Cenários são hipóteses; fluxo não para no saldo negativo.</t>
  </si>
  <si>
    <t>Premissas | azul = entrada</t>
  </si>
  <si>
    <t>Premissa</t>
  </si>
  <si>
    <t>Valor</t>
  </si>
  <si>
    <t>Unidade</t>
  </si>
  <si>
    <t>Limite / origem</t>
  </si>
  <si>
    <t>Ticket loja</t>
  </si>
  <si>
    <t>USD/pedido</t>
  </si>
  <si>
    <t>Hipótese de preço</t>
  </si>
  <si>
    <t>Câmbio</t>
  </si>
  <si>
    <t>BRL/USD</t>
  </si>
  <si>
    <t>Hipótese, não cotação</t>
  </si>
  <si>
    <t>Estornos loja</t>
  </si>
  <si>
    <t>% bruto</t>
  </si>
  <si>
    <t>8% sobre pedidos aprovados</t>
  </si>
  <si>
    <t>Taxa plataforma</t>
  </si>
  <si>
    <t>% após estornos</t>
  </si>
  <si>
    <t>Tabela Hotmart herdada; confirmar conta</t>
  </si>
  <si>
    <t>Taxa fixa plataforma</t>
  </si>
  <si>
    <t>USD/venda concluída</t>
  </si>
  <si>
    <t>Sem taxa em pedido reembolsado</t>
  </si>
  <si>
    <t>Tributos provisionados</t>
  </si>
  <si>
    <t>% receita</t>
  </si>
  <si>
    <t>Loja após estorno; serviços sobre fatura; confirmar regime</t>
  </si>
  <si>
    <t>Reserva meios/câmbio loja</t>
  </si>
  <si>
    <t>Hipótese adicional; não tarifa citada</t>
  </si>
  <si>
    <t>CAC loja</t>
  </si>
  <si>
    <t>USD/pedido aprovado</t>
  </si>
  <si>
    <t>Inclui pedidos reembolsados e orgânicos</t>
  </si>
  <si>
    <t>Suporte loja</t>
  </si>
  <si>
    <t>Variável; horas não dimensionadas no modelo</t>
  </si>
  <si>
    <t>Conversão loja</t>
  </si>
  <si>
    <t>% visitas</t>
  </si>
  <si>
    <t>Hipótese; não medição</t>
  </si>
  <si>
    <t>Preço mapa TI</t>
  </si>
  <si>
    <t>BRL/projeto</t>
  </si>
  <si>
    <t>Domínio limitado; preço de teste</t>
  </si>
  <si>
    <t>Horas mapa TI</t>
  </si>
  <si>
    <t>h/projeto</t>
  </si>
  <si>
    <t>Entrega direta, além de P&amp;D/estrutura fixa</t>
  </si>
  <si>
    <t>Hora direta mapa</t>
  </si>
  <si>
    <t>BRL/h</t>
  </si>
  <si>
    <t>Custo variável hipotético</t>
  </si>
  <si>
    <t>Comercial mapa</t>
  </si>
  <si>
    <t>%</t>
  </si>
  <si>
    <t>Caixa sobre recebido; competência sobre faturado</t>
  </si>
  <si>
    <t>Entrada mapa</t>
  </si>
  <si>
    <t>% mês corrente</t>
  </si>
  <si>
    <t>Saldo no mês seguinte</t>
  </si>
  <si>
    <t>Liquidação loja</t>
  </si>
  <si>
    <t>meses</t>
  </si>
  <si>
    <t>M+1; parametrizável de 0 a 24</t>
  </si>
  <si>
    <t>Equipamentos M0</t>
  </si>
  <si>
    <t>BRL</t>
  </si>
  <si>
    <t>Uma DGX: 65k; proteção4k, rede2k, backup3k, periféricos2k; sem cotação</t>
  </si>
  <si>
    <t>Preparação M0</t>
  </si>
  <si>
    <t>Jurídico12k + segurança12k; hipóteses</t>
  </si>
  <si>
    <t>Investimento M0</t>
  </si>
  <si>
    <t>BRL calculado</t>
  </si>
  <si>
    <t>Equipamentos + preparação; compra não autorizada</t>
  </si>
  <si>
    <t>Fixo compartilhado ano1</t>
  </si>
  <si>
    <t>BRL/mês</t>
  </si>
  <si>
    <t>P&amp;D/estrutura; não duplicar entre ofertas</t>
  </si>
  <si>
    <t>Fixo compartilhado ano2</t>
  </si>
  <si>
    <t>Hipótese; não capacidade contratada</t>
  </si>
  <si>
    <t>Reserva</t>
  </si>
  <si>
    <t>meses de fixo ano2</t>
  </si>
  <si>
    <t>Reserva adicional ao pico do déficit</t>
  </si>
  <si>
    <t>Arredondamento do capital</t>
  </si>
  <si>
    <t>Arredondar para cima neste múltiplo</t>
  </si>
  <si>
    <t>CAC sensibilizado</t>
  </si>
  <si>
    <t>Sem mudar vendas</t>
  </si>
  <si>
    <t>Volumes novos sensibilizados</t>
  </si>
  <si>
    <t>fator</t>
  </si>
  <si>
    <t>Piso por mês de conteúdo/código/atendimento; loja/mapa preservados</t>
  </si>
  <si>
    <t>Equivalência de horas</t>
  </si>
  <si>
    <t>h/mês</t>
  </si>
  <si>
    <t>Divisor aritmético; não equipe contratada</t>
  </si>
  <si>
    <t>Comercial novas ofertas</t>
  </si>
  <si>
    <t>% fatura</t>
  </si>
  <si>
    <t>Pago no mês de entrega</t>
  </si>
  <si>
    <t>Entrada código</t>
  </si>
  <si>
    <t>Saldo no seguinte; custos todos correntes</t>
  </si>
  <si>
    <t>Economia unitária | preços de teste, não contratos</t>
  </si>
  <si>
    <t>Oferta</t>
  </si>
  <si>
    <t>Preço BRL</t>
  </si>
  <si>
    <t>Horas diretas</t>
  </si>
  <si>
    <t>Custo BRL/h</t>
  </si>
  <si>
    <t>Entrega direta</t>
  </si>
  <si>
    <t>Tributos</t>
  </si>
  <si>
    <t>Comercial competência</t>
  </si>
  <si>
    <t>Meios/ferramentas</t>
  </si>
  <si>
    <t>Contribuição</t>
  </si>
  <si>
    <t>Escopo e caixa</t>
  </si>
  <si>
    <t>Conteúdo recorrente</t>
  </si>
  <si>
    <t>12 peças + 4 roteiros; uma rodada de revisão. Vídeo final/voz/imagem avançada à parte. Não promete tráfego/vendas. Recebimento corrente.</t>
  </si>
  <si>
    <t>Código / automação</t>
  </si>
  <si>
    <t>Um fluxo e integrações autorizadas até40h; mudança de escopo cotada. Revisão, segurança e testes humanos. Caixa50/50; custos correntes.</t>
  </si>
  <si>
    <t>Atendimento mensal</t>
  </si>
  <si>
    <t>Base autorizada, triagem, resposta e escalonamento humano. SLA/limites/conversas dependem de benchmark e contrato. Não ilimitado. Caixa corrente.</t>
  </si>
  <si>
    <t>Setup atendimento</t>
  </si>
  <si>
    <t>Por novo cliente: max(0, clientes atuais − anteriores). Setup e mensalidade recebidos na ativação; sem churn no cenário, não retenção comprovada.</t>
  </si>
  <si>
    <t>Mapa inicial TI</t>
  </si>
  <si>
    <t>Domínio limitado,80h, mapa visual de fontes/sistemas/responsáveis/relações. Caixa50/50; comercial caixa sobre recebido. Enterprise excluído.</t>
  </si>
  <si>
    <t>Loja por pedido aprovado</t>
  </si>
  <si>
    <t>USD (6 casas)</t>
  </si>
  <si>
    <t>BRL (6 casas)</t>
  </si>
  <si>
    <t>Incidência</t>
  </si>
  <si>
    <t>Bruto</t>
  </si>
  <si>
    <t>Preço proposto</t>
  </si>
  <si>
    <t>Estornos</t>
  </si>
  <si>
    <t>Sobre bruto</t>
  </si>
  <si>
    <t>Após estornos</t>
  </si>
  <si>
    <t>Receita reconhecida</t>
  </si>
  <si>
    <t>Plataforma</t>
  </si>
  <si>
    <t>Somente concluídos</t>
  </si>
  <si>
    <t>Meios / câmbio</t>
  </si>
  <si>
    <t>Reserva hipotética</t>
  </si>
  <si>
    <t>CAC</t>
  </si>
  <si>
    <t>Todos os pedidos</t>
  </si>
  <si>
    <t>Suporte</t>
  </si>
  <si>
    <t>Antes dos fixos e M0</t>
  </si>
  <si>
    <t>Unitário loja mantém precisão analítica; mensal arredonda cada componente a2 casas. Setup pertence à frente atendimento: cinco frentes no total, não seis. Contribuição antes de fixos e M0.</t>
  </si>
  <si>
    <t>Conservador | fluxo mensal completo</t>
  </si>
  <si>
    <t>Agendas azuis editáveis; não pipeline existente. | M0 em Premissas. Custos fixos compartilhados únicos. Caixa sem aportes, juros ou distribuição.</t>
  </si>
  <si>
    <t>Mês</t>
  </si>
  <si>
    <t>Pedidos loja</t>
  </si>
  <si>
    <t>Mapas TI</t>
  </si>
  <si>
    <t>Clientes conteúdo</t>
  </si>
  <si>
    <t>Projetos código</t>
  </si>
  <si>
    <t>Clientes atendimento</t>
  </si>
  <si>
    <t>Ativações atendimento</t>
  </si>
  <si>
    <t>Visitas qualificadas</t>
  </si>
  <si>
    <t>Loja bruta USD</t>
  </si>
  <si>
    <t>Loja bruta BRL</t>
  </si>
  <si>
    <t>Estornos BRL</t>
  </si>
  <si>
    <t>Loja após estornos BRL</t>
  </si>
  <si>
    <t>Plataforma retida BRL</t>
  </si>
  <si>
    <t>Liquidação gerada BRL</t>
  </si>
  <si>
    <t>Loja recebida BRL</t>
  </si>
  <si>
    <t>Tributos loja BRL</t>
  </si>
  <si>
    <t>Meios/câmbio loja BRL</t>
  </si>
  <si>
    <t>CAC loja BRL</t>
  </si>
  <si>
    <t>Suporte loja BRL</t>
  </si>
  <si>
    <t>Contribuição loja BRL</t>
  </si>
  <si>
    <t>Horas mapa</t>
  </si>
  <si>
    <t>Fatura mapa BRL</t>
  </si>
  <si>
    <t>Recebido mapa BRL</t>
  </si>
  <si>
    <t>Entrega mapa BRL</t>
  </si>
  <si>
    <t>Tributos mapa BRL</t>
  </si>
  <si>
    <t>Comercial mapa caixa BRL</t>
  </si>
  <si>
    <t>Comercial mapa competência BRL</t>
  </si>
  <si>
    <t>Contribuição mapa BRL</t>
  </si>
  <si>
    <t>Conteúdo horas</t>
  </si>
  <si>
    <t>Conteúdo faturado BRL</t>
  </si>
  <si>
    <t>Conteúdo recebido BRL</t>
  </si>
  <si>
    <t>Conteúdo entrega direta BRL</t>
  </si>
  <si>
    <t>Conteúdo tributos BRL</t>
  </si>
  <si>
    <t>Conteúdo comercial BRL</t>
  </si>
  <si>
    <t>Conteúdo meios/ferramentas BRL</t>
  </si>
  <si>
    <t>Conteúdo contribuição BRL</t>
  </si>
  <si>
    <t>Código horas</t>
  </si>
  <si>
    <t>Código faturado BRL</t>
  </si>
  <si>
    <t>Código recebido BRL</t>
  </si>
  <si>
    <t>Código entrega direta BRL</t>
  </si>
  <si>
    <t>Código tributos BRL</t>
  </si>
  <si>
    <t>Código comercial BRL</t>
  </si>
  <si>
    <t>Código meios/ferramentas BRL</t>
  </si>
  <si>
    <t>Código contribuição BRL</t>
  </si>
  <si>
    <t>Atendimento horas</t>
  </si>
  <si>
    <t>Atendimento faturado BRL</t>
  </si>
  <si>
    <t>Atendimento recebido BRL</t>
  </si>
  <si>
    <t>Atendimento entrega direta BRL</t>
  </si>
  <si>
    <t>Atendimento tributos BRL</t>
  </si>
  <si>
    <t>Atendimento comercial BRL</t>
  </si>
  <si>
    <t>Atendimento meios/ferramentas BRL</t>
  </si>
  <si>
    <t>Atendimento contribuição BRL</t>
  </si>
  <si>
    <t>Setup atendimento horas</t>
  </si>
  <si>
    <t>Setup atendimento faturado BRL</t>
  </si>
  <si>
    <t>Setup atendimento recebido BRL</t>
  </si>
  <si>
    <t>Setup atendimento entrega direta BRL</t>
  </si>
  <si>
    <t>Setup atendimento tributos BRL</t>
  </si>
  <si>
    <t>Setup atendimento comercial BRL</t>
  </si>
  <si>
    <t>Setup atendimento meios/ferramentas BRL</t>
  </si>
  <si>
    <t>Setup atendimento contribuição BRL</t>
  </si>
  <si>
    <t>Horas diretas dos serviços</t>
  </si>
  <si>
    <t>Equivalência /160h</t>
  </si>
  <si>
    <t>Fixo compartilhado BRL</t>
  </si>
  <si>
    <t>Vendas brutas BRL</t>
  </si>
  <si>
    <t>Receita após estornos BRL</t>
  </si>
  <si>
    <t>Contribuição total BRL</t>
  </si>
  <si>
    <t>Recebimentos caixa BRL</t>
  </si>
  <si>
    <t>Saídas caixa BRL</t>
  </si>
  <si>
    <t>Fluxo líquido BRL</t>
  </si>
  <si>
    <t>Acumulado sem aporte BRL</t>
  </si>
  <si>
    <t>Resultado competência BRL</t>
  </si>
  <si>
    <t>A receber BRL</t>
  </si>
  <si>
    <t>Mês payback elegível (999=não)</t>
  </si>
  <si>
    <t>Saldo com aporte200k BRL</t>
  </si>
  <si>
    <t>Base | fluxo mensal completo</t>
  </si>
  <si>
    <t>Escala24 | fluxo mensal completo</t>
  </si>
  <si>
    <t>CAC15 | fluxo mensal completo</t>
  </si>
  <si>
    <t>CAC loja USD15; mesma agenda Base e câmbio | M0 em Premissas. Custos fixos compartilhados únicos. Caixa sem aportes, juros ou distribuição.</t>
  </si>
  <si>
    <t>Novas50 | fluxo mensal completo</t>
  </si>
  <si>
    <t>50% dos volumes novos, piso mensal; loja, mapa e fixos preservados; ativações recalculadas | M0 em Premissas. Custos fixos compartilhados únicos. Caixa sem aportes, juros ou distribuição.</t>
  </si>
  <si>
    <t>Economia do portfólio | cinco frentes e custos completos</t>
  </si>
  <si>
    <t>Cenário</t>
  </si>
  <si>
    <t>M0 BRL</t>
  </si>
  <si>
    <t>Pico déficit BRL</t>
  </si>
  <si>
    <t>Reserva BRL</t>
  </si>
  <si>
    <t>Capital completo BRL</t>
  </si>
  <si>
    <t>Payback projeto mês</t>
  </si>
  <si>
    <t>Caixa M24 sem aporte</t>
  </si>
  <si>
    <t>Bruto ano1</t>
  </si>
  <si>
    <t>Bruto ano2</t>
  </si>
  <si>
    <t>Bruto M24</t>
  </si>
  <si>
    <t>Contribuição M24</t>
  </si>
  <si>
    <t>Horas diretas serviços M24</t>
  </si>
  <si>
    <t>Equivalente /160h</t>
  </si>
  <si>
    <t>Resultado competência M24</t>
  </si>
  <si>
    <t>Recebimentos M24</t>
  </si>
  <si>
    <t>A receber M24</t>
  </si>
  <si>
    <t>Retorno Dani</t>
  </si>
  <si>
    <t>conservador</t>
  </si>
  <si>
    <t>Indefinido: aporte/payout não acordados</t>
  </si>
  <si>
    <t>base</t>
  </si>
  <si>
    <t>escala</t>
  </si>
  <si>
    <t>base-cac15</t>
  </si>
  <si>
    <t>base-novas50</t>
  </si>
  <si>
    <t>Contribuição = receita após estornos − custos variáveis; resultado competência = contribuição − fixo único. Caixa considera liquidação. Não atribuir toda receita à DGX. Retorno Dani não calculável sem acordo de aporte/payout.</t>
  </si>
  <si>
    <t>Capital completo | saldos negativos não são financiamento</t>
  </si>
  <si>
    <t>Capital arredondado</t>
  </si>
  <si>
    <t>Menor saldo com100k</t>
  </si>
  <si>
    <t>Menor saldo com150k</t>
  </si>
  <si>
    <t>Menor saldo com200k</t>
  </si>
  <si>
    <t>Capital inclui M0; não somar M0 novamente ao capital completo. Reserva é adicional ao pico de déficit. Aporte não entra no acumulado usado para payback. Fluxos completos são condicionais ao financiamento, não autorização de compra.</t>
  </si>
  <si>
    <t>Capacidade compartilhada | horas humanas, não throughput GPU</t>
  </si>
  <si>
    <t>Horas conteúdo</t>
  </si>
  <si>
    <t>Horas código</t>
  </si>
  <si>
    <t>Horas atendimento</t>
  </si>
  <si>
    <t>Horas setup</t>
  </si>
  <si>
    <t>Custos diretos de horas BRL</t>
  </si>
  <si>
    <t>Equipe/GPU</t>
  </si>
  <si>
    <t>Não contratada / não medida</t>
  </si>
  <si>
    <t>Horas de loja, vendas, gestão e P&amp;D não dimensionadas aqui. Custos diretos já estão no fluxo, além do fixo. /160h não prova número de pessoas, disponibilidade nem ocupação GPU; planejar contratação e benchmark antes de SLA.</t>
  </si>
  <si>
    <t>Dependência comercial | sensibilidades isoladas da Base</t>
  </si>
  <si>
    <t>Caso</t>
  </si>
  <si>
    <t>Capital completo</t>
  </si>
  <si>
    <t>Pico déficit</t>
  </si>
  <si>
    <t>Payback mês</t>
  </si>
  <si>
    <t>Caixa M24</t>
  </si>
  <si>
    <t>Δ caixa vs Base</t>
  </si>
  <si>
    <t>CAC15: só aumenta CAC loja, sem mudar vendas. Novas50: aplica piso a50% dos clientes conteúdo, projetos código e clientes atendimento por mês; ativações recalculadas. Mantém loja/mapa/fixos. Reduz receita, custos e horas novos; não é cenário de churn explícito.</t>
  </si>
  <si>
    <t>Sem churn e sem atraso adicional de pagamento na Base: riscos não eliminados. Várias frentes simultâneas não equivalem a pipeline. Ofertas devem ser validadas e expandidas progressivamente; serviço recorrente não prova retenção.</t>
  </si>
  <si>
    <t>Equipamento: recuperação incremental, não retorno do negócio</t>
  </si>
  <si>
    <t>Hardware BRL</t>
  </si>
  <si>
    <t>Benefício líquido incremental/mês</t>
  </si>
  <si>
    <t>Payback simples meses</t>
  </si>
  <si>
    <t>Exemplos aritméticos: R$76mil ÷ benefício incremental líquido mensal. NÃO são resultado do fluxo, projeção medida ou benchmark. Sem ramp, valor residual ou juros.</t>
  </si>
  <si>
    <t>Benefício incremental líquido = margem adicional atribuível + economia efetiva − custos incrementais. Comparar com operação sem compra/APIs alternativas. Não atribuir toda receita à máquina; evitar dupla contagem. Horas poupadas não são dinheiro automaticamente.</t>
  </si>
  <si>
    <t>Uma DGX serve o portfólio inteiro. Custos incrementais incluem energia, manutenção, infraestrutura, pessoal adicional e alternativas evitadas conforme medição real. Não foi inventado um benefício medido para a compra.</t>
  </si>
  <si>
    <t>Fontes e rastreabilidade | premissas não viram fatos</t>
  </si>
  <si>
    <t>Origem</t>
  </si>
  <si>
    <t>URL / arquivo</t>
  </si>
  <si>
    <t>Data / revisão</t>
  </si>
  <si>
    <t>O que sustenta e limita</t>
  </si>
  <si>
    <t>Contrato gerencial</t>
  </si>
  <si>
    <t>EXPANDED-FINANCE-BRIEF.md</t>
  </si>
  <si>
    <t>2026-10-02</t>
  </si>
  <si>
    <t>Novas ofertas, agendas, custos e sensibilidades. Hipóteses propostas, não preços pesquisados nem pipeline.</t>
  </si>
  <si>
    <t>Modelo anterior</t>
  </si>
  <si>
    <t>pitch-data.json</t>
  </si>
  <si>
    <t>Premissas e agendas Loja/Mapa preservadas; JSON histórico não alterado.</t>
  </si>
  <si>
    <t>Tese e governança</t>
  </si>
  <si>
    <t>REDESIGN-BRIEF.md</t>
  </si>
  <si>
    <t>Infraestrutura produtiva compartilhada, cinco frentes; enterprise excluído; retorno Dani indefinido.</t>
  </si>
  <si>
    <t>hotmart-fees</t>
  </si>
  <si>
    <t>https://suportehotmart.zendesk.com/hc/en-us/articles/208298448-What-are-the-fees-charged-by-Hotmart</t>
  </si>
  <si>
    <t>2026-09-18; tarifa efetiva2026-09-21</t>
  </si>
  <si>
    <t>Tabela USD&gt;15 e FAQ:9,9%+USD1,00 por venda concluída. Um parágrafo antigo ainda cita0,50; adotado1,00 conforme tabela/FAQ atualizados. Tributos/cartão não incluídos; reembolso cancela taxa. Fonte herdada; não revalidada nesta geração.</t>
  </si>
  <si>
    <t>nvidia</t>
  </si>
  <si>
    <t>https://docs.nvidia.com/dgx/dgx-spark/hardware.html</t>
  </si>
  <si>
    <t>2026-09-10</t>
  </si>
  <si>
    <t>GB10/Grace Blackwell,20 núcleos ARM,128GB unificados,1TB ou4TB NVMe,10GbE,fonte240W. Escolha4TB no orçamento. R$65k é provisão sem cotação brasileira. Fonte herdada; não revalidada nesta geração.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</si>
</sst>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%"/>
    <numFmt numFmtId="166" formatCode="#,##0.00;[Red](#,##0.00)"/>
    <numFmt numFmtId="167" formatCode="0.000000"/>
    <numFmt numFmtId="168" formatCode="0.00"/>
  </numFmts>
  <fonts count="7">
    <font>
      <sz val="11"/>
      <color theme="1"/>
      <name val="Calibri"/>
      <family val="2"/>
      <scheme val="minor"/>
    </font>
    <font>
      <b/>
      <sz val="21"/>
      <color rgb="FFFFFFFF"/>
      <name val="Aptos"/>
      <family val="2"/>
    </font>
    <font>
      <sz val="11"/>
      <color rgb="FF713900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sz val="11"/>
      <color rgb="FF155BB0"/>
      <name val="Aptos"/>
      <family val="2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9134B"/>
        <bgColor indexed="64"/>
      </patternFill>
    </fill>
    <fill>
      <patternFill patternType="solid">
        <fgColor rgb="FFFFF0DB"/>
        <bgColor indexed="64"/>
      </patternFill>
    </fill>
    <fill>
      <patternFill patternType="solid">
        <fgColor rgb="FF472576"/>
        <bgColor indexed="64"/>
      </patternFill>
    </fill>
    <fill>
      <patternFill patternType="solid">
        <fgColor rgb="FFE8F2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13">
    <xf numFmtId="0" fontId="0" fillId="0" borderId="0" xfId="0"/>
    <xf numFmtId="0" fontId="1" fillId="2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164" fontId="5" fillId="5" borderId="0" xfId="0" applyNumberFormat="1" applyFont="1" applyFill="1" applyAlignment="1">
      <alignment vertical="top"/>
    </xf>
    <xf numFmtId="165" fontId="5" fillId="5" borderId="0" xfId="0" applyNumberFormat="1" applyFont="1" applyFill="1" applyAlignment="1">
      <alignment vertical="top"/>
    </xf>
    <xf numFmtId="1" fontId="5" fillId="5" borderId="0" xfId="0" applyNumberFormat="1" applyFont="1" applyFill="1" applyAlignment="1">
      <alignment vertical="top"/>
    </xf>
    <xf numFmtId="166" fontId="4" fillId="0" borderId="0" xfId="0" applyNumberFormat="1" applyFont="1" applyAlignment="1">
      <alignment vertical="top"/>
    </xf>
    <xf numFmtId="167" fontId="4" fillId="0" borderId="0" xfId="0" applyNumberFormat="1" applyFont="1" applyAlignment="1">
      <alignment vertical="top"/>
    </xf>
    <xf numFmtId="1" fontId="4" fillId="0" borderId="0" xfId="0" applyNumberFormat="1" applyFont="1" applyAlignment="1">
      <alignment vertical="top"/>
    </xf>
    <xf numFmtId="168" fontId="4" fillId="0" borderId="0" xfId="0" applyNumberFormat="1" applyFont="1" applyAlignment="1">
      <alignment vertical="top"/>
    </xf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1">
    <dxf>
      <font>
        <color rgb="FF713900"/>
      </font>
      <fill>
        <patternFill>
          <bgColor rgb="FFFFF0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suportehotmart.zendesk.com/hc/en-us/articles/208298448-What-are-the-fees-charged-by-Hotmart" TargetMode="External"/><Relationship Id="rId2" Type="http://schemas.openxmlformats.org/officeDocument/2006/relationships/hyperlink" Target="https://docs.nvidia.com/dgx/dgx-spark/hardwar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2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9" width="19.7109375" customWidth="1"/>
  </cols>
  <sheetData>
    <row r="1" spans="1:9" ht="36" customHeight="1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9" ht="48" customHeight="1">
      <c r="A3" s="2" t="s">
        <v>1</v>
      </c>
      <c r="B3" s="2"/>
      <c r="C3" s="2"/>
      <c r="D3" s="2"/>
      <c r="E3" s="2"/>
      <c r="F3" s="2"/>
      <c r="G3" s="2"/>
      <c r="H3" s="2"/>
      <c r="I3" s="2"/>
    </row>
    <row r="5" spans="1:9" ht="56" customHeight="1">
      <c r="A5" s="2" t="s">
        <v>2</v>
      </c>
      <c r="B5" s="2"/>
      <c r="C5" s="2"/>
      <c r="D5" s="2"/>
      <c r="E5" s="2"/>
      <c r="F5" s="2"/>
      <c r="G5" s="2"/>
      <c r="H5" s="2"/>
      <c r="I5" s="2"/>
    </row>
    <row r="7" spans="1:9" ht="56" customHeight="1">
      <c r="A7" s="2" t="s">
        <v>3</v>
      </c>
      <c r="B7" s="2"/>
      <c r="C7" s="2"/>
      <c r="D7" s="2"/>
      <c r="E7" s="2"/>
      <c r="F7" s="2"/>
      <c r="G7" s="2"/>
      <c r="H7" s="2"/>
      <c r="I7" s="2"/>
    </row>
    <row r="9" spans="1:9" ht="56" customHeight="1">
      <c r="A9" s="2" t="s">
        <v>4</v>
      </c>
      <c r="B9" s="2"/>
      <c r="C9" s="2"/>
      <c r="D9" s="2"/>
      <c r="E9" s="2"/>
      <c r="F9" s="2"/>
      <c r="G9" s="2"/>
      <c r="H9" s="2"/>
      <c r="I9" s="2"/>
    </row>
    <row r="11" spans="1:9" ht="56" customHeight="1">
      <c r="A11" s="2" t="s">
        <v>5</v>
      </c>
      <c r="B11" s="2"/>
      <c r="C11" s="2"/>
      <c r="D11" s="2"/>
      <c r="E11" s="2"/>
      <c r="F11" s="2"/>
      <c r="G11" s="2"/>
      <c r="H11" s="2"/>
      <c r="I11" s="2"/>
    </row>
    <row r="13" spans="1:9" ht="56" customHeight="1">
      <c r="A13" s="2" t="s">
        <v>6</v>
      </c>
      <c r="B13" s="2"/>
      <c r="C13" s="2"/>
      <c r="D13" s="2"/>
      <c r="E13" s="2"/>
      <c r="F13" s="2"/>
      <c r="G13" s="2"/>
      <c r="H13" s="2"/>
      <c r="I13" s="2"/>
    </row>
    <row r="15" spans="1:9" ht="56" customHeight="1">
      <c r="A15" s="2" t="s">
        <v>7</v>
      </c>
      <c r="B15" s="2"/>
      <c r="C15" s="2"/>
      <c r="D15" s="2"/>
      <c r="E15" s="2"/>
      <c r="F15" s="2"/>
      <c r="G15" s="2"/>
      <c r="H15" s="2"/>
      <c r="I15" s="2"/>
    </row>
    <row r="17" spans="1:9" ht="56" customHeight="1">
      <c r="A17" s="2" t="s">
        <v>8</v>
      </c>
      <c r="B17" s="2"/>
      <c r="C17" s="2"/>
      <c r="D17" s="2"/>
      <c r="E17" s="2"/>
      <c r="F17" s="2"/>
      <c r="G17" s="2"/>
      <c r="H17" s="2"/>
      <c r="I17" s="2"/>
    </row>
    <row r="19" spans="1:9" ht="56" customHeight="1">
      <c r="A19" s="2" t="s">
        <v>9</v>
      </c>
      <c r="B19" s="2"/>
      <c r="C19" s="2"/>
      <c r="D19" s="2"/>
      <c r="E19" s="2"/>
      <c r="F19" s="2"/>
      <c r="G19" s="2"/>
      <c r="H19" s="2"/>
      <c r="I19" s="2"/>
    </row>
    <row r="21" spans="1:9" ht="56" customHeight="1">
      <c r="A21" s="2" t="s">
        <v>10</v>
      </c>
      <c r="B21" s="2"/>
      <c r="C21" s="2"/>
      <c r="D21" s="2"/>
      <c r="E21" s="2"/>
      <c r="F21" s="2"/>
      <c r="G21" s="2"/>
      <c r="H21" s="2"/>
      <c r="I21" s="2"/>
    </row>
    <row r="23" spans="1:9" ht="56" customHeight="1">
      <c r="A23" s="2" t="s">
        <v>11</v>
      </c>
      <c r="B23" s="2"/>
      <c r="C23" s="2"/>
      <c r="D23" s="2"/>
      <c r="E23" s="2"/>
      <c r="F23" s="2"/>
      <c r="G23" s="2"/>
      <c r="H23" s="2"/>
      <c r="I23" s="2"/>
    </row>
    <row r="25" spans="1:9" ht="56" customHeight="1">
      <c r="A25" s="2" t="s">
        <v>12</v>
      </c>
      <c r="B25" s="2"/>
      <c r="C25" s="2"/>
      <c r="D25" s="2"/>
      <c r="E25" s="2"/>
      <c r="F25" s="2"/>
      <c r="G25" s="2"/>
      <c r="H25" s="2"/>
      <c r="I25" s="2"/>
    </row>
    <row r="27" spans="1:9" ht="56" customHeight="1">
      <c r="A27" s="2" t="s">
        <v>13</v>
      </c>
      <c r="B27" s="2"/>
      <c r="C27" s="2"/>
      <c r="D27" s="2"/>
      <c r="E27" s="2"/>
      <c r="F27" s="2"/>
      <c r="G27" s="2"/>
      <c r="H27" s="2"/>
      <c r="I27" s="2"/>
    </row>
    <row r="29" spans="1:9" ht="56" customHeight="1">
      <c r="A29" s="2" t="s">
        <v>14</v>
      </c>
      <c r="B29" s="2"/>
      <c r="C29" s="2"/>
      <c r="D29" s="2"/>
      <c r="E29" s="2"/>
      <c r="F29" s="2"/>
      <c r="G29" s="2"/>
      <c r="H29" s="2"/>
      <c r="I29" s="2"/>
    </row>
    <row r="32" spans="1:9" ht="45" customHeight="1">
      <c r="A32" s="2" t="s">
        <v>15</v>
      </c>
      <c r="B32" s="2"/>
      <c r="C32" s="2"/>
      <c r="D32" s="2"/>
      <c r="E32" s="2"/>
      <c r="F32" s="2"/>
      <c r="G32" s="2"/>
      <c r="H32" s="2"/>
      <c r="I32" s="2"/>
    </row>
  </sheetData>
  <mergeCells count="16">
    <mergeCell ref="A1:I1"/>
    <mergeCell ref="A3:I3"/>
    <mergeCell ref="A5:I5"/>
    <mergeCell ref="A7:I7"/>
    <mergeCell ref="A9:I9"/>
    <mergeCell ref="A11:I11"/>
    <mergeCell ref="A13:I13"/>
    <mergeCell ref="A15:I15"/>
    <mergeCell ref="A17:I17"/>
    <mergeCell ref="A19:I19"/>
    <mergeCell ref="A21:I21"/>
    <mergeCell ref="A23:I23"/>
    <mergeCell ref="A25:I25"/>
    <mergeCell ref="A27:I27"/>
    <mergeCell ref="A29:I29"/>
    <mergeCell ref="A32:I32"/>
  </mergeCell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2.7109375" customWidth="1"/>
    <col min="2" max="3" width="19.7109375" customWidth="1"/>
    <col min="4" max="4" width="95.7109375" customWidth="1"/>
  </cols>
  <sheetData>
    <row r="1" spans="1:4" ht="36" customHeight="1">
      <c r="A1" s="1" t="s">
        <v>16</v>
      </c>
      <c r="B1" s="1"/>
      <c r="C1" s="1"/>
      <c r="D1" s="1"/>
    </row>
    <row r="4" spans="1:4" ht="54" customHeight="1">
      <c r="A4" s="3" t="s">
        <v>17</v>
      </c>
      <c r="B4" s="3" t="s">
        <v>18</v>
      </c>
      <c r="C4" s="3" t="s">
        <v>19</v>
      </c>
      <c r="D4" s="3" t="s">
        <v>20</v>
      </c>
    </row>
    <row r="5" spans="1:4" ht="34" customHeight="1">
      <c r="A5" s="4" t="s">
        <v>21</v>
      </c>
      <c r="B5" s="5">
        <v>29</v>
      </c>
      <c r="C5" s="4" t="s">
        <v>22</v>
      </c>
      <c r="D5" s="4" t="s">
        <v>23</v>
      </c>
    </row>
    <row r="6" spans="1:4" ht="34" customHeight="1">
      <c r="A6" s="4" t="s">
        <v>24</v>
      </c>
      <c r="B6" s="5">
        <v>5</v>
      </c>
      <c r="C6" s="4" t="s">
        <v>25</v>
      </c>
      <c r="D6" s="4" t="s">
        <v>26</v>
      </c>
    </row>
    <row r="7" spans="1:4" ht="34" customHeight="1">
      <c r="A7" s="4" t="s">
        <v>27</v>
      </c>
      <c r="B7" s="6">
        <v>0.08</v>
      </c>
      <c r="C7" s="4" t="s">
        <v>28</v>
      </c>
      <c r="D7" s="4" t="s">
        <v>29</v>
      </c>
    </row>
    <row r="8" spans="1:4" ht="34" customHeight="1">
      <c r="A8" s="4" t="s">
        <v>30</v>
      </c>
      <c r="B8" s="6">
        <v>0.099</v>
      </c>
      <c r="C8" s="4" t="s">
        <v>31</v>
      </c>
      <c r="D8" s="4" t="s">
        <v>32</v>
      </c>
    </row>
    <row r="9" spans="1:4" ht="34" customHeight="1">
      <c r="A9" s="4" t="s">
        <v>33</v>
      </c>
      <c r="B9" s="5">
        <v>1</v>
      </c>
      <c r="C9" s="4" t="s">
        <v>34</v>
      </c>
      <c r="D9" s="4" t="s">
        <v>35</v>
      </c>
    </row>
    <row r="10" spans="1:4" ht="34" customHeight="1">
      <c r="A10" s="4" t="s">
        <v>36</v>
      </c>
      <c r="B10" s="6">
        <v>0.15</v>
      </c>
      <c r="C10" s="4" t="s">
        <v>37</v>
      </c>
      <c r="D10" s="4" t="s">
        <v>38</v>
      </c>
    </row>
    <row r="11" spans="1:4" ht="34" customHeight="1">
      <c r="A11" s="4" t="s">
        <v>39</v>
      </c>
      <c r="B11" s="6">
        <v>0.03</v>
      </c>
      <c r="C11" s="4" t="s">
        <v>31</v>
      </c>
      <c r="D11" s="4" t="s">
        <v>40</v>
      </c>
    </row>
    <row r="12" spans="1:4" ht="34" customHeight="1">
      <c r="A12" s="4" t="s">
        <v>41</v>
      </c>
      <c r="B12" s="5">
        <v>10</v>
      </c>
      <c r="C12" s="4" t="s">
        <v>42</v>
      </c>
      <c r="D12" s="4" t="s">
        <v>43</v>
      </c>
    </row>
    <row r="13" spans="1:4" ht="34" customHeight="1">
      <c r="A13" s="4" t="s">
        <v>44</v>
      </c>
      <c r="B13" s="5">
        <v>1</v>
      </c>
      <c r="C13" s="4" t="s">
        <v>42</v>
      </c>
      <c r="D13" s="4" t="s">
        <v>45</v>
      </c>
    </row>
    <row r="14" spans="1:4" ht="34" customHeight="1">
      <c r="A14" s="4" t="s">
        <v>46</v>
      </c>
      <c r="B14" s="6">
        <v>0.02</v>
      </c>
      <c r="C14" s="4" t="s">
        <v>47</v>
      </c>
      <c r="D14" s="4" t="s">
        <v>48</v>
      </c>
    </row>
    <row r="15" spans="1:4" ht="34" customHeight="1">
      <c r="A15" s="4" t="s">
        <v>49</v>
      </c>
      <c r="B15" s="5">
        <v>30000</v>
      </c>
      <c r="C15" s="4" t="s">
        <v>50</v>
      </c>
      <c r="D15" s="4" t="s">
        <v>51</v>
      </c>
    </row>
    <row r="16" spans="1:4" ht="34" customHeight="1">
      <c r="A16" s="4" t="s">
        <v>52</v>
      </c>
      <c r="B16" s="5">
        <v>80</v>
      </c>
      <c r="C16" s="4" t="s">
        <v>53</v>
      </c>
      <c r="D16" s="4" t="s">
        <v>54</v>
      </c>
    </row>
    <row r="17" spans="1:4" ht="34" customHeight="1">
      <c r="A17" s="4" t="s">
        <v>55</v>
      </c>
      <c r="B17" s="5">
        <v>180</v>
      </c>
      <c r="C17" s="4" t="s">
        <v>56</v>
      </c>
      <c r="D17" s="4" t="s">
        <v>57</v>
      </c>
    </row>
    <row r="18" spans="1:4" ht="34" customHeight="1">
      <c r="A18" s="4" t="s">
        <v>58</v>
      </c>
      <c r="B18" s="6">
        <v>0.05</v>
      </c>
      <c r="C18" s="4" t="s">
        <v>59</v>
      </c>
      <c r="D18" s="4" t="s">
        <v>60</v>
      </c>
    </row>
    <row r="19" spans="1:4" ht="34" customHeight="1">
      <c r="A19" s="4" t="s">
        <v>61</v>
      </c>
      <c r="B19" s="6">
        <v>0.5</v>
      </c>
      <c r="C19" s="4" t="s">
        <v>62</v>
      </c>
      <c r="D19" s="4" t="s">
        <v>63</v>
      </c>
    </row>
    <row r="20" spans="1:4" ht="34" customHeight="1">
      <c r="A20" s="4" t="s">
        <v>64</v>
      </c>
      <c r="B20" s="7">
        <v>1</v>
      </c>
      <c r="C20" s="4" t="s">
        <v>65</v>
      </c>
      <c r="D20" s="4" t="s">
        <v>66</v>
      </c>
    </row>
    <row r="21" spans="1:4" ht="34" customHeight="1">
      <c r="A21" s="4" t="s">
        <v>67</v>
      </c>
      <c r="B21" s="5">
        <v>76000</v>
      </c>
      <c r="C21" s="4" t="s">
        <v>68</v>
      </c>
      <c r="D21" s="4" t="s">
        <v>69</v>
      </c>
    </row>
    <row r="22" spans="1:4" ht="34" customHeight="1">
      <c r="A22" s="4" t="s">
        <v>70</v>
      </c>
      <c r="B22" s="5">
        <v>24000</v>
      </c>
      <c r="C22" s="4" t="s">
        <v>68</v>
      </c>
      <c r="D22" s="4" t="s">
        <v>71</v>
      </c>
    </row>
    <row r="23" spans="1:4" ht="34" customHeight="1">
      <c r="A23" s="4" t="s">
        <v>72</v>
      </c>
      <c r="B23" s="8">
        <f>'Premissas'!$B$21+'Premissas'!$B$22</f>
        <v>100000</v>
      </c>
      <c r="C23" s="4" t="s">
        <v>73</v>
      </c>
      <c r="D23" s="4" t="s">
        <v>74</v>
      </c>
    </row>
    <row r="24" spans="1:4" ht="34" customHeight="1">
      <c r="A24" s="4" t="s">
        <v>75</v>
      </c>
      <c r="B24" s="5">
        <v>37000</v>
      </c>
      <c r="C24" s="4" t="s">
        <v>76</v>
      </c>
      <c r="D24" s="4" t="s">
        <v>77</v>
      </c>
    </row>
    <row r="25" spans="1:4" ht="34" customHeight="1">
      <c r="A25" s="4" t="s">
        <v>78</v>
      </c>
      <c r="B25" s="5">
        <v>42000</v>
      </c>
      <c r="C25" s="4" t="s">
        <v>76</v>
      </c>
      <c r="D25" s="4" t="s">
        <v>79</v>
      </c>
    </row>
    <row r="26" spans="1:4" ht="34" customHeight="1">
      <c r="A26" s="4" t="s">
        <v>80</v>
      </c>
      <c r="B26" s="5">
        <v>3</v>
      </c>
      <c r="C26" s="4" t="s">
        <v>81</v>
      </c>
      <c r="D26" s="4" t="s">
        <v>82</v>
      </c>
    </row>
    <row r="27" spans="1:4" ht="34" customHeight="1">
      <c r="A27" s="4" t="s">
        <v>83</v>
      </c>
      <c r="B27" s="5">
        <v>10000</v>
      </c>
      <c r="C27" s="4" t="s">
        <v>68</v>
      </c>
      <c r="D27" s="4" t="s">
        <v>84</v>
      </c>
    </row>
    <row r="28" spans="1:4" ht="34" customHeight="1">
      <c r="A28" s="4" t="s">
        <v>85</v>
      </c>
      <c r="B28" s="5">
        <v>15</v>
      </c>
      <c r="C28" s="4" t="s">
        <v>22</v>
      </c>
      <c r="D28" s="4" t="s">
        <v>86</v>
      </c>
    </row>
    <row r="29" spans="1:4" ht="34" customHeight="1">
      <c r="A29" s="4" t="s">
        <v>87</v>
      </c>
      <c r="B29" s="6">
        <v>0.5</v>
      </c>
      <c r="C29" s="4" t="s">
        <v>88</v>
      </c>
      <c r="D29" s="4" t="s">
        <v>89</v>
      </c>
    </row>
    <row r="30" spans="1:4" ht="34" customHeight="1">
      <c r="A30" s="4" t="s">
        <v>90</v>
      </c>
      <c r="B30" s="5">
        <v>160</v>
      </c>
      <c r="C30" s="4" t="s">
        <v>91</v>
      </c>
      <c r="D30" s="4" t="s">
        <v>92</v>
      </c>
    </row>
    <row r="31" spans="1:4" ht="34" customHeight="1">
      <c r="A31" s="4" t="s">
        <v>93</v>
      </c>
      <c r="B31" s="6">
        <v>0.05</v>
      </c>
      <c r="C31" s="4" t="s">
        <v>94</v>
      </c>
      <c r="D31" s="4" t="s">
        <v>95</v>
      </c>
    </row>
    <row r="32" spans="1:4" ht="34" customHeight="1">
      <c r="A32" s="4" t="s">
        <v>96</v>
      </c>
      <c r="B32" s="6">
        <v>0.5</v>
      </c>
      <c r="C32" s="4" t="s">
        <v>62</v>
      </c>
      <c r="D32" s="4" t="s">
        <v>97</v>
      </c>
    </row>
  </sheetData>
  <mergeCells count="1">
    <mergeCell ref="A1:D1"/>
  </mergeCells>
  <dataValidations count="27">
    <dataValidation type="decimal" allowBlank="1" showInputMessage="1" showErrorMessage="1" sqref="B5">
      <formula1>0</formula1>
      <formula2>1000000000</formula2>
    </dataValidation>
    <dataValidation type="decimal" allowBlank="1" showInputMessage="1" showErrorMessage="1" sqref="B6">
      <formula1>0</formula1>
      <formula2>1000000000</formula2>
    </dataValidation>
    <dataValidation type="decimal" allowBlank="1" showInputMessage="1" showErrorMessage="1" sqref="B7">
      <formula1>0</formula1>
      <formula2>1</formula2>
    </dataValidation>
    <dataValidation type="decimal" allowBlank="1" showInputMessage="1" showErrorMessage="1" sqref="B8">
      <formula1>0</formula1>
      <formula2>1</formula2>
    </dataValidation>
    <dataValidation type="decimal" allowBlank="1" showInputMessage="1" showErrorMessage="1" sqref="B9">
      <formula1>0</formula1>
      <formula2>1000000000</formula2>
    </dataValidation>
    <dataValidation type="decimal" allowBlank="1" showInputMessage="1" showErrorMessage="1" sqref="B10">
      <formula1>0</formula1>
      <formula2>1</formula2>
    </dataValidation>
    <dataValidation type="decimal" allowBlank="1" showInputMessage="1" showErrorMessage="1" sqref="B11">
      <formula1>0</formula1>
      <formula2>1</formula2>
    </dataValidation>
    <dataValidation type="decimal" allowBlank="1" showInputMessage="1" showErrorMessage="1" sqref="B12">
      <formula1>0</formula1>
      <formula2>1000000000</formula2>
    </dataValidation>
    <dataValidation type="decimal" allowBlank="1" showInputMessage="1" showErrorMessage="1" sqref="B13">
      <formula1>0</formula1>
      <formula2>1000000000</formula2>
    </dataValidation>
    <dataValidation type="decimal" allowBlank="1" showInputMessage="1" showErrorMessage="1" sqref="B14">
      <formula1>0</formula1>
      <formula2>1</formula2>
    </dataValidation>
    <dataValidation type="decimal" allowBlank="1" showInputMessage="1" showErrorMessage="1" sqref="B15">
      <formula1>0</formula1>
      <formula2>1000000000</formula2>
    </dataValidation>
    <dataValidation type="decimal" allowBlank="1" showInputMessage="1" showErrorMessage="1" sqref="B16">
      <formula1>0</formula1>
      <formula2>1000000000</formula2>
    </dataValidation>
    <dataValidation type="decimal" allowBlank="1" showInputMessage="1" showErrorMessage="1" sqref="B17">
      <formula1>0</formula1>
      <formula2>1000000000</formula2>
    </dataValidation>
    <dataValidation type="decimal" allowBlank="1" showInputMessage="1" showErrorMessage="1" sqref="B18">
      <formula1>0</formula1>
      <formula2>1</formula2>
    </dataValidation>
    <dataValidation type="decimal" allowBlank="1" showInputMessage="1" showErrorMessage="1" sqref="B19">
      <formula1>0</formula1>
      <formula2>1</formula2>
    </dataValidation>
    <dataValidation type="whole" allowBlank="1" showInputMessage="1" showErrorMessage="1" sqref="B20">
      <formula1>0</formula1>
      <formula2>24</formula2>
    </dataValidation>
    <dataValidation type="decimal" allowBlank="1" showInputMessage="1" showErrorMessage="1" sqref="B21">
      <formula1>0</formula1>
      <formula2>1000000000</formula2>
    </dataValidation>
    <dataValidation type="decimal" allowBlank="1" showInputMessage="1" showErrorMessage="1" sqref="B22">
      <formula1>0</formula1>
      <formula2>1000000000</formula2>
    </dataValidation>
    <dataValidation type="decimal" allowBlank="1" showInputMessage="1" showErrorMessage="1" sqref="B24">
      <formula1>0</formula1>
      <formula2>1000000000</formula2>
    </dataValidation>
    <dataValidation type="decimal" allowBlank="1" showInputMessage="1" showErrorMessage="1" sqref="B25">
      <formula1>0</formula1>
      <formula2>1000000000</formula2>
    </dataValidation>
    <dataValidation type="decimal" allowBlank="1" showInputMessage="1" showErrorMessage="1" sqref="B26">
      <formula1>0</formula1>
      <formula2>1000000000</formula2>
    </dataValidation>
    <dataValidation type="decimal" allowBlank="1" showInputMessage="1" showErrorMessage="1" sqref="B27">
      <formula1>0</formula1>
      <formula2>1000000000</formula2>
    </dataValidation>
    <dataValidation type="decimal" allowBlank="1" showInputMessage="1" showErrorMessage="1" sqref="B28">
      <formula1>0</formula1>
      <formula2>1000000000</formula2>
    </dataValidation>
    <dataValidation type="decimal" allowBlank="1" showInputMessage="1" showErrorMessage="1" sqref="B29">
      <formula1>0</formula1>
      <formula2>1</formula2>
    </dataValidation>
    <dataValidation type="decimal" allowBlank="1" showInputMessage="1" showErrorMessage="1" sqref="B30">
      <formula1>0</formula1>
      <formula2>1000000000</formula2>
    </dataValidation>
    <dataValidation type="decimal" allowBlank="1" showInputMessage="1" showErrorMessage="1" sqref="B31">
      <formula1>0</formula1>
      <formula2>1</formula2>
    </dataValidation>
    <dataValidation type="decimal" allowBlank="1" showInputMessage="1" showErrorMessage="1" sqref="B32">
      <formula1>0</formula1>
      <formula2>1</formula2>
    </dataValidation>
  </dataValidation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6.7109375" customWidth="1"/>
    <col min="2" max="9" width="19.7109375" customWidth="1"/>
    <col min="10" max="10" width="85.7109375" customWidth="1"/>
  </cols>
  <sheetData>
    <row r="1" spans="1:10" ht="36" customHeight="1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</row>
    <row r="4" spans="1:10" ht="54" customHeight="1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  <c r="J4" s="3" t="s">
        <v>108</v>
      </c>
    </row>
    <row r="5" spans="1:10" ht="80" customHeight="1">
      <c r="A5" s="4" t="s">
        <v>109</v>
      </c>
      <c r="B5" s="5">
        <v>4500</v>
      </c>
      <c r="C5" s="5">
        <v>12</v>
      </c>
      <c r="D5" s="5">
        <v>120</v>
      </c>
      <c r="E5" s="8">
        <f>ROUND(C5*D5,2)</f>
        <v>1440</v>
      </c>
      <c r="F5" s="8">
        <f>ROUND(B5*'Premissas'!$B$10,2)</f>
        <v>675.0</v>
      </c>
      <c r="G5" s="8">
        <f>ROUND(B5*'Premissas'!$B$31,2)</f>
        <v>225.0</v>
      </c>
      <c r="H5" s="5">
        <v>160</v>
      </c>
      <c r="I5" s="8">
        <f>ROUND(B5-SUM(E5:H5),2)</f>
        <v>2000.0</v>
      </c>
      <c r="J5" s="4" t="s">
        <v>110</v>
      </c>
    </row>
    <row r="6" spans="1:10" ht="80" customHeight="1">
      <c r="A6" s="4" t="s">
        <v>111</v>
      </c>
      <c r="B6" s="5">
        <v>18000</v>
      </c>
      <c r="C6" s="5">
        <v>40</v>
      </c>
      <c r="D6" s="5">
        <v>180</v>
      </c>
      <c r="E6" s="8">
        <f>ROUND(C6*D6,2)</f>
        <v>7200</v>
      </c>
      <c r="F6" s="8">
        <f>ROUND(B6*'Premissas'!$B$10,2)</f>
        <v>2700.0</v>
      </c>
      <c r="G6" s="8">
        <f>ROUND(B6*'Premissas'!$B$31,2)</f>
        <v>900.0</v>
      </c>
      <c r="H6" s="5">
        <v>600</v>
      </c>
      <c r="I6" s="8">
        <f>ROUND(B6-SUM(E6:H6),2)</f>
        <v>6600.0</v>
      </c>
      <c r="J6" s="4" t="s">
        <v>112</v>
      </c>
    </row>
    <row r="7" spans="1:10" ht="80" customHeight="1">
      <c r="A7" s="4" t="s">
        <v>113</v>
      </c>
      <c r="B7" s="5">
        <v>3500</v>
      </c>
      <c r="C7" s="5">
        <v>8</v>
      </c>
      <c r="D7" s="5">
        <v>120</v>
      </c>
      <c r="E7" s="8">
        <f>ROUND(C7*D7,2)</f>
        <v>960</v>
      </c>
      <c r="F7" s="8">
        <f>ROUND(B7*'Premissas'!$B$10,2)</f>
        <v>525.0</v>
      </c>
      <c r="G7" s="8">
        <f>ROUND(B7*'Premissas'!$B$31,2)</f>
        <v>175.0</v>
      </c>
      <c r="H7" s="5">
        <v>210</v>
      </c>
      <c r="I7" s="8">
        <f>ROUND(B7-SUM(E7:H7),2)</f>
        <v>1630.0</v>
      </c>
      <c r="J7" s="4" t="s">
        <v>114</v>
      </c>
    </row>
    <row r="8" spans="1:10" ht="80" customHeight="1">
      <c r="A8" s="4" t="s">
        <v>115</v>
      </c>
      <c r="B8" s="5">
        <v>6000</v>
      </c>
      <c r="C8" s="5">
        <v>20</v>
      </c>
      <c r="D8" s="5">
        <v>180</v>
      </c>
      <c r="E8" s="8">
        <f>ROUND(C8*D8,2)</f>
        <v>3600</v>
      </c>
      <c r="F8" s="8">
        <f>ROUND(B8*'Premissas'!$B$10,2)</f>
        <v>900.0</v>
      </c>
      <c r="G8" s="8">
        <f>ROUND(B8*'Premissas'!$B$31,2)</f>
        <v>300.0</v>
      </c>
      <c r="H8" s="5">
        <v>200</v>
      </c>
      <c r="I8" s="8">
        <f>ROUND(B8-SUM(E8:H8),2)</f>
        <v>1000.0</v>
      </c>
      <c r="J8" s="4" t="s">
        <v>116</v>
      </c>
    </row>
    <row r="9" spans="1:10" ht="80" customHeight="1">
      <c r="A9" s="4" t="s">
        <v>117</v>
      </c>
      <c r="B9" s="8">
        <f>'Premissas'!$B$15</f>
        <v>30000</v>
      </c>
      <c r="C9" s="8">
        <f>'Premissas'!$B$16</f>
        <v>80</v>
      </c>
      <c r="D9" s="8">
        <f>'Premissas'!$B$17</f>
        <v>180</v>
      </c>
      <c r="E9" s="8">
        <f>ROUND(C9*D9,2)</f>
        <v>14400</v>
      </c>
      <c r="F9" s="8">
        <f>ROUND(B9*'Premissas'!$B$10,2)</f>
        <v>4500.0</v>
      </c>
      <c r="G9" s="8">
        <f>ROUND(B9*'Premissas'!$B$18,2)</f>
        <v>1500.0</v>
      </c>
      <c r="H9" s="8">
        <f>0</f>
        <v>0</v>
      </c>
      <c r="I9" s="8">
        <f>ROUND(B9-SUM(E9:H9),2)</f>
        <v>9600.0</v>
      </c>
      <c r="J9" s="4" t="s">
        <v>118</v>
      </c>
    </row>
    <row r="13" spans="1:10" ht="54" customHeight="1">
      <c r="A13" s="3" t="s">
        <v>119</v>
      </c>
      <c r="B13" s="3" t="s">
        <v>120</v>
      </c>
      <c r="C13" s="3" t="s">
        <v>121</v>
      </c>
      <c r="D13" s="3" t="s">
        <v>122</v>
      </c>
    </row>
    <row r="14" spans="1:10">
      <c r="A14" s="4" t="s">
        <v>123</v>
      </c>
      <c r="B14" s="9">
        <f>'Premissas'!$B$5</f>
        <v>29.0</v>
      </c>
      <c r="C14" s="9">
        <f>B14*'Premissas'!$B$6</f>
        <v>145.0</v>
      </c>
      <c r="D14" s="4" t="s">
        <v>124</v>
      </c>
    </row>
    <row r="15" spans="1:10">
      <c r="A15" s="4" t="s">
        <v>125</v>
      </c>
      <c r="B15" s="9">
        <f>B14*'Premissas'!$B$7</f>
        <v>2.32</v>
      </c>
      <c r="C15" s="9">
        <f>B15*'Premissas'!$B$6</f>
        <v>11.6</v>
      </c>
      <c r="D15" s="4" t="s">
        <v>126</v>
      </c>
    </row>
    <row r="16" spans="1:10">
      <c r="A16" s="4" t="s">
        <v>127</v>
      </c>
      <c r="B16" s="9">
        <f>B14-B15</f>
        <v>26.68</v>
      </c>
      <c r="C16" s="9">
        <f>B16*'Premissas'!$B$6</f>
        <v>133.4</v>
      </c>
      <c r="D16" s="4" t="s">
        <v>128</v>
      </c>
    </row>
    <row r="17" spans="1:10">
      <c r="A17" s="4" t="s">
        <v>129</v>
      </c>
      <c r="B17" s="9">
        <f>B16*'Premissas'!$B$8+(1-'Premissas'!$B$7)*'Premissas'!$B$9</f>
        <v>3.56132</v>
      </c>
      <c r="C17" s="9">
        <f>B17*'Premissas'!$B$6</f>
        <v>17.8066</v>
      </c>
      <c r="D17" s="4" t="s">
        <v>130</v>
      </c>
    </row>
    <row r="18" spans="1:10">
      <c r="A18" s="4" t="s">
        <v>104</v>
      </c>
      <c r="B18" s="9">
        <f>B16*'Premissas'!$B$10</f>
        <v>4.002</v>
      </c>
      <c r="C18" s="9">
        <f>B18*'Premissas'!$B$6</f>
        <v>20.01</v>
      </c>
      <c r="D18" s="4" t="s">
        <v>127</v>
      </c>
    </row>
    <row r="19" spans="1:10">
      <c r="A19" s="4" t="s">
        <v>131</v>
      </c>
      <c r="B19" s="9">
        <f>B16*'Premissas'!$B$11</f>
        <v>0.8004</v>
      </c>
      <c r="C19" s="9">
        <f>B19*'Premissas'!$B$6</f>
        <v>4.002</v>
      </c>
      <c r="D19" s="4" t="s">
        <v>132</v>
      </c>
    </row>
    <row r="20" spans="1:10">
      <c r="A20" s="4" t="s">
        <v>133</v>
      </c>
      <c r="B20" s="9">
        <f>'Premissas'!$B$12</f>
        <v>10.0</v>
      </c>
      <c r="C20" s="9">
        <f>B20*'Premissas'!$B$6</f>
        <v>50.0</v>
      </c>
      <c r="D20" s="4" t="s">
        <v>134</v>
      </c>
    </row>
    <row r="21" spans="1:10">
      <c r="A21" s="4" t="s">
        <v>135</v>
      </c>
      <c r="B21" s="9">
        <f>'Premissas'!$B$13</f>
        <v>1.0</v>
      </c>
      <c r="C21" s="9">
        <f>B21*'Premissas'!$B$6</f>
        <v>5.0</v>
      </c>
      <c r="D21" s="4" t="s">
        <v>134</v>
      </c>
    </row>
    <row r="22" spans="1:10">
      <c r="A22" s="4" t="s">
        <v>107</v>
      </c>
      <c r="B22" s="9">
        <f>B16-SUM(B17:B21)</f>
        <v>7.31628</v>
      </c>
      <c r="C22" s="9">
        <f>B22*'Premissas'!$B$6</f>
        <v>36.5814</v>
      </c>
      <c r="D22" s="4" t="s">
        <v>136</v>
      </c>
    </row>
    <row r="25" spans="1:10" ht="42" customHeight="1">
      <c r="A25" s="2" t="s">
        <v>137</v>
      </c>
      <c r="B25" s="2"/>
      <c r="C25" s="2"/>
      <c r="D25" s="2"/>
      <c r="E25" s="2"/>
      <c r="F25" s="2"/>
      <c r="G25" s="2"/>
      <c r="H25" s="2"/>
      <c r="I25" s="2"/>
      <c r="J25" s="2"/>
    </row>
  </sheetData>
  <mergeCells count="2">
    <mergeCell ref="A1:J1"/>
    <mergeCell ref="A25:J25"/>
  </mergeCells>
  <dataValidations count="16">
    <dataValidation type="decimal" allowBlank="1" showInputMessage="1" showErrorMessage="1" sqref="B5">
      <formula1>0</formula1>
      <formula2>1000000000</formula2>
    </dataValidation>
    <dataValidation type="decimal" allowBlank="1" showInputMessage="1" showErrorMessage="1" sqref="C5">
      <formula1>0</formula1>
      <formula2>1000000000</formula2>
    </dataValidation>
    <dataValidation type="decimal" allowBlank="1" showInputMessage="1" showErrorMessage="1" sqref="D5">
      <formula1>0</formula1>
      <formula2>1000000000</formula2>
    </dataValidation>
    <dataValidation type="decimal" allowBlank="1" showInputMessage="1" showErrorMessage="1" sqref="H5">
      <formula1>0</formula1>
      <formula2>1000000000</formula2>
    </dataValidation>
    <dataValidation type="decimal" allowBlank="1" showInputMessage="1" showErrorMessage="1" sqref="B6">
      <formula1>0</formula1>
      <formula2>1000000000</formula2>
    </dataValidation>
    <dataValidation type="decimal" allowBlank="1" showInputMessage="1" showErrorMessage="1" sqref="C6">
      <formula1>0</formula1>
      <formula2>1000000000</formula2>
    </dataValidation>
    <dataValidation type="decimal" allowBlank="1" showInputMessage="1" showErrorMessage="1" sqref="D6">
      <formula1>0</formula1>
      <formula2>1000000000</formula2>
    </dataValidation>
    <dataValidation type="decimal" allowBlank="1" showInputMessage="1" showErrorMessage="1" sqref="H6">
      <formula1>0</formula1>
      <formula2>1000000000</formula2>
    </dataValidation>
    <dataValidation type="decimal" allowBlank="1" showInputMessage="1" showErrorMessage="1" sqref="B7">
      <formula1>0</formula1>
      <formula2>1000000000</formula2>
    </dataValidation>
    <dataValidation type="decimal" allowBlank="1" showInputMessage="1" showErrorMessage="1" sqref="C7">
      <formula1>0</formula1>
      <formula2>1000000000</formula2>
    </dataValidation>
    <dataValidation type="decimal" allowBlank="1" showInputMessage="1" showErrorMessage="1" sqref="D7">
      <formula1>0</formula1>
      <formula2>1000000000</formula2>
    </dataValidation>
    <dataValidation type="decimal" allowBlank="1" showInputMessage="1" showErrorMessage="1" sqref="H7">
      <formula1>0</formula1>
      <formula2>1000000000</formula2>
    </dataValidation>
    <dataValidation type="decimal" allowBlank="1" showInputMessage="1" showErrorMessage="1" sqref="B8">
      <formula1>0</formula1>
      <formula2>1000000000</formula2>
    </dataValidation>
    <dataValidation type="decimal" allowBlank="1" showInputMessage="1" showErrorMessage="1" sqref="C8">
      <formula1>0</formula1>
      <formula2>1000000000</formula2>
    </dataValidation>
    <dataValidation type="decimal" allowBlank="1" showInputMessage="1" showErrorMessage="1" sqref="D8">
      <formula1>0</formula1>
      <formula2>1000000000</formula2>
    </dataValidation>
    <dataValidation type="decimal" allowBlank="1" showInputMessage="1" showErrorMessage="1" sqref="H8">
      <formula1>0</formula1>
      <formula2>1000000000</formula2>
    </dataValidation>
  </dataValidation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BV28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/>
    </sheetView>
  </sheetViews>
  <sheetFormatPr defaultRowHeight="15"/>
  <cols>
    <col min="1" max="1" width="7.7109375" customWidth="1"/>
    <col min="2" max="74" width="19.7109375" customWidth="1"/>
  </cols>
  <sheetData>
    <row r="1" spans="1:74" ht="36" customHeight="1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spans="1:74" ht="32" customHeight="1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</row>
    <row r="4" spans="1:74" ht="54" customHeight="1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148</v>
      </c>
      <c r="J4" s="3" t="s">
        <v>149</v>
      </c>
      <c r="K4" s="3" t="s">
        <v>150</v>
      </c>
      <c r="L4" s="3" t="s">
        <v>151</v>
      </c>
      <c r="M4" s="3" t="s">
        <v>152</v>
      </c>
      <c r="N4" s="3" t="s">
        <v>153</v>
      </c>
      <c r="O4" s="3" t="s">
        <v>154</v>
      </c>
      <c r="P4" s="3" t="s">
        <v>155</v>
      </c>
      <c r="Q4" s="3" t="s">
        <v>156</v>
      </c>
      <c r="R4" s="3" t="s">
        <v>157</v>
      </c>
      <c r="S4" s="3" t="s">
        <v>158</v>
      </c>
      <c r="T4" s="3" t="s">
        <v>159</v>
      </c>
      <c r="U4" s="3" t="s">
        <v>160</v>
      </c>
      <c r="V4" s="3" t="s">
        <v>161</v>
      </c>
      <c r="W4" s="3" t="s">
        <v>162</v>
      </c>
      <c r="X4" s="3" t="s">
        <v>163</v>
      </c>
      <c r="Y4" s="3" t="s">
        <v>164</v>
      </c>
      <c r="Z4" s="3" t="s">
        <v>165</v>
      </c>
      <c r="AA4" s="3" t="s">
        <v>166</v>
      </c>
      <c r="AB4" s="3" t="s">
        <v>167</v>
      </c>
      <c r="AC4" s="3" t="s">
        <v>168</v>
      </c>
      <c r="AD4" s="3" t="s">
        <v>169</v>
      </c>
      <c r="AE4" s="3" t="s">
        <v>170</v>
      </c>
      <c r="AF4" s="3" t="s">
        <v>171</v>
      </c>
      <c r="AG4" s="3" t="s">
        <v>172</v>
      </c>
      <c r="AH4" s="3" t="s">
        <v>173</v>
      </c>
      <c r="AI4" s="3" t="s">
        <v>174</v>
      </c>
      <c r="AJ4" s="3" t="s">
        <v>175</v>
      </c>
      <c r="AK4" s="3" t="s">
        <v>176</v>
      </c>
      <c r="AL4" s="3" t="s">
        <v>177</v>
      </c>
      <c r="AM4" s="3" t="s">
        <v>178</v>
      </c>
      <c r="AN4" s="3" t="s">
        <v>179</v>
      </c>
      <c r="AO4" s="3" t="s">
        <v>180</v>
      </c>
      <c r="AP4" s="3" t="s">
        <v>181</v>
      </c>
      <c r="AQ4" s="3" t="s">
        <v>182</v>
      </c>
      <c r="AR4" s="3" t="s">
        <v>183</v>
      </c>
      <c r="AS4" s="3" t="s">
        <v>184</v>
      </c>
      <c r="AT4" s="3" t="s">
        <v>185</v>
      </c>
      <c r="AU4" s="3" t="s">
        <v>186</v>
      </c>
      <c r="AV4" s="3" t="s">
        <v>187</v>
      </c>
      <c r="AW4" s="3" t="s">
        <v>188</v>
      </c>
      <c r="AX4" s="3" t="s">
        <v>189</v>
      </c>
      <c r="AY4" s="3" t="s">
        <v>190</v>
      </c>
      <c r="AZ4" s="3" t="s">
        <v>191</v>
      </c>
      <c r="BA4" s="3" t="s">
        <v>192</v>
      </c>
      <c r="BB4" s="3" t="s">
        <v>193</v>
      </c>
      <c r="BC4" s="3" t="s">
        <v>194</v>
      </c>
      <c r="BD4" s="3" t="s">
        <v>195</v>
      </c>
      <c r="BE4" s="3" t="s">
        <v>196</v>
      </c>
      <c r="BF4" s="3" t="s">
        <v>197</v>
      </c>
      <c r="BG4" s="3" t="s">
        <v>198</v>
      </c>
      <c r="BH4" s="3" t="s">
        <v>199</v>
      </c>
      <c r="BI4" s="3" t="s">
        <v>200</v>
      </c>
      <c r="BJ4" s="3" t="s">
        <v>201</v>
      </c>
      <c r="BK4" s="3" t="s">
        <v>202</v>
      </c>
      <c r="BL4" s="3" t="s">
        <v>203</v>
      </c>
      <c r="BM4" s="3" t="s">
        <v>204</v>
      </c>
      <c r="BN4" s="3" t="s">
        <v>205</v>
      </c>
      <c r="BO4" s="3" t="s">
        <v>206</v>
      </c>
      <c r="BP4" s="3" t="s">
        <v>207</v>
      </c>
      <c r="BQ4" s="3" t="s">
        <v>208</v>
      </c>
      <c r="BR4" s="3" t="s">
        <v>209</v>
      </c>
      <c r="BS4" s="3" t="s">
        <v>210</v>
      </c>
      <c r="BT4" s="3" t="s">
        <v>211</v>
      </c>
      <c r="BU4" s="3" t="s">
        <v>212</v>
      </c>
      <c r="BV4" s="3" t="s">
        <v>213</v>
      </c>
    </row>
    <row r="5" spans="1:74">
      <c r="A5" s="10">
        <v>1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10">
        <f>MAX(0,F5-0)</f>
        <v>0</v>
      </c>
      <c r="H5" s="10">
        <f>ROUNDUP(B5/'Premissas'!$B$14,0)</f>
        <v>0</v>
      </c>
      <c r="I5" s="8">
        <f>ROUND(B5*'Premissas'!$B$5,2)</f>
        <v>0.0</v>
      </c>
      <c r="J5" s="8">
        <f>ROUND(I5*'Premissas'!$B$6,2)</f>
        <v>0.0</v>
      </c>
      <c r="K5" s="8">
        <f>ROUND(J5*'Premissas'!$B$7,2)</f>
        <v>0.0</v>
      </c>
      <c r="L5" s="8">
        <f>ROUND(J5-K5,2)</f>
        <v>0.0</v>
      </c>
      <c r="M5" s="8">
        <f>ROUND(L5*'Premissas'!$B$8+B5*(1-'Premissas'!$B$7)*'Premissas'!$B$9*'Premissas'!$B$6,2)</f>
        <v>0.0</v>
      </c>
      <c r="N5" s="8">
        <f>ROUND(L5-M5,2)</f>
        <v>0.0</v>
      </c>
      <c r="O5" s="8">
        <f>IF(A5&gt;'Premissas'!$B$20,INDEX($N$5:$N$28,MAX(1,A5-'Premissas'!$B$20)),0)</f>
        <v>0</v>
      </c>
      <c r="P5" s="8">
        <f>ROUND(L5*'Premissas'!$B$10,2)</f>
        <v>0.0</v>
      </c>
      <c r="Q5" s="8">
        <f>ROUND(L5*'Premissas'!$B$11,2)</f>
        <v>0.0</v>
      </c>
      <c r="R5" s="8">
        <f>ROUND(B5*'Premissas'!$B$12*'Premissas'!$B$6,2)</f>
        <v>0.0</v>
      </c>
      <c r="S5" s="8">
        <f>ROUND(B5*'Premissas'!$B$13*'Premissas'!$B$6,2)</f>
        <v>0.0</v>
      </c>
      <c r="T5" s="8">
        <f>ROUND(L5-M5-P5-Q5-R5-S5,2)</f>
        <v>0.0</v>
      </c>
      <c r="U5" s="10">
        <f>C5*'Premissas'!$B$16</f>
        <v>0</v>
      </c>
      <c r="V5" s="8">
        <f>ROUND(C5*'Premissas'!$B$15,2)</f>
        <v>0.0</v>
      </c>
      <c r="W5" s="8">
        <f>ROUND(V5*'Premissas'!$B$19+0*(1-'Premissas'!$B$19),2)</f>
        <v>0.0</v>
      </c>
      <c r="X5" s="8">
        <f>ROUND(U5*'Premissas'!$B$17,2)</f>
        <v>0.0</v>
      </c>
      <c r="Y5" s="8">
        <f>ROUND(V5*'Premissas'!$B$10,2)</f>
        <v>0.0</v>
      </c>
      <c r="Z5" s="8">
        <f>ROUND(W5*'Premissas'!$B$18,2)</f>
        <v>0.0</v>
      </c>
      <c r="AA5" s="8">
        <f>ROUND(V5*'Premissas'!$B$18,2)</f>
        <v>0.0</v>
      </c>
      <c r="AB5" s="8">
        <f>ROUND(V5-X5-Y5-AA5,2)</f>
        <v>0.0</v>
      </c>
      <c r="AC5" s="10">
        <f>D5*'Ofertas'!$C$5</f>
        <v>0.0</v>
      </c>
      <c r="AD5" s="8">
        <f>ROUND(D5*'Ofertas'!$B$5,2)</f>
        <v>0.0</v>
      </c>
      <c r="AE5" s="8">
        <f>AD5</f>
        <v>0.0</v>
      </c>
      <c r="AF5" s="8">
        <f>ROUND(AC5*'Ofertas'!$D$5,2)</f>
        <v>0.0</v>
      </c>
      <c r="AG5" s="8">
        <f>ROUND(AD5*'Premissas'!$B$10,2)</f>
        <v>0.0</v>
      </c>
      <c r="AH5" s="8">
        <f>ROUND(AD5*'Premissas'!$B$31,2)</f>
        <v>0.0</v>
      </c>
      <c r="AI5" s="8">
        <f>ROUND(D5*'Ofertas'!$H$5,2)</f>
        <v>0.0</v>
      </c>
      <c r="AJ5" s="8">
        <f>ROUND(AD5-AF5-AG5-AH5-AI5,2)</f>
        <v>0.0</v>
      </c>
      <c r="AK5" s="10">
        <f>E5*'Ofertas'!$C$6</f>
        <v>0.0</v>
      </c>
      <c r="AL5" s="8">
        <f>ROUND(E5*'Ofertas'!$B$6,2)</f>
        <v>0.0</v>
      </c>
      <c r="AM5" s="8">
        <f>ROUND(AL5*'Premissas'!$B$32+0*(1-'Premissas'!$B$32),2)</f>
        <v>0.0</v>
      </c>
      <c r="AN5" s="8">
        <f>ROUND(AK5*'Ofertas'!$D$6,2)</f>
        <v>0.0</v>
      </c>
      <c r="AO5" s="8">
        <f>ROUND(AL5*'Premissas'!$B$10,2)</f>
        <v>0.0</v>
      </c>
      <c r="AP5" s="8">
        <f>ROUND(AL5*'Premissas'!$B$31,2)</f>
        <v>0.0</v>
      </c>
      <c r="AQ5" s="8">
        <f>ROUND(E5*'Ofertas'!$H$6,2)</f>
        <v>0.0</v>
      </c>
      <c r="AR5" s="8">
        <f>ROUND(AL5-AN5-AO5-AP5-AQ5,2)</f>
        <v>0.0</v>
      </c>
      <c r="AS5" s="10">
        <f>F5*'Ofertas'!$C$7</f>
        <v>0.0</v>
      </c>
      <c r="AT5" s="8">
        <f>ROUND(F5*'Ofertas'!$B$7,2)</f>
        <v>0.0</v>
      </c>
      <c r="AU5" s="8">
        <f>AT5</f>
        <v>0.0</v>
      </c>
      <c r="AV5" s="8">
        <f>ROUND(AS5*'Ofertas'!$D$7,2)</f>
        <v>0.0</v>
      </c>
      <c r="AW5" s="8">
        <f>ROUND(AT5*'Premissas'!$B$10,2)</f>
        <v>0.0</v>
      </c>
      <c r="AX5" s="8">
        <f>ROUND(AT5*'Premissas'!$B$31,2)</f>
        <v>0.0</v>
      </c>
      <c r="AY5" s="8">
        <f>ROUND(F5*'Ofertas'!$H$7,2)</f>
        <v>0.0</v>
      </c>
      <c r="AZ5" s="8">
        <f>ROUND(AT5-AV5-AW5-AX5-AY5,2)</f>
        <v>0.0</v>
      </c>
      <c r="BA5" s="10">
        <f>G5*'Ofertas'!$C$8</f>
        <v>0.0</v>
      </c>
      <c r="BB5" s="8">
        <f>ROUND(G5*'Ofertas'!$B$8,2)</f>
        <v>0.0</v>
      </c>
      <c r="BC5" s="8">
        <f>BB5</f>
        <v>0.0</v>
      </c>
      <c r="BD5" s="8">
        <f>ROUND(BA5*'Ofertas'!$D$8,2)</f>
        <v>0.0</v>
      </c>
      <c r="BE5" s="8">
        <f>ROUND(BB5*'Premissas'!$B$10,2)</f>
        <v>0.0</v>
      </c>
      <c r="BF5" s="8">
        <f>ROUND(BB5*'Premissas'!$B$31,2)</f>
        <v>0.0</v>
      </c>
      <c r="BG5" s="8">
        <f>ROUND(G5*'Ofertas'!$H$8,2)</f>
        <v>0.0</v>
      </c>
      <c r="BH5" s="8">
        <f>ROUND(BB5-BD5-BE5-BF5-BG5,2)</f>
        <v>0.0</v>
      </c>
      <c r="BI5" s="10">
        <f>U5+AC5+AK5+AS5+BA5</f>
        <v>0.0</v>
      </c>
      <c r="BJ5" s="11">
        <f>BI5/'Premissas'!$B$30</f>
        <v>0.0</v>
      </c>
      <c r="BK5" s="8">
        <f>IF(A5&lt;=12,'Premissas'!$B$24,'Premissas'!$B$25)</f>
        <v>37000</v>
      </c>
      <c r="BL5" s="8">
        <f>ROUND(J5+V5+AD5+AL5+AT5+BB5,2)</f>
        <v>0.0</v>
      </c>
      <c r="BM5" s="8">
        <f>ROUND(L5+V5+AD5+AL5+AT5+BB5,2)</f>
        <v>0.0</v>
      </c>
      <c r="BN5" s="8">
        <f>ROUND(T5+AB5+AJ5+AR5+AZ5+BH5,2)</f>
        <v>0.0</v>
      </c>
      <c r="BO5" s="8">
        <f>ROUND(O5+W5+AE5+AM5+AU5+BC5,2)</f>
        <v>0.0</v>
      </c>
      <c r="BP5" s="8">
        <f>ROUND(P5+Q5+R5+S5+X5+Y5+Z5+BK5+AF5+AG5+AH5+AI5+AN5+AO5+AP5+AQ5+AV5+AW5+AX5+AY5+BD5+BE5+BF5+BG5,2)</f>
        <v>37000.0</v>
      </c>
      <c r="BQ5" s="8">
        <f>ROUND(BO5-BP5,2)</f>
        <v>-37000.0</v>
      </c>
      <c r="BR5" s="8">
        <f>ROUND(-'Premissas'!$B$23+BQ5,2)</f>
        <v>-137000.0</v>
      </c>
      <c r="BS5" s="8">
        <f>ROUND(BN5-BK5,2)</f>
        <v>-37000.0</v>
      </c>
      <c r="BT5" s="8">
        <f>ROUND(0+N5-O5+V5-W5+AL5-AM5,2)</f>
        <v>0.0</v>
      </c>
      <c r="BU5" s="10">
        <f>IF(BR5&gt;=0,A5,999)</f>
        <v>999</v>
      </c>
      <c r="BV5" s="8">
        <f>ROUND(BR5+200000,2)</f>
        <v>63000.0</v>
      </c>
    </row>
    <row r="6" spans="1:74">
      <c r="A6" s="10">
        <v>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10">
        <f>MAX(0,F6-F5)</f>
        <v>0</v>
      </c>
      <c r="H6" s="10">
        <f>ROUNDUP(B6/'Premissas'!$B$14,0)</f>
        <v>0</v>
      </c>
      <c r="I6" s="8">
        <f>ROUND(B6*'Premissas'!$B$5,2)</f>
        <v>0.0</v>
      </c>
      <c r="J6" s="8">
        <f>ROUND(I6*'Premissas'!$B$6,2)</f>
        <v>0.0</v>
      </c>
      <c r="K6" s="8">
        <f>ROUND(J6*'Premissas'!$B$7,2)</f>
        <v>0.0</v>
      </c>
      <c r="L6" s="8">
        <f>ROUND(J6-K6,2)</f>
        <v>0.0</v>
      </c>
      <c r="M6" s="8">
        <f>ROUND(L6*'Premissas'!$B$8+B6*(1-'Premissas'!$B$7)*'Premissas'!$B$9*'Premissas'!$B$6,2)</f>
        <v>0.0</v>
      </c>
      <c r="N6" s="8">
        <f>ROUND(L6-M6,2)</f>
        <v>0.0</v>
      </c>
      <c r="O6" s="8">
        <f>IF(A6&gt;'Premissas'!$B$20,INDEX($N$5:$N$28,MAX(1,A6-'Premissas'!$B$20)),0)</f>
        <v>0.0</v>
      </c>
      <c r="P6" s="8">
        <f>ROUND(L6*'Premissas'!$B$10,2)</f>
        <v>0.0</v>
      </c>
      <c r="Q6" s="8">
        <f>ROUND(L6*'Premissas'!$B$11,2)</f>
        <v>0.0</v>
      </c>
      <c r="R6" s="8">
        <f>ROUND(B6*'Premissas'!$B$12*'Premissas'!$B$6,2)</f>
        <v>0.0</v>
      </c>
      <c r="S6" s="8">
        <f>ROUND(B6*'Premissas'!$B$13*'Premissas'!$B$6,2)</f>
        <v>0.0</v>
      </c>
      <c r="T6" s="8">
        <f>ROUND(L6-M6-P6-Q6-R6-S6,2)</f>
        <v>0.0</v>
      </c>
      <c r="U6" s="10">
        <f>C6*'Premissas'!$B$16</f>
        <v>0</v>
      </c>
      <c r="V6" s="8">
        <f>ROUND(C6*'Premissas'!$B$15,2)</f>
        <v>0.0</v>
      </c>
      <c r="W6" s="8">
        <f>ROUND(V6*'Premissas'!$B$19+V5*(1-'Premissas'!$B$19),2)</f>
        <v>0.0</v>
      </c>
      <c r="X6" s="8">
        <f>ROUND(U6*'Premissas'!$B$17,2)</f>
        <v>0.0</v>
      </c>
      <c r="Y6" s="8">
        <f>ROUND(V6*'Premissas'!$B$10,2)</f>
        <v>0.0</v>
      </c>
      <c r="Z6" s="8">
        <f>ROUND(W6*'Premissas'!$B$18,2)</f>
        <v>0.0</v>
      </c>
      <c r="AA6" s="8">
        <f>ROUND(V6*'Premissas'!$B$18,2)</f>
        <v>0.0</v>
      </c>
      <c r="AB6" s="8">
        <f>ROUND(V6-X6-Y6-AA6,2)</f>
        <v>0.0</v>
      </c>
      <c r="AC6" s="10">
        <f>D6*'Ofertas'!$C$5</f>
        <v>0.0</v>
      </c>
      <c r="AD6" s="8">
        <f>ROUND(D6*'Ofertas'!$B$5,2)</f>
        <v>0.0</v>
      </c>
      <c r="AE6" s="8">
        <f>AD6</f>
        <v>0.0</v>
      </c>
      <c r="AF6" s="8">
        <f>ROUND(AC6*'Ofertas'!$D$5,2)</f>
        <v>0.0</v>
      </c>
      <c r="AG6" s="8">
        <f>ROUND(AD6*'Premissas'!$B$10,2)</f>
        <v>0.0</v>
      </c>
      <c r="AH6" s="8">
        <f>ROUND(AD6*'Premissas'!$B$31,2)</f>
        <v>0.0</v>
      </c>
      <c r="AI6" s="8">
        <f>ROUND(D6*'Ofertas'!$H$5,2)</f>
        <v>0.0</v>
      </c>
      <c r="AJ6" s="8">
        <f>ROUND(AD6-AF6-AG6-AH6-AI6,2)</f>
        <v>0.0</v>
      </c>
      <c r="AK6" s="10">
        <f>E6*'Ofertas'!$C$6</f>
        <v>0.0</v>
      </c>
      <c r="AL6" s="8">
        <f>ROUND(E6*'Ofertas'!$B$6,2)</f>
        <v>0.0</v>
      </c>
      <c r="AM6" s="8">
        <f>ROUND(AL6*'Premissas'!$B$32+AL5*(1-'Premissas'!$B$32),2)</f>
        <v>0.0</v>
      </c>
      <c r="AN6" s="8">
        <f>ROUND(AK6*'Ofertas'!$D$6,2)</f>
        <v>0.0</v>
      </c>
      <c r="AO6" s="8">
        <f>ROUND(AL6*'Premissas'!$B$10,2)</f>
        <v>0.0</v>
      </c>
      <c r="AP6" s="8">
        <f>ROUND(AL6*'Premissas'!$B$31,2)</f>
        <v>0.0</v>
      </c>
      <c r="AQ6" s="8">
        <f>ROUND(E6*'Ofertas'!$H$6,2)</f>
        <v>0.0</v>
      </c>
      <c r="AR6" s="8">
        <f>ROUND(AL6-AN6-AO6-AP6-AQ6,2)</f>
        <v>0.0</v>
      </c>
      <c r="AS6" s="10">
        <f>F6*'Ofertas'!$C$7</f>
        <v>0.0</v>
      </c>
      <c r="AT6" s="8">
        <f>ROUND(F6*'Ofertas'!$B$7,2)</f>
        <v>0.0</v>
      </c>
      <c r="AU6" s="8">
        <f>AT6</f>
        <v>0.0</v>
      </c>
      <c r="AV6" s="8">
        <f>ROUND(AS6*'Ofertas'!$D$7,2)</f>
        <v>0.0</v>
      </c>
      <c r="AW6" s="8">
        <f>ROUND(AT6*'Premissas'!$B$10,2)</f>
        <v>0.0</v>
      </c>
      <c r="AX6" s="8">
        <f>ROUND(AT6*'Premissas'!$B$31,2)</f>
        <v>0.0</v>
      </c>
      <c r="AY6" s="8">
        <f>ROUND(F6*'Ofertas'!$H$7,2)</f>
        <v>0.0</v>
      </c>
      <c r="AZ6" s="8">
        <f>ROUND(AT6-AV6-AW6-AX6-AY6,2)</f>
        <v>0.0</v>
      </c>
      <c r="BA6" s="10">
        <f>G6*'Ofertas'!$C$8</f>
        <v>0.0</v>
      </c>
      <c r="BB6" s="8">
        <f>ROUND(G6*'Ofertas'!$B$8,2)</f>
        <v>0.0</v>
      </c>
      <c r="BC6" s="8">
        <f>BB6</f>
        <v>0.0</v>
      </c>
      <c r="BD6" s="8">
        <f>ROUND(BA6*'Ofertas'!$D$8,2)</f>
        <v>0.0</v>
      </c>
      <c r="BE6" s="8">
        <f>ROUND(BB6*'Premissas'!$B$10,2)</f>
        <v>0.0</v>
      </c>
      <c r="BF6" s="8">
        <f>ROUND(BB6*'Premissas'!$B$31,2)</f>
        <v>0.0</v>
      </c>
      <c r="BG6" s="8">
        <f>ROUND(G6*'Ofertas'!$H$8,2)</f>
        <v>0.0</v>
      </c>
      <c r="BH6" s="8">
        <f>ROUND(BB6-BD6-BE6-BF6-BG6,2)</f>
        <v>0.0</v>
      </c>
      <c r="BI6" s="10">
        <f>U6+AC6+AK6+AS6+BA6</f>
        <v>0.0</v>
      </c>
      <c r="BJ6" s="11">
        <f>BI6/'Premissas'!$B$30</f>
        <v>0.0</v>
      </c>
      <c r="BK6" s="8">
        <f>IF(A6&lt;=12,'Premissas'!$B$24,'Premissas'!$B$25)</f>
        <v>37000</v>
      </c>
      <c r="BL6" s="8">
        <f>ROUND(J6+V6+AD6+AL6+AT6+BB6,2)</f>
        <v>0.0</v>
      </c>
      <c r="BM6" s="8">
        <f>ROUND(L6+V6+AD6+AL6+AT6+BB6,2)</f>
        <v>0.0</v>
      </c>
      <c r="BN6" s="8">
        <f>ROUND(T6+AB6+AJ6+AR6+AZ6+BH6,2)</f>
        <v>0.0</v>
      </c>
      <c r="BO6" s="8">
        <f>ROUND(O6+W6+AE6+AM6+AU6+BC6,2)</f>
        <v>0.0</v>
      </c>
      <c r="BP6" s="8">
        <f>ROUND(P6+Q6+R6+S6+X6+Y6+Z6+BK6+AF6+AG6+AH6+AI6+AN6+AO6+AP6+AQ6+AV6+AW6+AX6+AY6+BD6+BE6+BF6+BG6,2)</f>
        <v>37000.0</v>
      </c>
      <c r="BQ6" s="8">
        <f>ROUND(BO6-BP6,2)</f>
        <v>-37000.0</v>
      </c>
      <c r="BR6" s="8">
        <f>ROUND(BR5+BQ6,2)</f>
        <v>-174000.0</v>
      </c>
      <c r="BS6" s="8">
        <f>ROUND(BN6-BK6,2)</f>
        <v>-37000.0</v>
      </c>
      <c r="BT6" s="8">
        <f>ROUND(BT5+N6-O6+V6-W6+AL6-AM6,2)</f>
        <v>0.0</v>
      </c>
      <c r="BU6" s="10">
        <f>IF(BR6&gt;=0,A6,999)</f>
        <v>999</v>
      </c>
      <c r="BV6" s="8">
        <f>ROUND(BR6+200000,2)</f>
        <v>26000.0</v>
      </c>
    </row>
    <row r="7" spans="1:74">
      <c r="A7" s="10">
        <v>3</v>
      </c>
      <c r="B7" s="7">
        <v>20</v>
      </c>
      <c r="C7" s="7">
        <v>0</v>
      </c>
      <c r="D7" s="7">
        <v>0</v>
      </c>
      <c r="E7" s="7">
        <v>0</v>
      </c>
      <c r="F7" s="7">
        <v>0</v>
      </c>
      <c r="G7" s="10">
        <f>MAX(0,F7-F6)</f>
        <v>0</v>
      </c>
      <c r="H7" s="10">
        <f>ROUNDUP(B7/'Premissas'!$B$14,0)</f>
        <v>1000</v>
      </c>
      <c r="I7" s="8">
        <f>ROUND(B7*'Premissas'!$B$5,2)</f>
        <v>580.0</v>
      </c>
      <c r="J7" s="8">
        <f>ROUND(I7*'Premissas'!$B$6,2)</f>
        <v>2900.0</v>
      </c>
      <c r="K7" s="8">
        <f>ROUND(J7*'Premissas'!$B$7,2)</f>
        <v>232.0</v>
      </c>
      <c r="L7" s="8">
        <f>ROUND(J7-K7,2)</f>
        <v>2668.0</v>
      </c>
      <c r="M7" s="8">
        <f>ROUND(L7*'Premissas'!$B$8+B7*(1-'Premissas'!$B$7)*'Premissas'!$B$9*'Premissas'!$B$6,2)</f>
        <v>356.13</v>
      </c>
      <c r="N7" s="8">
        <f>ROUND(L7-M7,2)</f>
        <v>2311.87</v>
      </c>
      <c r="O7" s="8">
        <f>IF(A7&gt;'Premissas'!$B$20,INDEX($N$5:$N$28,MAX(1,A7-'Premissas'!$B$20)),0)</f>
        <v>0.0</v>
      </c>
      <c r="P7" s="8">
        <f>ROUND(L7*'Premissas'!$B$10,2)</f>
        <v>400.2</v>
      </c>
      <c r="Q7" s="8">
        <f>ROUND(L7*'Premissas'!$B$11,2)</f>
        <v>80.04</v>
      </c>
      <c r="R7" s="8">
        <f>ROUND(B7*'Premissas'!$B$12*'Premissas'!$B$6,2)</f>
        <v>1000.0</v>
      </c>
      <c r="S7" s="8">
        <f>ROUND(B7*'Premissas'!$B$13*'Premissas'!$B$6,2)</f>
        <v>100.0</v>
      </c>
      <c r="T7" s="8">
        <f>ROUND(L7-M7-P7-Q7-R7-S7,2)</f>
        <v>731.63</v>
      </c>
      <c r="U7" s="10">
        <f>C7*'Premissas'!$B$16</f>
        <v>0</v>
      </c>
      <c r="V7" s="8">
        <f>ROUND(C7*'Premissas'!$B$15,2)</f>
        <v>0.0</v>
      </c>
      <c r="W7" s="8">
        <f>ROUND(V7*'Premissas'!$B$19+V6*(1-'Premissas'!$B$19),2)</f>
        <v>0.0</v>
      </c>
      <c r="X7" s="8">
        <f>ROUND(U7*'Premissas'!$B$17,2)</f>
        <v>0.0</v>
      </c>
      <c r="Y7" s="8">
        <f>ROUND(V7*'Premissas'!$B$10,2)</f>
        <v>0.0</v>
      </c>
      <c r="Z7" s="8">
        <f>ROUND(W7*'Premissas'!$B$18,2)</f>
        <v>0.0</v>
      </c>
      <c r="AA7" s="8">
        <f>ROUND(V7*'Premissas'!$B$18,2)</f>
        <v>0.0</v>
      </c>
      <c r="AB7" s="8">
        <f>ROUND(V7-X7-Y7-AA7,2)</f>
        <v>0.0</v>
      </c>
      <c r="AC7" s="10">
        <f>D7*'Ofertas'!$C$5</f>
        <v>0.0</v>
      </c>
      <c r="AD7" s="8">
        <f>ROUND(D7*'Ofertas'!$B$5,2)</f>
        <v>0.0</v>
      </c>
      <c r="AE7" s="8">
        <f>AD7</f>
        <v>0.0</v>
      </c>
      <c r="AF7" s="8">
        <f>ROUND(AC7*'Ofertas'!$D$5,2)</f>
        <v>0.0</v>
      </c>
      <c r="AG7" s="8">
        <f>ROUND(AD7*'Premissas'!$B$10,2)</f>
        <v>0.0</v>
      </c>
      <c r="AH7" s="8">
        <f>ROUND(AD7*'Premissas'!$B$31,2)</f>
        <v>0.0</v>
      </c>
      <c r="AI7" s="8">
        <f>ROUND(D7*'Ofertas'!$H$5,2)</f>
        <v>0.0</v>
      </c>
      <c r="AJ7" s="8">
        <f>ROUND(AD7-AF7-AG7-AH7-AI7,2)</f>
        <v>0.0</v>
      </c>
      <c r="AK7" s="10">
        <f>E7*'Ofertas'!$C$6</f>
        <v>0.0</v>
      </c>
      <c r="AL7" s="8">
        <f>ROUND(E7*'Ofertas'!$B$6,2)</f>
        <v>0.0</v>
      </c>
      <c r="AM7" s="8">
        <f>ROUND(AL7*'Premissas'!$B$32+AL6*(1-'Premissas'!$B$32),2)</f>
        <v>0.0</v>
      </c>
      <c r="AN7" s="8">
        <f>ROUND(AK7*'Ofertas'!$D$6,2)</f>
        <v>0.0</v>
      </c>
      <c r="AO7" s="8">
        <f>ROUND(AL7*'Premissas'!$B$10,2)</f>
        <v>0.0</v>
      </c>
      <c r="AP7" s="8">
        <f>ROUND(AL7*'Premissas'!$B$31,2)</f>
        <v>0.0</v>
      </c>
      <c r="AQ7" s="8">
        <f>ROUND(E7*'Ofertas'!$H$6,2)</f>
        <v>0.0</v>
      </c>
      <c r="AR7" s="8">
        <f>ROUND(AL7-AN7-AO7-AP7-AQ7,2)</f>
        <v>0.0</v>
      </c>
      <c r="AS7" s="10">
        <f>F7*'Ofertas'!$C$7</f>
        <v>0.0</v>
      </c>
      <c r="AT7" s="8">
        <f>ROUND(F7*'Ofertas'!$B$7,2)</f>
        <v>0.0</v>
      </c>
      <c r="AU7" s="8">
        <f>AT7</f>
        <v>0.0</v>
      </c>
      <c r="AV7" s="8">
        <f>ROUND(AS7*'Ofertas'!$D$7,2)</f>
        <v>0.0</v>
      </c>
      <c r="AW7" s="8">
        <f>ROUND(AT7*'Premissas'!$B$10,2)</f>
        <v>0.0</v>
      </c>
      <c r="AX7" s="8">
        <f>ROUND(AT7*'Premissas'!$B$31,2)</f>
        <v>0.0</v>
      </c>
      <c r="AY7" s="8">
        <f>ROUND(F7*'Ofertas'!$H$7,2)</f>
        <v>0.0</v>
      </c>
      <c r="AZ7" s="8">
        <f>ROUND(AT7-AV7-AW7-AX7-AY7,2)</f>
        <v>0.0</v>
      </c>
      <c r="BA7" s="10">
        <f>G7*'Ofertas'!$C$8</f>
        <v>0.0</v>
      </c>
      <c r="BB7" s="8">
        <f>ROUND(G7*'Ofertas'!$B$8,2)</f>
        <v>0.0</v>
      </c>
      <c r="BC7" s="8">
        <f>BB7</f>
        <v>0.0</v>
      </c>
      <c r="BD7" s="8">
        <f>ROUND(BA7*'Ofertas'!$D$8,2)</f>
        <v>0.0</v>
      </c>
      <c r="BE7" s="8">
        <f>ROUND(BB7*'Premissas'!$B$10,2)</f>
        <v>0.0</v>
      </c>
      <c r="BF7" s="8">
        <f>ROUND(BB7*'Premissas'!$B$31,2)</f>
        <v>0.0</v>
      </c>
      <c r="BG7" s="8">
        <f>ROUND(G7*'Ofertas'!$H$8,2)</f>
        <v>0.0</v>
      </c>
      <c r="BH7" s="8">
        <f>ROUND(BB7-BD7-BE7-BF7-BG7,2)</f>
        <v>0.0</v>
      </c>
      <c r="BI7" s="10">
        <f>U7+AC7+AK7+AS7+BA7</f>
        <v>0.0</v>
      </c>
      <c r="BJ7" s="11">
        <f>BI7/'Premissas'!$B$30</f>
        <v>0.0</v>
      </c>
      <c r="BK7" s="8">
        <f>IF(A7&lt;=12,'Premissas'!$B$24,'Premissas'!$B$25)</f>
        <v>37000</v>
      </c>
      <c r="BL7" s="8">
        <f>ROUND(J7+V7+AD7+AL7+AT7+BB7,2)</f>
        <v>2900.0</v>
      </c>
      <c r="BM7" s="8">
        <f>ROUND(L7+V7+AD7+AL7+AT7+BB7,2)</f>
        <v>2668.0</v>
      </c>
      <c r="BN7" s="8">
        <f>ROUND(T7+AB7+AJ7+AR7+AZ7+BH7,2)</f>
        <v>731.63</v>
      </c>
      <c r="BO7" s="8">
        <f>ROUND(O7+W7+AE7+AM7+AU7+BC7,2)</f>
        <v>0.0</v>
      </c>
      <c r="BP7" s="8">
        <f>ROUND(P7+Q7+R7+S7+X7+Y7+Z7+BK7+AF7+AG7+AH7+AI7+AN7+AO7+AP7+AQ7+AV7+AW7+AX7+AY7+BD7+BE7+BF7+BG7,2)</f>
        <v>38580.24</v>
      </c>
      <c r="BQ7" s="8">
        <f>ROUND(BO7-BP7,2)</f>
        <v>-38580.24</v>
      </c>
      <c r="BR7" s="8">
        <f>ROUND(BR6+BQ7,2)</f>
        <v>-212580.24</v>
      </c>
      <c r="BS7" s="8">
        <f>ROUND(BN7-BK7,2)</f>
        <v>-36268.37</v>
      </c>
      <c r="BT7" s="8">
        <f>ROUND(BT6+N7-O7+V7-W7+AL7-AM7,2)</f>
        <v>2311.87</v>
      </c>
      <c r="BU7" s="10">
        <f>IF(BR7&gt;=0,A7,999)</f>
        <v>999</v>
      </c>
      <c r="BV7" s="8">
        <f>ROUND(BR7+200000,2)</f>
        <v>-12580.24</v>
      </c>
    </row>
    <row r="8" spans="1:74">
      <c r="A8" s="10">
        <v>4</v>
      </c>
      <c r="B8" s="7">
        <v>40</v>
      </c>
      <c r="C8" s="7">
        <v>0</v>
      </c>
      <c r="D8" s="7">
        <v>0</v>
      </c>
      <c r="E8" s="7">
        <v>0</v>
      </c>
      <c r="F8" s="7">
        <v>0</v>
      </c>
      <c r="G8" s="10">
        <f>MAX(0,F8-F7)</f>
        <v>0</v>
      </c>
      <c r="H8" s="10">
        <f>ROUNDUP(B8/'Premissas'!$B$14,0)</f>
        <v>2000</v>
      </c>
      <c r="I8" s="8">
        <f>ROUND(B8*'Premissas'!$B$5,2)</f>
        <v>1160.0</v>
      </c>
      <c r="J8" s="8">
        <f>ROUND(I8*'Premissas'!$B$6,2)</f>
        <v>5800.0</v>
      </c>
      <c r="K8" s="8">
        <f>ROUND(J8*'Premissas'!$B$7,2)</f>
        <v>464.0</v>
      </c>
      <c r="L8" s="8">
        <f>ROUND(J8-K8,2)</f>
        <v>5336.0</v>
      </c>
      <c r="M8" s="8">
        <f>ROUND(L8*'Premissas'!$B$8+B8*(1-'Premissas'!$B$7)*'Premissas'!$B$9*'Premissas'!$B$6,2)</f>
        <v>712.26</v>
      </c>
      <c r="N8" s="8">
        <f>ROUND(L8-M8,2)</f>
        <v>4623.74</v>
      </c>
      <c r="O8" s="8">
        <f>IF(A8&gt;'Premissas'!$B$20,INDEX($N$5:$N$28,MAX(1,A8-'Premissas'!$B$20)),0)</f>
        <v>2311.87</v>
      </c>
      <c r="P8" s="8">
        <f>ROUND(L8*'Premissas'!$B$10,2)</f>
        <v>800.4</v>
      </c>
      <c r="Q8" s="8">
        <f>ROUND(L8*'Premissas'!$B$11,2)</f>
        <v>160.08</v>
      </c>
      <c r="R8" s="8">
        <f>ROUND(B8*'Premissas'!$B$12*'Premissas'!$B$6,2)</f>
        <v>2000.0</v>
      </c>
      <c r="S8" s="8">
        <f>ROUND(B8*'Premissas'!$B$13*'Premissas'!$B$6,2)</f>
        <v>200.0</v>
      </c>
      <c r="T8" s="8">
        <f>ROUND(L8-M8-P8-Q8-R8-S8,2)</f>
        <v>1463.26</v>
      </c>
      <c r="U8" s="10">
        <f>C8*'Premissas'!$B$16</f>
        <v>0</v>
      </c>
      <c r="V8" s="8">
        <f>ROUND(C8*'Premissas'!$B$15,2)</f>
        <v>0.0</v>
      </c>
      <c r="W8" s="8">
        <f>ROUND(V8*'Premissas'!$B$19+V7*(1-'Premissas'!$B$19),2)</f>
        <v>0.0</v>
      </c>
      <c r="X8" s="8">
        <f>ROUND(U8*'Premissas'!$B$17,2)</f>
        <v>0.0</v>
      </c>
      <c r="Y8" s="8">
        <f>ROUND(V8*'Premissas'!$B$10,2)</f>
        <v>0.0</v>
      </c>
      <c r="Z8" s="8">
        <f>ROUND(W8*'Premissas'!$B$18,2)</f>
        <v>0.0</v>
      </c>
      <c r="AA8" s="8">
        <f>ROUND(V8*'Premissas'!$B$18,2)</f>
        <v>0.0</v>
      </c>
      <c r="AB8" s="8">
        <f>ROUND(V8-X8-Y8-AA8,2)</f>
        <v>0.0</v>
      </c>
      <c r="AC8" s="10">
        <f>D8*'Ofertas'!$C$5</f>
        <v>0.0</v>
      </c>
      <c r="AD8" s="8">
        <f>ROUND(D8*'Ofertas'!$B$5,2)</f>
        <v>0.0</v>
      </c>
      <c r="AE8" s="8">
        <f>AD8</f>
        <v>0.0</v>
      </c>
      <c r="AF8" s="8">
        <f>ROUND(AC8*'Ofertas'!$D$5,2)</f>
        <v>0.0</v>
      </c>
      <c r="AG8" s="8">
        <f>ROUND(AD8*'Premissas'!$B$10,2)</f>
        <v>0.0</v>
      </c>
      <c r="AH8" s="8">
        <f>ROUND(AD8*'Premissas'!$B$31,2)</f>
        <v>0.0</v>
      </c>
      <c r="AI8" s="8">
        <f>ROUND(D8*'Ofertas'!$H$5,2)</f>
        <v>0.0</v>
      </c>
      <c r="AJ8" s="8">
        <f>ROUND(AD8-AF8-AG8-AH8-AI8,2)</f>
        <v>0.0</v>
      </c>
      <c r="AK8" s="10">
        <f>E8*'Ofertas'!$C$6</f>
        <v>0.0</v>
      </c>
      <c r="AL8" s="8">
        <f>ROUND(E8*'Ofertas'!$B$6,2)</f>
        <v>0.0</v>
      </c>
      <c r="AM8" s="8">
        <f>ROUND(AL8*'Premissas'!$B$32+AL7*(1-'Premissas'!$B$32),2)</f>
        <v>0.0</v>
      </c>
      <c r="AN8" s="8">
        <f>ROUND(AK8*'Ofertas'!$D$6,2)</f>
        <v>0.0</v>
      </c>
      <c r="AO8" s="8">
        <f>ROUND(AL8*'Premissas'!$B$10,2)</f>
        <v>0.0</v>
      </c>
      <c r="AP8" s="8">
        <f>ROUND(AL8*'Premissas'!$B$31,2)</f>
        <v>0.0</v>
      </c>
      <c r="AQ8" s="8">
        <f>ROUND(E8*'Ofertas'!$H$6,2)</f>
        <v>0.0</v>
      </c>
      <c r="AR8" s="8">
        <f>ROUND(AL8-AN8-AO8-AP8-AQ8,2)</f>
        <v>0.0</v>
      </c>
      <c r="AS8" s="10">
        <f>F8*'Ofertas'!$C$7</f>
        <v>0.0</v>
      </c>
      <c r="AT8" s="8">
        <f>ROUND(F8*'Ofertas'!$B$7,2)</f>
        <v>0.0</v>
      </c>
      <c r="AU8" s="8">
        <f>AT8</f>
        <v>0.0</v>
      </c>
      <c r="AV8" s="8">
        <f>ROUND(AS8*'Ofertas'!$D$7,2)</f>
        <v>0.0</v>
      </c>
      <c r="AW8" s="8">
        <f>ROUND(AT8*'Premissas'!$B$10,2)</f>
        <v>0.0</v>
      </c>
      <c r="AX8" s="8">
        <f>ROUND(AT8*'Premissas'!$B$31,2)</f>
        <v>0.0</v>
      </c>
      <c r="AY8" s="8">
        <f>ROUND(F8*'Ofertas'!$H$7,2)</f>
        <v>0.0</v>
      </c>
      <c r="AZ8" s="8">
        <f>ROUND(AT8-AV8-AW8-AX8-AY8,2)</f>
        <v>0.0</v>
      </c>
      <c r="BA8" s="10">
        <f>G8*'Ofertas'!$C$8</f>
        <v>0.0</v>
      </c>
      <c r="BB8" s="8">
        <f>ROUND(G8*'Ofertas'!$B$8,2)</f>
        <v>0.0</v>
      </c>
      <c r="BC8" s="8">
        <f>BB8</f>
        <v>0.0</v>
      </c>
      <c r="BD8" s="8">
        <f>ROUND(BA8*'Ofertas'!$D$8,2)</f>
        <v>0.0</v>
      </c>
      <c r="BE8" s="8">
        <f>ROUND(BB8*'Premissas'!$B$10,2)</f>
        <v>0.0</v>
      </c>
      <c r="BF8" s="8">
        <f>ROUND(BB8*'Premissas'!$B$31,2)</f>
        <v>0.0</v>
      </c>
      <c r="BG8" s="8">
        <f>ROUND(G8*'Ofertas'!$H$8,2)</f>
        <v>0.0</v>
      </c>
      <c r="BH8" s="8">
        <f>ROUND(BB8-BD8-BE8-BF8-BG8,2)</f>
        <v>0.0</v>
      </c>
      <c r="BI8" s="10">
        <f>U8+AC8+AK8+AS8+BA8</f>
        <v>0.0</v>
      </c>
      <c r="BJ8" s="11">
        <f>BI8/'Premissas'!$B$30</f>
        <v>0.0</v>
      </c>
      <c r="BK8" s="8">
        <f>IF(A8&lt;=12,'Premissas'!$B$24,'Premissas'!$B$25)</f>
        <v>37000</v>
      </c>
      <c r="BL8" s="8">
        <f>ROUND(J8+V8+AD8+AL8+AT8+BB8,2)</f>
        <v>5800.0</v>
      </c>
      <c r="BM8" s="8">
        <f>ROUND(L8+V8+AD8+AL8+AT8+BB8,2)</f>
        <v>5336.0</v>
      </c>
      <c r="BN8" s="8">
        <f>ROUND(T8+AB8+AJ8+AR8+AZ8+BH8,2)</f>
        <v>1463.26</v>
      </c>
      <c r="BO8" s="8">
        <f>ROUND(O8+W8+AE8+AM8+AU8+BC8,2)</f>
        <v>2311.87</v>
      </c>
      <c r="BP8" s="8">
        <f>ROUND(P8+Q8+R8+S8+X8+Y8+Z8+BK8+AF8+AG8+AH8+AI8+AN8+AO8+AP8+AQ8+AV8+AW8+AX8+AY8+BD8+BE8+BF8+BG8,2)</f>
        <v>40160.48</v>
      </c>
      <c r="BQ8" s="8">
        <f>ROUND(BO8-BP8,2)</f>
        <v>-37848.61</v>
      </c>
      <c r="BR8" s="8">
        <f>ROUND(BR7+BQ8,2)</f>
        <v>-250428.85</v>
      </c>
      <c r="BS8" s="8">
        <f>ROUND(BN8-BK8,2)</f>
        <v>-35536.74</v>
      </c>
      <c r="BT8" s="8">
        <f>ROUND(BT7+N8-O8+V8-W8+AL8-AM8,2)</f>
        <v>4623.74</v>
      </c>
      <c r="BU8" s="10">
        <f>IF(BR8&gt;=0,A8,999)</f>
        <v>999</v>
      </c>
      <c r="BV8" s="8">
        <f>ROUND(BR8+200000,2)</f>
        <v>-50428.85</v>
      </c>
    </row>
    <row r="9" spans="1:74">
      <c r="A9" s="10">
        <v>5</v>
      </c>
      <c r="B9" s="7">
        <v>80</v>
      </c>
      <c r="C9" s="7">
        <v>1</v>
      </c>
      <c r="D9" s="7">
        <v>1</v>
      </c>
      <c r="E9" s="7">
        <v>0</v>
      </c>
      <c r="F9" s="7">
        <v>0</v>
      </c>
      <c r="G9" s="10">
        <f>MAX(0,F9-F8)</f>
        <v>0</v>
      </c>
      <c r="H9" s="10">
        <f>ROUNDUP(B9/'Premissas'!$B$14,0)</f>
        <v>4000</v>
      </c>
      <c r="I9" s="8">
        <f>ROUND(B9*'Premissas'!$B$5,2)</f>
        <v>2320.0</v>
      </c>
      <c r="J9" s="8">
        <f>ROUND(I9*'Premissas'!$B$6,2)</f>
        <v>11600.0</v>
      </c>
      <c r="K9" s="8">
        <f>ROUND(J9*'Premissas'!$B$7,2)</f>
        <v>928.0</v>
      </c>
      <c r="L9" s="8">
        <f>ROUND(J9-K9,2)</f>
        <v>10672.0</v>
      </c>
      <c r="M9" s="8">
        <f>ROUND(L9*'Premissas'!$B$8+B9*(1-'Premissas'!$B$7)*'Premissas'!$B$9*'Premissas'!$B$6,2)</f>
        <v>1424.53</v>
      </c>
      <c r="N9" s="8">
        <f>ROUND(L9-M9,2)</f>
        <v>9247.47</v>
      </c>
      <c r="O9" s="8">
        <f>IF(A9&gt;'Premissas'!$B$20,INDEX($N$5:$N$28,MAX(1,A9-'Premissas'!$B$20)),0)</f>
        <v>4623.74</v>
      </c>
      <c r="P9" s="8">
        <f>ROUND(L9*'Premissas'!$B$10,2)</f>
        <v>1600.8</v>
      </c>
      <c r="Q9" s="8">
        <f>ROUND(L9*'Premissas'!$B$11,2)</f>
        <v>320.16</v>
      </c>
      <c r="R9" s="8">
        <f>ROUND(B9*'Premissas'!$B$12*'Premissas'!$B$6,2)</f>
        <v>4000.0</v>
      </c>
      <c r="S9" s="8">
        <f>ROUND(B9*'Premissas'!$B$13*'Premissas'!$B$6,2)</f>
        <v>400.0</v>
      </c>
      <c r="T9" s="8">
        <f>ROUND(L9-M9-P9-Q9-R9-S9,2)</f>
        <v>2926.51</v>
      </c>
      <c r="U9" s="10">
        <f>C9*'Premissas'!$B$16</f>
        <v>80</v>
      </c>
      <c r="V9" s="8">
        <f>ROUND(C9*'Premissas'!$B$15,2)</f>
        <v>30000.0</v>
      </c>
      <c r="W9" s="8">
        <f>ROUND(V9*'Premissas'!$B$19+V8*(1-'Premissas'!$B$19),2)</f>
        <v>15000.0</v>
      </c>
      <c r="X9" s="8">
        <f>ROUND(U9*'Premissas'!$B$17,2)</f>
        <v>14400.0</v>
      </c>
      <c r="Y9" s="8">
        <f>ROUND(V9*'Premissas'!$B$10,2)</f>
        <v>4500.0</v>
      </c>
      <c r="Z9" s="8">
        <f>ROUND(W9*'Premissas'!$B$18,2)</f>
        <v>750.0</v>
      </c>
      <c r="AA9" s="8">
        <f>ROUND(V9*'Premissas'!$B$18,2)</f>
        <v>1500.0</v>
      </c>
      <c r="AB9" s="8">
        <f>ROUND(V9-X9-Y9-AA9,2)</f>
        <v>9600.0</v>
      </c>
      <c r="AC9" s="10">
        <f>D9*'Ofertas'!$C$5</f>
        <v>12.0</v>
      </c>
      <c r="AD9" s="8">
        <f>ROUND(D9*'Ofertas'!$B$5,2)</f>
        <v>4500.0</v>
      </c>
      <c r="AE9" s="8">
        <f>AD9</f>
        <v>4500.0</v>
      </c>
      <c r="AF9" s="8">
        <f>ROUND(AC9*'Ofertas'!$D$5,2)</f>
        <v>1440.0</v>
      </c>
      <c r="AG9" s="8">
        <f>ROUND(AD9*'Premissas'!$B$10,2)</f>
        <v>675.0</v>
      </c>
      <c r="AH9" s="8">
        <f>ROUND(AD9*'Premissas'!$B$31,2)</f>
        <v>225.0</v>
      </c>
      <c r="AI9" s="8">
        <f>ROUND(D9*'Ofertas'!$H$5,2)</f>
        <v>160.0</v>
      </c>
      <c r="AJ9" s="8">
        <f>ROUND(AD9-AF9-AG9-AH9-AI9,2)</f>
        <v>2000.0</v>
      </c>
      <c r="AK9" s="10">
        <f>E9*'Ofertas'!$C$6</f>
        <v>0.0</v>
      </c>
      <c r="AL9" s="8">
        <f>ROUND(E9*'Ofertas'!$B$6,2)</f>
        <v>0.0</v>
      </c>
      <c r="AM9" s="8">
        <f>ROUND(AL9*'Premissas'!$B$32+AL8*(1-'Premissas'!$B$32),2)</f>
        <v>0.0</v>
      </c>
      <c r="AN9" s="8">
        <f>ROUND(AK9*'Ofertas'!$D$6,2)</f>
        <v>0.0</v>
      </c>
      <c r="AO9" s="8">
        <f>ROUND(AL9*'Premissas'!$B$10,2)</f>
        <v>0.0</v>
      </c>
      <c r="AP9" s="8">
        <f>ROUND(AL9*'Premissas'!$B$31,2)</f>
        <v>0.0</v>
      </c>
      <c r="AQ9" s="8">
        <f>ROUND(E9*'Ofertas'!$H$6,2)</f>
        <v>0.0</v>
      </c>
      <c r="AR9" s="8">
        <f>ROUND(AL9-AN9-AO9-AP9-AQ9,2)</f>
        <v>0.0</v>
      </c>
      <c r="AS9" s="10">
        <f>F9*'Ofertas'!$C$7</f>
        <v>0.0</v>
      </c>
      <c r="AT9" s="8">
        <f>ROUND(F9*'Ofertas'!$B$7,2)</f>
        <v>0.0</v>
      </c>
      <c r="AU9" s="8">
        <f>AT9</f>
        <v>0.0</v>
      </c>
      <c r="AV9" s="8">
        <f>ROUND(AS9*'Ofertas'!$D$7,2)</f>
        <v>0.0</v>
      </c>
      <c r="AW9" s="8">
        <f>ROUND(AT9*'Premissas'!$B$10,2)</f>
        <v>0.0</v>
      </c>
      <c r="AX9" s="8">
        <f>ROUND(AT9*'Premissas'!$B$31,2)</f>
        <v>0.0</v>
      </c>
      <c r="AY9" s="8">
        <f>ROUND(F9*'Ofertas'!$H$7,2)</f>
        <v>0.0</v>
      </c>
      <c r="AZ9" s="8">
        <f>ROUND(AT9-AV9-AW9-AX9-AY9,2)</f>
        <v>0.0</v>
      </c>
      <c r="BA9" s="10">
        <f>G9*'Ofertas'!$C$8</f>
        <v>0.0</v>
      </c>
      <c r="BB9" s="8">
        <f>ROUND(G9*'Ofertas'!$B$8,2)</f>
        <v>0.0</v>
      </c>
      <c r="BC9" s="8">
        <f>BB9</f>
        <v>0.0</v>
      </c>
      <c r="BD9" s="8">
        <f>ROUND(BA9*'Ofertas'!$D$8,2)</f>
        <v>0.0</v>
      </c>
      <c r="BE9" s="8">
        <f>ROUND(BB9*'Premissas'!$B$10,2)</f>
        <v>0.0</v>
      </c>
      <c r="BF9" s="8">
        <f>ROUND(BB9*'Premissas'!$B$31,2)</f>
        <v>0.0</v>
      </c>
      <c r="BG9" s="8">
        <f>ROUND(G9*'Ofertas'!$H$8,2)</f>
        <v>0.0</v>
      </c>
      <c r="BH9" s="8">
        <f>ROUND(BB9-BD9-BE9-BF9-BG9,2)</f>
        <v>0.0</v>
      </c>
      <c r="BI9" s="10">
        <f>U9+AC9+AK9+AS9+BA9</f>
        <v>92.0</v>
      </c>
      <c r="BJ9" s="11">
        <f>BI9/'Premissas'!$B$30</f>
        <v>0.575</v>
      </c>
      <c r="BK9" s="8">
        <f>IF(A9&lt;=12,'Premissas'!$B$24,'Premissas'!$B$25)</f>
        <v>37000</v>
      </c>
      <c r="BL9" s="8">
        <f>ROUND(J9+V9+AD9+AL9+AT9+BB9,2)</f>
        <v>46100.0</v>
      </c>
      <c r="BM9" s="8">
        <f>ROUND(L9+V9+AD9+AL9+AT9+BB9,2)</f>
        <v>45172.0</v>
      </c>
      <c r="BN9" s="8">
        <f>ROUND(T9+AB9+AJ9+AR9+AZ9+BH9,2)</f>
        <v>14526.51</v>
      </c>
      <c r="BO9" s="8">
        <f>ROUND(O9+W9+AE9+AM9+AU9+BC9,2)</f>
        <v>24123.74</v>
      </c>
      <c r="BP9" s="8">
        <f>ROUND(P9+Q9+R9+S9+X9+Y9+Z9+BK9+AF9+AG9+AH9+AI9+AN9+AO9+AP9+AQ9+AV9+AW9+AX9+AY9+BD9+BE9+BF9+BG9,2)</f>
        <v>65470.96</v>
      </c>
      <c r="BQ9" s="8">
        <f>ROUND(BO9-BP9,2)</f>
        <v>-41347.22</v>
      </c>
      <c r="BR9" s="8">
        <f>ROUND(BR8+BQ9,2)</f>
        <v>-291776.07</v>
      </c>
      <c r="BS9" s="8">
        <f>ROUND(BN9-BK9,2)</f>
        <v>-22473.49</v>
      </c>
      <c r="BT9" s="8">
        <f>ROUND(BT8+N9-O9+V9-W9+AL9-AM9,2)</f>
        <v>24247.47</v>
      </c>
      <c r="BU9" s="10">
        <f>IF(BR9&gt;=0,A9,999)</f>
        <v>999</v>
      </c>
      <c r="BV9" s="8">
        <f>ROUND(BR9+200000,2)</f>
        <v>-91776.07</v>
      </c>
    </row>
    <row r="10" spans="1:74">
      <c r="A10" s="10">
        <v>6</v>
      </c>
      <c r="B10" s="7">
        <v>120</v>
      </c>
      <c r="C10" s="7">
        <v>0</v>
      </c>
      <c r="D10" s="7">
        <v>1</v>
      </c>
      <c r="E10" s="7">
        <v>1</v>
      </c>
      <c r="F10" s="7">
        <v>0</v>
      </c>
      <c r="G10" s="10">
        <f>MAX(0,F10-F9)</f>
        <v>0</v>
      </c>
      <c r="H10" s="10">
        <f>ROUNDUP(B10/'Premissas'!$B$14,0)</f>
        <v>6000</v>
      </c>
      <c r="I10" s="8">
        <f>ROUND(B10*'Premissas'!$B$5,2)</f>
        <v>3480.0</v>
      </c>
      <c r="J10" s="8">
        <f>ROUND(I10*'Premissas'!$B$6,2)</f>
        <v>17400.0</v>
      </c>
      <c r="K10" s="8">
        <f>ROUND(J10*'Premissas'!$B$7,2)</f>
        <v>1392.0</v>
      </c>
      <c r="L10" s="8">
        <f>ROUND(J10-K10,2)</f>
        <v>16008.0</v>
      </c>
      <c r="M10" s="8">
        <f>ROUND(L10*'Premissas'!$B$8+B10*(1-'Premissas'!$B$7)*'Premissas'!$B$9*'Premissas'!$B$6,2)</f>
        <v>2136.79</v>
      </c>
      <c r="N10" s="8">
        <f>ROUND(L10-M10,2)</f>
        <v>13871.21</v>
      </c>
      <c r="O10" s="8">
        <f>IF(A10&gt;'Premissas'!$B$20,INDEX($N$5:$N$28,MAX(1,A10-'Premissas'!$B$20)),0)</f>
        <v>9247.47</v>
      </c>
      <c r="P10" s="8">
        <f>ROUND(L10*'Premissas'!$B$10,2)</f>
        <v>2401.2</v>
      </c>
      <c r="Q10" s="8">
        <f>ROUND(L10*'Premissas'!$B$11,2)</f>
        <v>480.24</v>
      </c>
      <c r="R10" s="8">
        <f>ROUND(B10*'Premissas'!$B$12*'Premissas'!$B$6,2)</f>
        <v>6000.0</v>
      </c>
      <c r="S10" s="8">
        <f>ROUND(B10*'Premissas'!$B$13*'Premissas'!$B$6,2)</f>
        <v>600.0</v>
      </c>
      <c r="T10" s="8">
        <f>ROUND(L10-M10-P10-Q10-R10-S10,2)</f>
        <v>4389.77</v>
      </c>
      <c r="U10" s="10">
        <f>C10*'Premissas'!$B$16</f>
        <v>0</v>
      </c>
      <c r="V10" s="8">
        <f>ROUND(C10*'Premissas'!$B$15,2)</f>
        <v>0.0</v>
      </c>
      <c r="W10" s="8">
        <f>ROUND(V10*'Premissas'!$B$19+V9*(1-'Premissas'!$B$19),2)</f>
        <v>15000.0</v>
      </c>
      <c r="X10" s="8">
        <f>ROUND(U10*'Premissas'!$B$17,2)</f>
        <v>0.0</v>
      </c>
      <c r="Y10" s="8">
        <f>ROUND(V10*'Premissas'!$B$10,2)</f>
        <v>0.0</v>
      </c>
      <c r="Z10" s="8">
        <f>ROUND(W10*'Premissas'!$B$18,2)</f>
        <v>750.0</v>
      </c>
      <c r="AA10" s="8">
        <f>ROUND(V10*'Premissas'!$B$18,2)</f>
        <v>0.0</v>
      </c>
      <c r="AB10" s="8">
        <f>ROUND(V10-X10-Y10-AA10,2)</f>
        <v>0.0</v>
      </c>
      <c r="AC10" s="10">
        <f>D10*'Ofertas'!$C$5</f>
        <v>12.0</v>
      </c>
      <c r="AD10" s="8">
        <f>ROUND(D10*'Ofertas'!$B$5,2)</f>
        <v>4500.0</v>
      </c>
      <c r="AE10" s="8">
        <f>AD10</f>
        <v>4500.0</v>
      </c>
      <c r="AF10" s="8">
        <f>ROUND(AC10*'Ofertas'!$D$5,2)</f>
        <v>1440.0</v>
      </c>
      <c r="AG10" s="8">
        <f>ROUND(AD10*'Premissas'!$B$10,2)</f>
        <v>675.0</v>
      </c>
      <c r="AH10" s="8">
        <f>ROUND(AD10*'Premissas'!$B$31,2)</f>
        <v>225.0</v>
      </c>
      <c r="AI10" s="8">
        <f>ROUND(D10*'Ofertas'!$H$5,2)</f>
        <v>160.0</v>
      </c>
      <c r="AJ10" s="8">
        <f>ROUND(AD10-AF10-AG10-AH10-AI10,2)</f>
        <v>2000.0</v>
      </c>
      <c r="AK10" s="10">
        <f>E10*'Ofertas'!$C$6</f>
        <v>40.0</v>
      </c>
      <c r="AL10" s="8">
        <f>ROUND(E10*'Ofertas'!$B$6,2)</f>
        <v>18000.0</v>
      </c>
      <c r="AM10" s="8">
        <f>ROUND(AL10*'Premissas'!$B$32+AL9*(1-'Premissas'!$B$32),2)</f>
        <v>9000.0</v>
      </c>
      <c r="AN10" s="8">
        <f>ROUND(AK10*'Ofertas'!$D$6,2)</f>
        <v>7200.0</v>
      </c>
      <c r="AO10" s="8">
        <f>ROUND(AL10*'Premissas'!$B$10,2)</f>
        <v>2700.0</v>
      </c>
      <c r="AP10" s="8">
        <f>ROUND(AL10*'Premissas'!$B$31,2)</f>
        <v>900.0</v>
      </c>
      <c r="AQ10" s="8">
        <f>ROUND(E10*'Ofertas'!$H$6,2)</f>
        <v>600.0</v>
      </c>
      <c r="AR10" s="8">
        <f>ROUND(AL10-AN10-AO10-AP10-AQ10,2)</f>
        <v>6600.0</v>
      </c>
      <c r="AS10" s="10">
        <f>F10*'Ofertas'!$C$7</f>
        <v>0.0</v>
      </c>
      <c r="AT10" s="8">
        <f>ROUND(F10*'Ofertas'!$B$7,2)</f>
        <v>0.0</v>
      </c>
      <c r="AU10" s="8">
        <f>AT10</f>
        <v>0.0</v>
      </c>
      <c r="AV10" s="8">
        <f>ROUND(AS10*'Ofertas'!$D$7,2)</f>
        <v>0.0</v>
      </c>
      <c r="AW10" s="8">
        <f>ROUND(AT10*'Premissas'!$B$10,2)</f>
        <v>0.0</v>
      </c>
      <c r="AX10" s="8">
        <f>ROUND(AT10*'Premissas'!$B$31,2)</f>
        <v>0.0</v>
      </c>
      <c r="AY10" s="8">
        <f>ROUND(F10*'Ofertas'!$H$7,2)</f>
        <v>0.0</v>
      </c>
      <c r="AZ10" s="8">
        <f>ROUND(AT10-AV10-AW10-AX10-AY10,2)</f>
        <v>0.0</v>
      </c>
      <c r="BA10" s="10">
        <f>G10*'Ofertas'!$C$8</f>
        <v>0.0</v>
      </c>
      <c r="BB10" s="8">
        <f>ROUND(G10*'Ofertas'!$B$8,2)</f>
        <v>0.0</v>
      </c>
      <c r="BC10" s="8">
        <f>BB10</f>
        <v>0.0</v>
      </c>
      <c r="BD10" s="8">
        <f>ROUND(BA10*'Ofertas'!$D$8,2)</f>
        <v>0.0</v>
      </c>
      <c r="BE10" s="8">
        <f>ROUND(BB10*'Premissas'!$B$10,2)</f>
        <v>0.0</v>
      </c>
      <c r="BF10" s="8">
        <f>ROUND(BB10*'Premissas'!$B$31,2)</f>
        <v>0.0</v>
      </c>
      <c r="BG10" s="8">
        <f>ROUND(G10*'Ofertas'!$H$8,2)</f>
        <v>0.0</v>
      </c>
      <c r="BH10" s="8">
        <f>ROUND(BB10-BD10-BE10-BF10-BG10,2)</f>
        <v>0.0</v>
      </c>
      <c r="BI10" s="10">
        <f>U10+AC10+AK10+AS10+BA10</f>
        <v>52.0</v>
      </c>
      <c r="BJ10" s="11">
        <f>BI10/'Premissas'!$B$30</f>
        <v>0.325</v>
      </c>
      <c r="BK10" s="8">
        <f>IF(A10&lt;=12,'Premissas'!$B$24,'Premissas'!$B$25)</f>
        <v>37000</v>
      </c>
      <c r="BL10" s="8">
        <f>ROUND(J10+V10+AD10+AL10+AT10+BB10,2)</f>
        <v>39900.0</v>
      </c>
      <c r="BM10" s="8">
        <f>ROUND(L10+V10+AD10+AL10+AT10+BB10,2)</f>
        <v>38508.0</v>
      </c>
      <c r="BN10" s="8">
        <f>ROUND(T10+AB10+AJ10+AR10+AZ10+BH10,2)</f>
        <v>12989.77</v>
      </c>
      <c r="BO10" s="8">
        <f>ROUND(O10+W10+AE10+AM10+AU10+BC10,2)</f>
        <v>37747.47</v>
      </c>
      <c r="BP10" s="8">
        <f>ROUND(P10+Q10+R10+S10+X10+Y10+Z10+BK10+AF10+AG10+AH10+AI10+AN10+AO10+AP10+AQ10+AV10+AW10+AX10+AY10+BD10+BE10+BF10+BG10,2)</f>
        <v>61131.44</v>
      </c>
      <c r="BQ10" s="8">
        <f>ROUND(BO10-BP10,2)</f>
        <v>-23383.97</v>
      </c>
      <c r="BR10" s="8">
        <f>ROUND(BR9+BQ10,2)</f>
        <v>-315160.04</v>
      </c>
      <c r="BS10" s="8">
        <f>ROUND(BN10-BK10,2)</f>
        <v>-24010.23</v>
      </c>
      <c r="BT10" s="8">
        <f>ROUND(BT9+N10-O10+V10-W10+AL10-AM10,2)</f>
        <v>22871.21</v>
      </c>
      <c r="BU10" s="10">
        <f>IF(BR10&gt;=0,A10,999)</f>
        <v>999</v>
      </c>
      <c r="BV10" s="8">
        <f>ROUND(BR10+200000,2)</f>
        <v>-115160.04</v>
      </c>
    </row>
    <row r="11" spans="1:74">
      <c r="A11" s="10">
        <v>7</v>
      </c>
      <c r="B11" s="7">
        <v>180</v>
      </c>
      <c r="C11" s="7">
        <v>0</v>
      </c>
      <c r="D11" s="7">
        <v>1</v>
      </c>
      <c r="E11" s="7">
        <v>0</v>
      </c>
      <c r="F11" s="7">
        <v>1</v>
      </c>
      <c r="G11" s="10">
        <f>MAX(0,F11-F10)</f>
        <v>1</v>
      </c>
      <c r="H11" s="10">
        <f>ROUNDUP(B11/'Premissas'!$B$14,0)</f>
        <v>9000</v>
      </c>
      <c r="I11" s="8">
        <f>ROUND(B11*'Premissas'!$B$5,2)</f>
        <v>5220.0</v>
      </c>
      <c r="J11" s="8">
        <f>ROUND(I11*'Premissas'!$B$6,2)</f>
        <v>26100.0</v>
      </c>
      <c r="K11" s="8">
        <f>ROUND(J11*'Premissas'!$B$7,2)</f>
        <v>2088.0</v>
      </c>
      <c r="L11" s="8">
        <f>ROUND(J11-K11,2)</f>
        <v>24012.0</v>
      </c>
      <c r="M11" s="8">
        <f>ROUND(L11*'Premissas'!$B$8+B11*(1-'Premissas'!$B$7)*'Premissas'!$B$9*'Premissas'!$B$6,2)</f>
        <v>3205.19</v>
      </c>
      <c r="N11" s="8">
        <f>ROUND(L11-M11,2)</f>
        <v>20806.81</v>
      </c>
      <c r="O11" s="8">
        <f>IF(A11&gt;'Premissas'!$B$20,INDEX($N$5:$N$28,MAX(1,A11-'Premissas'!$B$20)),0)</f>
        <v>13871.21</v>
      </c>
      <c r="P11" s="8">
        <f>ROUND(L11*'Premissas'!$B$10,2)</f>
        <v>3601.8</v>
      </c>
      <c r="Q11" s="8">
        <f>ROUND(L11*'Premissas'!$B$11,2)</f>
        <v>720.36</v>
      </c>
      <c r="R11" s="8">
        <f>ROUND(B11*'Premissas'!$B$12*'Premissas'!$B$6,2)</f>
        <v>9000.0</v>
      </c>
      <c r="S11" s="8">
        <f>ROUND(B11*'Premissas'!$B$13*'Premissas'!$B$6,2)</f>
        <v>900.0</v>
      </c>
      <c r="T11" s="8">
        <f>ROUND(L11-M11-P11-Q11-R11-S11,2)</f>
        <v>6584.65</v>
      </c>
      <c r="U11" s="10">
        <f>C11*'Premissas'!$B$16</f>
        <v>0</v>
      </c>
      <c r="V11" s="8">
        <f>ROUND(C11*'Premissas'!$B$15,2)</f>
        <v>0.0</v>
      </c>
      <c r="W11" s="8">
        <f>ROUND(V11*'Premissas'!$B$19+V10*(1-'Premissas'!$B$19),2)</f>
        <v>0.0</v>
      </c>
      <c r="X11" s="8">
        <f>ROUND(U11*'Premissas'!$B$17,2)</f>
        <v>0.0</v>
      </c>
      <c r="Y11" s="8">
        <f>ROUND(V11*'Premissas'!$B$10,2)</f>
        <v>0.0</v>
      </c>
      <c r="Z11" s="8">
        <f>ROUND(W11*'Premissas'!$B$18,2)</f>
        <v>0.0</v>
      </c>
      <c r="AA11" s="8">
        <f>ROUND(V11*'Premissas'!$B$18,2)</f>
        <v>0.0</v>
      </c>
      <c r="AB11" s="8">
        <f>ROUND(V11-X11-Y11-AA11,2)</f>
        <v>0.0</v>
      </c>
      <c r="AC11" s="10">
        <f>D11*'Ofertas'!$C$5</f>
        <v>12.0</v>
      </c>
      <c r="AD11" s="8">
        <f>ROUND(D11*'Ofertas'!$B$5,2)</f>
        <v>4500.0</v>
      </c>
      <c r="AE11" s="8">
        <f>AD11</f>
        <v>4500.0</v>
      </c>
      <c r="AF11" s="8">
        <f>ROUND(AC11*'Ofertas'!$D$5,2)</f>
        <v>1440.0</v>
      </c>
      <c r="AG11" s="8">
        <f>ROUND(AD11*'Premissas'!$B$10,2)</f>
        <v>675.0</v>
      </c>
      <c r="AH11" s="8">
        <f>ROUND(AD11*'Premissas'!$B$31,2)</f>
        <v>225.0</v>
      </c>
      <c r="AI11" s="8">
        <f>ROUND(D11*'Ofertas'!$H$5,2)</f>
        <v>160.0</v>
      </c>
      <c r="AJ11" s="8">
        <f>ROUND(AD11-AF11-AG11-AH11-AI11,2)</f>
        <v>2000.0</v>
      </c>
      <c r="AK11" s="10">
        <f>E11*'Ofertas'!$C$6</f>
        <v>0.0</v>
      </c>
      <c r="AL11" s="8">
        <f>ROUND(E11*'Ofertas'!$B$6,2)</f>
        <v>0.0</v>
      </c>
      <c r="AM11" s="8">
        <f>ROUND(AL11*'Premissas'!$B$32+AL10*(1-'Premissas'!$B$32),2)</f>
        <v>9000.0</v>
      </c>
      <c r="AN11" s="8">
        <f>ROUND(AK11*'Ofertas'!$D$6,2)</f>
        <v>0.0</v>
      </c>
      <c r="AO11" s="8">
        <f>ROUND(AL11*'Premissas'!$B$10,2)</f>
        <v>0.0</v>
      </c>
      <c r="AP11" s="8">
        <f>ROUND(AL11*'Premissas'!$B$31,2)</f>
        <v>0.0</v>
      </c>
      <c r="AQ11" s="8">
        <f>ROUND(E11*'Ofertas'!$H$6,2)</f>
        <v>0.0</v>
      </c>
      <c r="AR11" s="8">
        <f>ROUND(AL11-AN11-AO11-AP11-AQ11,2)</f>
        <v>0.0</v>
      </c>
      <c r="AS11" s="10">
        <f>F11*'Ofertas'!$C$7</f>
        <v>8.0</v>
      </c>
      <c r="AT11" s="8">
        <f>ROUND(F11*'Ofertas'!$B$7,2)</f>
        <v>3500.0</v>
      </c>
      <c r="AU11" s="8">
        <f>AT11</f>
        <v>3500.0</v>
      </c>
      <c r="AV11" s="8">
        <f>ROUND(AS11*'Ofertas'!$D$7,2)</f>
        <v>960.0</v>
      </c>
      <c r="AW11" s="8">
        <f>ROUND(AT11*'Premissas'!$B$10,2)</f>
        <v>525.0</v>
      </c>
      <c r="AX11" s="8">
        <f>ROUND(AT11*'Premissas'!$B$31,2)</f>
        <v>175.0</v>
      </c>
      <c r="AY11" s="8">
        <f>ROUND(F11*'Ofertas'!$H$7,2)</f>
        <v>210.0</v>
      </c>
      <c r="AZ11" s="8">
        <f>ROUND(AT11-AV11-AW11-AX11-AY11,2)</f>
        <v>1630.0</v>
      </c>
      <c r="BA11" s="10">
        <f>G11*'Ofertas'!$C$8</f>
        <v>20.0</v>
      </c>
      <c r="BB11" s="8">
        <f>ROUND(G11*'Ofertas'!$B$8,2)</f>
        <v>6000.0</v>
      </c>
      <c r="BC11" s="8">
        <f>BB11</f>
        <v>6000.0</v>
      </c>
      <c r="BD11" s="8">
        <f>ROUND(BA11*'Ofertas'!$D$8,2)</f>
        <v>3600.0</v>
      </c>
      <c r="BE11" s="8">
        <f>ROUND(BB11*'Premissas'!$B$10,2)</f>
        <v>900.0</v>
      </c>
      <c r="BF11" s="8">
        <f>ROUND(BB11*'Premissas'!$B$31,2)</f>
        <v>300.0</v>
      </c>
      <c r="BG11" s="8">
        <f>ROUND(G11*'Ofertas'!$H$8,2)</f>
        <v>200.0</v>
      </c>
      <c r="BH11" s="8">
        <f>ROUND(BB11-BD11-BE11-BF11-BG11,2)</f>
        <v>1000.0</v>
      </c>
      <c r="BI11" s="10">
        <f>U11+AC11+AK11+AS11+BA11</f>
        <v>40.0</v>
      </c>
      <c r="BJ11" s="11">
        <f>BI11/'Premissas'!$B$30</f>
        <v>0.25</v>
      </c>
      <c r="BK11" s="8">
        <f>IF(A11&lt;=12,'Premissas'!$B$24,'Premissas'!$B$25)</f>
        <v>37000</v>
      </c>
      <c r="BL11" s="8">
        <f>ROUND(J11+V11+AD11+AL11+AT11+BB11,2)</f>
        <v>40100.0</v>
      </c>
      <c r="BM11" s="8">
        <f>ROUND(L11+V11+AD11+AL11+AT11+BB11,2)</f>
        <v>38012.0</v>
      </c>
      <c r="BN11" s="8">
        <f>ROUND(T11+AB11+AJ11+AR11+AZ11+BH11,2)</f>
        <v>11214.65</v>
      </c>
      <c r="BO11" s="8">
        <f>ROUND(O11+W11+AE11+AM11+AU11+BC11,2)</f>
        <v>36871.21</v>
      </c>
      <c r="BP11" s="8">
        <f>ROUND(P11+Q11+R11+S11+X11+Y11+Z11+BK11+AF11+AG11+AH11+AI11+AN11+AO11+AP11+AQ11+AV11+AW11+AX11+AY11+BD11+BE11+BF11+BG11,2)</f>
        <v>60592.16</v>
      </c>
      <c r="BQ11" s="8">
        <f>ROUND(BO11-BP11,2)</f>
        <v>-23720.95</v>
      </c>
      <c r="BR11" s="8">
        <f>ROUND(BR10+BQ11,2)</f>
        <v>-338880.99</v>
      </c>
      <c r="BS11" s="8">
        <f>ROUND(BN11-BK11,2)</f>
        <v>-25785.35</v>
      </c>
      <c r="BT11" s="8">
        <f>ROUND(BT10+N11-O11+V11-W11+AL11-AM11,2)</f>
        <v>20806.81</v>
      </c>
      <c r="BU11" s="10">
        <f>IF(BR11&gt;=0,A11,999)</f>
        <v>999</v>
      </c>
      <c r="BV11" s="8">
        <f>ROUND(BR11+200000,2)</f>
        <v>-138880.99</v>
      </c>
    </row>
    <row r="12" spans="1:74">
      <c r="A12" s="10">
        <v>8</v>
      </c>
      <c r="B12" s="7">
        <v>250</v>
      </c>
      <c r="C12" s="7">
        <v>0</v>
      </c>
      <c r="D12" s="7">
        <v>1</v>
      </c>
      <c r="E12" s="7">
        <v>0</v>
      </c>
      <c r="F12" s="7">
        <v>1</v>
      </c>
      <c r="G12" s="10">
        <f>MAX(0,F12-F11)</f>
        <v>0</v>
      </c>
      <c r="H12" s="10">
        <f>ROUNDUP(B12/'Premissas'!$B$14,0)</f>
        <v>12500</v>
      </c>
      <c r="I12" s="8">
        <f>ROUND(B12*'Premissas'!$B$5,2)</f>
        <v>7250.0</v>
      </c>
      <c r="J12" s="8">
        <f>ROUND(I12*'Premissas'!$B$6,2)</f>
        <v>36250.0</v>
      </c>
      <c r="K12" s="8">
        <f>ROUND(J12*'Premissas'!$B$7,2)</f>
        <v>2900.0</v>
      </c>
      <c r="L12" s="8">
        <f>ROUND(J12-K12,2)</f>
        <v>33350.0</v>
      </c>
      <c r="M12" s="8">
        <f>ROUND(L12*'Premissas'!$B$8+B12*(1-'Premissas'!$B$7)*'Premissas'!$B$9*'Premissas'!$B$6,2)</f>
        <v>4451.65</v>
      </c>
      <c r="N12" s="8">
        <f>ROUND(L12-M12,2)</f>
        <v>28898.35</v>
      </c>
      <c r="O12" s="8">
        <f>IF(A12&gt;'Premissas'!$B$20,INDEX($N$5:$N$28,MAX(1,A12-'Premissas'!$B$20)),0)</f>
        <v>20806.81</v>
      </c>
      <c r="P12" s="8">
        <f>ROUND(L12*'Premissas'!$B$10,2)</f>
        <v>5002.5</v>
      </c>
      <c r="Q12" s="8">
        <f>ROUND(L12*'Premissas'!$B$11,2)</f>
        <v>1000.5</v>
      </c>
      <c r="R12" s="8">
        <f>ROUND(B12*'Premissas'!$B$12*'Premissas'!$B$6,2)</f>
        <v>12500.0</v>
      </c>
      <c r="S12" s="8">
        <f>ROUND(B12*'Premissas'!$B$13*'Premissas'!$B$6,2)</f>
        <v>1250.0</v>
      </c>
      <c r="T12" s="8">
        <f>ROUND(L12-M12-P12-Q12-R12-S12,2)</f>
        <v>9145.35</v>
      </c>
      <c r="U12" s="10">
        <f>C12*'Premissas'!$B$16</f>
        <v>0</v>
      </c>
      <c r="V12" s="8">
        <f>ROUND(C12*'Premissas'!$B$15,2)</f>
        <v>0.0</v>
      </c>
      <c r="W12" s="8">
        <f>ROUND(V12*'Premissas'!$B$19+V11*(1-'Premissas'!$B$19),2)</f>
        <v>0.0</v>
      </c>
      <c r="X12" s="8">
        <f>ROUND(U12*'Premissas'!$B$17,2)</f>
        <v>0.0</v>
      </c>
      <c r="Y12" s="8">
        <f>ROUND(V12*'Premissas'!$B$10,2)</f>
        <v>0.0</v>
      </c>
      <c r="Z12" s="8">
        <f>ROUND(W12*'Premissas'!$B$18,2)</f>
        <v>0.0</v>
      </c>
      <c r="AA12" s="8">
        <f>ROUND(V12*'Premissas'!$B$18,2)</f>
        <v>0.0</v>
      </c>
      <c r="AB12" s="8">
        <f>ROUND(V12-X12-Y12-AA12,2)</f>
        <v>0.0</v>
      </c>
      <c r="AC12" s="10">
        <f>D12*'Ofertas'!$C$5</f>
        <v>12.0</v>
      </c>
      <c r="AD12" s="8">
        <f>ROUND(D12*'Ofertas'!$B$5,2)</f>
        <v>4500.0</v>
      </c>
      <c r="AE12" s="8">
        <f>AD12</f>
        <v>4500.0</v>
      </c>
      <c r="AF12" s="8">
        <f>ROUND(AC12*'Ofertas'!$D$5,2)</f>
        <v>1440.0</v>
      </c>
      <c r="AG12" s="8">
        <f>ROUND(AD12*'Premissas'!$B$10,2)</f>
        <v>675.0</v>
      </c>
      <c r="AH12" s="8">
        <f>ROUND(AD12*'Premissas'!$B$31,2)</f>
        <v>225.0</v>
      </c>
      <c r="AI12" s="8">
        <f>ROUND(D12*'Ofertas'!$H$5,2)</f>
        <v>160.0</v>
      </c>
      <c r="AJ12" s="8">
        <f>ROUND(AD12-AF12-AG12-AH12-AI12,2)</f>
        <v>2000.0</v>
      </c>
      <c r="AK12" s="10">
        <f>E12*'Ofertas'!$C$6</f>
        <v>0.0</v>
      </c>
      <c r="AL12" s="8">
        <f>ROUND(E12*'Ofertas'!$B$6,2)</f>
        <v>0.0</v>
      </c>
      <c r="AM12" s="8">
        <f>ROUND(AL12*'Premissas'!$B$32+AL11*(1-'Premissas'!$B$32),2)</f>
        <v>0.0</v>
      </c>
      <c r="AN12" s="8">
        <f>ROUND(AK12*'Ofertas'!$D$6,2)</f>
        <v>0.0</v>
      </c>
      <c r="AO12" s="8">
        <f>ROUND(AL12*'Premissas'!$B$10,2)</f>
        <v>0.0</v>
      </c>
      <c r="AP12" s="8">
        <f>ROUND(AL12*'Premissas'!$B$31,2)</f>
        <v>0.0</v>
      </c>
      <c r="AQ12" s="8">
        <f>ROUND(E12*'Ofertas'!$H$6,2)</f>
        <v>0.0</v>
      </c>
      <c r="AR12" s="8">
        <f>ROUND(AL12-AN12-AO12-AP12-AQ12,2)</f>
        <v>0.0</v>
      </c>
      <c r="AS12" s="10">
        <f>F12*'Ofertas'!$C$7</f>
        <v>8.0</v>
      </c>
      <c r="AT12" s="8">
        <f>ROUND(F12*'Ofertas'!$B$7,2)</f>
        <v>3500.0</v>
      </c>
      <c r="AU12" s="8">
        <f>AT12</f>
        <v>3500.0</v>
      </c>
      <c r="AV12" s="8">
        <f>ROUND(AS12*'Ofertas'!$D$7,2)</f>
        <v>960.0</v>
      </c>
      <c r="AW12" s="8">
        <f>ROUND(AT12*'Premissas'!$B$10,2)</f>
        <v>525.0</v>
      </c>
      <c r="AX12" s="8">
        <f>ROUND(AT12*'Premissas'!$B$31,2)</f>
        <v>175.0</v>
      </c>
      <c r="AY12" s="8">
        <f>ROUND(F12*'Ofertas'!$H$7,2)</f>
        <v>210.0</v>
      </c>
      <c r="AZ12" s="8">
        <f>ROUND(AT12-AV12-AW12-AX12-AY12,2)</f>
        <v>1630.0</v>
      </c>
      <c r="BA12" s="10">
        <f>G12*'Ofertas'!$C$8</f>
        <v>0.0</v>
      </c>
      <c r="BB12" s="8">
        <f>ROUND(G12*'Ofertas'!$B$8,2)</f>
        <v>0.0</v>
      </c>
      <c r="BC12" s="8">
        <f>BB12</f>
        <v>0.0</v>
      </c>
      <c r="BD12" s="8">
        <f>ROUND(BA12*'Ofertas'!$D$8,2)</f>
        <v>0.0</v>
      </c>
      <c r="BE12" s="8">
        <f>ROUND(BB12*'Premissas'!$B$10,2)</f>
        <v>0.0</v>
      </c>
      <c r="BF12" s="8">
        <f>ROUND(BB12*'Premissas'!$B$31,2)</f>
        <v>0.0</v>
      </c>
      <c r="BG12" s="8">
        <f>ROUND(G12*'Ofertas'!$H$8,2)</f>
        <v>0.0</v>
      </c>
      <c r="BH12" s="8">
        <f>ROUND(BB12-BD12-BE12-BF12-BG12,2)</f>
        <v>0.0</v>
      </c>
      <c r="BI12" s="10">
        <f>U12+AC12+AK12+AS12+BA12</f>
        <v>20.0</v>
      </c>
      <c r="BJ12" s="11">
        <f>BI12/'Premissas'!$B$30</f>
        <v>0.125</v>
      </c>
      <c r="BK12" s="8">
        <f>IF(A12&lt;=12,'Premissas'!$B$24,'Premissas'!$B$25)</f>
        <v>37000</v>
      </c>
      <c r="BL12" s="8">
        <f>ROUND(J12+V12+AD12+AL12+AT12+BB12,2)</f>
        <v>44250.0</v>
      </c>
      <c r="BM12" s="8">
        <f>ROUND(L12+V12+AD12+AL12+AT12+BB12,2)</f>
        <v>41350.0</v>
      </c>
      <c r="BN12" s="8">
        <f>ROUND(T12+AB12+AJ12+AR12+AZ12+BH12,2)</f>
        <v>12775.35</v>
      </c>
      <c r="BO12" s="8">
        <f>ROUND(O12+W12+AE12+AM12+AU12+BC12,2)</f>
        <v>28806.81</v>
      </c>
      <c r="BP12" s="8">
        <f>ROUND(P12+Q12+R12+S12+X12+Y12+Z12+BK12+AF12+AG12+AH12+AI12+AN12+AO12+AP12+AQ12+AV12+AW12+AX12+AY12+BD12+BE12+BF12+BG12,2)</f>
        <v>61123.0</v>
      </c>
      <c r="BQ12" s="8">
        <f>ROUND(BO12-BP12,2)</f>
        <v>-32316.19</v>
      </c>
      <c r="BR12" s="8">
        <f>ROUND(BR11+BQ12,2)</f>
        <v>-371197.18</v>
      </c>
      <c r="BS12" s="8">
        <f>ROUND(BN12-BK12,2)</f>
        <v>-24224.65</v>
      </c>
      <c r="BT12" s="8">
        <f>ROUND(BT11+N12-O12+V12-W12+AL12-AM12,2)</f>
        <v>28898.35</v>
      </c>
      <c r="BU12" s="10">
        <f>IF(BR12&gt;=0,A12,999)</f>
        <v>999</v>
      </c>
      <c r="BV12" s="8">
        <f>ROUND(BR12+200000,2)</f>
        <v>-171197.18</v>
      </c>
    </row>
    <row r="13" spans="1:74">
      <c r="A13" s="10">
        <v>9</v>
      </c>
      <c r="B13" s="7">
        <v>300</v>
      </c>
      <c r="C13" s="7">
        <v>1</v>
      </c>
      <c r="D13" s="7">
        <v>2</v>
      </c>
      <c r="E13" s="7">
        <v>1</v>
      </c>
      <c r="F13" s="7">
        <v>1</v>
      </c>
      <c r="G13" s="10">
        <f>MAX(0,F13-F12)</f>
        <v>0</v>
      </c>
      <c r="H13" s="10">
        <f>ROUNDUP(B13/'Premissas'!$B$14,0)</f>
        <v>15000</v>
      </c>
      <c r="I13" s="8">
        <f>ROUND(B13*'Premissas'!$B$5,2)</f>
        <v>8700.0</v>
      </c>
      <c r="J13" s="8">
        <f>ROUND(I13*'Premissas'!$B$6,2)</f>
        <v>43500.0</v>
      </c>
      <c r="K13" s="8">
        <f>ROUND(J13*'Premissas'!$B$7,2)</f>
        <v>3480.0</v>
      </c>
      <c r="L13" s="8">
        <f>ROUND(J13-K13,2)</f>
        <v>40020.0</v>
      </c>
      <c r="M13" s="8">
        <f>ROUND(L13*'Premissas'!$B$8+B13*(1-'Premissas'!$B$7)*'Premissas'!$B$9*'Premissas'!$B$6,2)</f>
        <v>5341.98</v>
      </c>
      <c r="N13" s="8">
        <f>ROUND(L13-M13,2)</f>
        <v>34678.02</v>
      </c>
      <c r="O13" s="8">
        <f>IF(A13&gt;'Premissas'!$B$20,INDEX($N$5:$N$28,MAX(1,A13-'Premissas'!$B$20)),0)</f>
        <v>28898.35</v>
      </c>
      <c r="P13" s="8">
        <f>ROUND(L13*'Premissas'!$B$10,2)</f>
        <v>6003.0</v>
      </c>
      <c r="Q13" s="8">
        <f>ROUND(L13*'Premissas'!$B$11,2)</f>
        <v>1200.6</v>
      </c>
      <c r="R13" s="8">
        <f>ROUND(B13*'Premissas'!$B$12*'Premissas'!$B$6,2)</f>
        <v>15000.0</v>
      </c>
      <c r="S13" s="8">
        <f>ROUND(B13*'Premissas'!$B$13*'Premissas'!$B$6,2)</f>
        <v>1500.0</v>
      </c>
      <c r="T13" s="8">
        <f>ROUND(L13-M13-P13-Q13-R13-S13,2)</f>
        <v>10974.42</v>
      </c>
      <c r="U13" s="10">
        <f>C13*'Premissas'!$B$16</f>
        <v>80</v>
      </c>
      <c r="V13" s="8">
        <f>ROUND(C13*'Premissas'!$B$15,2)</f>
        <v>30000.0</v>
      </c>
      <c r="W13" s="8">
        <f>ROUND(V13*'Premissas'!$B$19+V12*(1-'Premissas'!$B$19),2)</f>
        <v>15000.0</v>
      </c>
      <c r="X13" s="8">
        <f>ROUND(U13*'Premissas'!$B$17,2)</f>
        <v>14400.0</v>
      </c>
      <c r="Y13" s="8">
        <f>ROUND(V13*'Premissas'!$B$10,2)</f>
        <v>4500.0</v>
      </c>
      <c r="Z13" s="8">
        <f>ROUND(W13*'Premissas'!$B$18,2)</f>
        <v>750.0</v>
      </c>
      <c r="AA13" s="8">
        <f>ROUND(V13*'Premissas'!$B$18,2)</f>
        <v>1500.0</v>
      </c>
      <c r="AB13" s="8">
        <f>ROUND(V13-X13-Y13-AA13,2)</f>
        <v>9600.0</v>
      </c>
      <c r="AC13" s="10">
        <f>D13*'Ofertas'!$C$5</f>
        <v>24.0</v>
      </c>
      <c r="AD13" s="8">
        <f>ROUND(D13*'Ofertas'!$B$5,2)</f>
        <v>9000.0</v>
      </c>
      <c r="AE13" s="8">
        <f>AD13</f>
        <v>9000.0</v>
      </c>
      <c r="AF13" s="8">
        <f>ROUND(AC13*'Ofertas'!$D$5,2)</f>
        <v>2880.0</v>
      </c>
      <c r="AG13" s="8">
        <f>ROUND(AD13*'Premissas'!$B$10,2)</f>
        <v>1350.0</v>
      </c>
      <c r="AH13" s="8">
        <f>ROUND(AD13*'Premissas'!$B$31,2)</f>
        <v>450.0</v>
      </c>
      <c r="AI13" s="8">
        <f>ROUND(D13*'Ofertas'!$H$5,2)</f>
        <v>320.0</v>
      </c>
      <c r="AJ13" s="8">
        <f>ROUND(AD13-AF13-AG13-AH13-AI13,2)</f>
        <v>4000.0</v>
      </c>
      <c r="AK13" s="10">
        <f>E13*'Ofertas'!$C$6</f>
        <v>40.0</v>
      </c>
      <c r="AL13" s="8">
        <f>ROUND(E13*'Ofertas'!$B$6,2)</f>
        <v>18000.0</v>
      </c>
      <c r="AM13" s="8">
        <f>ROUND(AL13*'Premissas'!$B$32+AL12*(1-'Premissas'!$B$32),2)</f>
        <v>9000.0</v>
      </c>
      <c r="AN13" s="8">
        <f>ROUND(AK13*'Ofertas'!$D$6,2)</f>
        <v>7200.0</v>
      </c>
      <c r="AO13" s="8">
        <f>ROUND(AL13*'Premissas'!$B$10,2)</f>
        <v>2700.0</v>
      </c>
      <c r="AP13" s="8">
        <f>ROUND(AL13*'Premissas'!$B$31,2)</f>
        <v>900.0</v>
      </c>
      <c r="AQ13" s="8">
        <f>ROUND(E13*'Ofertas'!$H$6,2)</f>
        <v>600.0</v>
      </c>
      <c r="AR13" s="8">
        <f>ROUND(AL13-AN13-AO13-AP13-AQ13,2)</f>
        <v>6600.0</v>
      </c>
      <c r="AS13" s="10">
        <f>F13*'Ofertas'!$C$7</f>
        <v>8.0</v>
      </c>
      <c r="AT13" s="8">
        <f>ROUND(F13*'Ofertas'!$B$7,2)</f>
        <v>3500.0</v>
      </c>
      <c r="AU13" s="8">
        <f>AT13</f>
        <v>3500.0</v>
      </c>
      <c r="AV13" s="8">
        <f>ROUND(AS13*'Ofertas'!$D$7,2)</f>
        <v>960.0</v>
      </c>
      <c r="AW13" s="8">
        <f>ROUND(AT13*'Premissas'!$B$10,2)</f>
        <v>525.0</v>
      </c>
      <c r="AX13" s="8">
        <f>ROUND(AT13*'Premissas'!$B$31,2)</f>
        <v>175.0</v>
      </c>
      <c r="AY13" s="8">
        <f>ROUND(F13*'Ofertas'!$H$7,2)</f>
        <v>210.0</v>
      </c>
      <c r="AZ13" s="8">
        <f>ROUND(AT13-AV13-AW13-AX13-AY13,2)</f>
        <v>1630.0</v>
      </c>
      <c r="BA13" s="10">
        <f>G13*'Ofertas'!$C$8</f>
        <v>0.0</v>
      </c>
      <c r="BB13" s="8">
        <f>ROUND(G13*'Ofertas'!$B$8,2)</f>
        <v>0.0</v>
      </c>
      <c r="BC13" s="8">
        <f>BB13</f>
        <v>0.0</v>
      </c>
      <c r="BD13" s="8">
        <f>ROUND(BA13*'Ofertas'!$D$8,2)</f>
        <v>0.0</v>
      </c>
      <c r="BE13" s="8">
        <f>ROUND(BB13*'Premissas'!$B$10,2)</f>
        <v>0.0</v>
      </c>
      <c r="BF13" s="8">
        <f>ROUND(BB13*'Premissas'!$B$31,2)</f>
        <v>0.0</v>
      </c>
      <c r="BG13" s="8">
        <f>ROUND(G13*'Ofertas'!$H$8,2)</f>
        <v>0.0</v>
      </c>
      <c r="BH13" s="8">
        <f>ROUND(BB13-BD13-BE13-BF13-BG13,2)</f>
        <v>0.0</v>
      </c>
      <c r="BI13" s="10">
        <f>U13+AC13+AK13+AS13+BA13</f>
        <v>152.0</v>
      </c>
      <c r="BJ13" s="11">
        <f>BI13/'Premissas'!$B$30</f>
        <v>0.95</v>
      </c>
      <c r="BK13" s="8">
        <f>IF(A13&lt;=12,'Premissas'!$B$24,'Premissas'!$B$25)</f>
        <v>37000</v>
      </c>
      <c r="BL13" s="8">
        <f>ROUND(J13+V13+AD13+AL13+AT13+BB13,2)</f>
        <v>104000.0</v>
      </c>
      <c r="BM13" s="8">
        <f>ROUND(L13+V13+AD13+AL13+AT13+BB13,2)</f>
        <v>100520.0</v>
      </c>
      <c r="BN13" s="8">
        <f>ROUND(T13+AB13+AJ13+AR13+AZ13+BH13,2)</f>
        <v>32804.42</v>
      </c>
      <c r="BO13" s="8">
        <f>ROUND(O13+W13+AE13+AM13+AU13+BC13,2)</f>
        <v>65398.35</v>
      </c>
      <c r="BP13" s="8">
        <f>ROUND(P13+Q13+R13+S13+X13+Y13+Z13+BK13+AF13+AG13+AH13+AI13+AN13+AO13+AP13+AQ13+AV13+AW13+AX13+AY13+BD13+BE13+BF13+BG13,2)</f>
        <v>98623.6</v>
      </c>
      <c r="BQ13" s="8">
        <f>ROUND(BO13-BP13,2)</f>
        <v>-33225.25</v>
      </c>
      <c r="BR13" s="8">
        <f>ROUND(BR12+BQ13,2)</f>
        <v>-404422.43</v>
      </c>
      <c r="BS13" s="8">
        <f>ROUND(BN13-BK13,2)</f>
        <v>-4195.58</v>
      </c>
      <c r="BT13" s="8">
        <f>ROUND(BT12+N13-O13+V13-W13+AL13-AM13,2)</f>
        <v>58678.02</v>
      </c>
      <c r="BU13" s="10">
        <f>IF(BR13&gt;=0,A13,999)</f>
        <v>999</v>
      </c>
      <c r="BV13" s="8">
        <f>ROUND(BR13+200000,2)</f>
        <v>-204422.43</v>
      </c>
    </row>
    <row r="14" spans="1:74">
      <c r="A14" s="10">
        <v>10</v>
      </c>
      <c r="B14" s="7">
        <v>350</v>
      </c>
      <c r="C14" s="7">
        <v>0</v>
      </c>
      <c r="D14" s="7">
        <v>2</v>
      </c>
      <c r="E14" s="7">
        <v>0</v>
      </c>
      <c r="F14" s="7">
        <v>1</v>
      </c>
      <c r="G14" s="10">
        <f>MAX(0,F14-F13)</f>
        <v>0</v>
      </c>
      <c r="H14" s="10">
        <f>ROUNDUP(B14/'Premissas'!$B$14,0)</f>
        <v>17500</v>
      </c>
      <c r="I14" s="8">
        <f>ROUND(B14*'Premissas'!$B$5,2)</f>
        <v>10150.0</v>
      </c>
      <c r="J14" s="8">
        <f>ROUND(I14*'Premissas'!$B$6,2)</f>
        <v>50750.0</v>
      </c>
      <c r="K14" s="8">
        <f>ROUND(J14*'Premissas'!$B$7,2)</f>
        <v>4060.0</v>
      </c>
      <c r="L14" s="8">
        <f>ROUND(J14-K14,2)</f>
        <v>46690.0</v>
      </c>
      <c r="M14" s="8">
        <f>ROUND(L14*'Premissas'!$B$8+B14*(1-'Premissas'!$B$7)*'Premissas'!$B$9*'Premissas'!$B$6,2)</f>
        <v>6232.31</v>
      </c>
      <c r="N14" s="8">
        <f>ROUND(L14-M14,2)</f>
        <v>40457.69</v>
      </c>
      <c r="O14" s="8">
        <f>IF(A14&gt;'Premissas'!$B$20,INDEX($N$5:$N$28,MAX(1,A14-'Premissas'!$B$20)),0)</f>
        <v>34678.02</v>
      </c>
      <c r="P14" s="8">
        <f>ROUND(L14*'Premissas'!$B$10,2)</f>
        <v>7003.5</v>
      </c>
      <c r="Q14" s="8">
        <f>ROUND(L14*'Premissas'!$B$11,2)</f>
        <v>1400.7</v>
      </c>
      <c r="R14" s="8">
        <f>ROUND(B14*'Premissas'!$B$12*'Premissas'!$B$6,2)</f>
        <v>17500.0</v>
      </c>
      <c r="S14" s="8">
        <f>ROUND(B14*'Premissas'!$B$13*'Premissas'!$B$6,2)</f>
        <v>1750.0</v>
      </c>
      <c r="T14" s="8">
        <f>ROUND(L14-M14-P14-Q14-R14-S14,2)</f>
        <v>12803.49</v>
      </c>
      <c r="U14" s="10">
        <f>C14*'Premissas'!$B$16</f>
        <v>0</v>
      </c>
      <c r="V14" s="8">
        <f>ROUND(C14*'Premissas'!$B$15,2)</f>
        <v>0.0</v>
      </c>
      <c r="W14" s="8">
        <f>ROUND(V14*'Premissas'!$B$19+V13*(1-'Premissas'!$B$19),2)</f>
        <v>15000.0</v>
      </c>
      <c r="X14" s="8">
        <f>ROUND(U14*'Premissas'!$B$17,2)</f>
        <v>0.0</v>
      </c>
      <c r="Y14" s="8">
        <f>ROUND(V14*'Premissas'!$B$10,2)</f>
        <v>0.0</v>
      </c>
      <c r="Z14" s="8">
        <f>ROUND(W14*'Premissas'!$B$18,2)</f>
        <v>750.0</v>
      </c>
      <c r="AA14" s="8">
        <f>ROUND(V14*'Premissas'!$B$18,2)</f>
        <v>0.0</v>
      </c>
      <c r="AB14" s="8">
        <f>ROUND(V14-X14-Y14-AA14,2)</f>
        <v>0.0</v>
      </c>
      <c r="AC14" s="10">
        <f>D14*'Ofertas'!$C$5</f>
        <v>24.0</v>
      </c>
      <c r="AD14" s="8">
        <f>ROUND(D14*'Ofertas'!$B$5,2)</f>
        <v>9000.0</v>
      </c>
      <c r="AE14" s="8">
        <f>AD14</f>
        <v>9000.0</v>
      </c>
      <c r="AF14" s="8">
        <f>ROUND(AC14*'Ofertas'!$D$5,2)</f>
        <v>2880.0</v>
      </c>
      <c r="AG14" s="8">
        <f>ROUND(AD14*'Premissas'!$B$10,2)</f>
        <v>1350.0</v>
      </c>
      <c r="AH14" s="8">
        <f>ROUND(AD14*'Premissas'!$B$31,2)</f>
        <v>450.0</v>
      </c>
      <c r="AI14" s="8">
        <f>ROUND(D14*'Ofertas'!$H$5,2)</f>
        <v>320.0</v>
      </c>
      <c r="AJ14" s="8">
        <f>ROUND(AD14-AF14-AG14-AH14-AI14,2)</f>
        <v>4000.0</v>
      </c>
      <c r="AK14" s="10">
        <f>E14*'Ofertas'!$C$6</f>
        <v>0.0</v>
      </c>
      <c r="AL14" s="8">
        <f>ROUND(E14*'Ofertas'!$B$6,2)</f>
        <v>0.0</v>
      </c>
      <c r="AM14" s="8">
        <f>ROUND(AL14*'Premissas'!$B$32+AL13*(1-'Premissas'!$B$32),2)</f>
        <v>9000.0</v>
      </c>
      <c r="AN14" s="8">
        <f>ROUND(AK14*'Ofertas'!$D$6,2)</f>
        <v>0.0</v>
      </c>
      <c r="AO14" s="8">
        <f>ROUND(AL14*'Premissas'!$B$10,2)</f>
        <v>0.0</v>
      </c>
      <c r="AP14" s="8">
        <f>ROUND(AL14*'Premissas'!$B$31,2)</f>
        <v>0.0</v>
      </c>
      <c r="AQ14" s="8">
        <f>ROUND(E14*'Ofertas'!$H$6,2)</f>
        <v>0.0</v>
      </c>
      <c r="AR14" s="8">
        <f>ROUND(AL14-AN14-AO14-AP14-AQ14,2)</f>
        <v>0.0</v>
      </c>
      <c r="AS14" s="10">
        <f>F14*'Ofertas'!$C$7</f>
        <v>8.0</v>
      </c>
      <c r="AT14" s="8">
        <f>ROUND(F14*'Ofertas'!$B$7,2)</f>
        <v>3500.0</v>
      </c>
      <c r="AU14" s="8">
        <f>AT14</f>
        <v>3500.0</v>
      </c>
      <c r="AV14" s="8">
        <f>ROUND(AS14*'Ofertas'!$D$7,2)</f>
        <v>960.0</v>
      </c>
      <c r="AW14" s="8">
        <f>ROUND(AT14*'Premissas'!$B$10,2)</f>
        <v>525.0</v>
      </c>
      <c r="AX14" s="8">
        <f>ROUND(AT14*'Premissas'!$B$31,2)</f>
        <v>175.0</v>
      </c>
      <c r="AY14" s="8">
        <f>ROUND(F14*'Ofertas'!$H$7,2)</f>
        <v>210.0</v>
      </c>
      <c r="AZ14" s="8">
        <f>ROUND(AT14-AV14-AW14-AX14-AY14,2)</f>
        <v>1630.0</v>
      </c>
      <c r="BA14" s="10">
        <f>G14*'Ofertas'!$C$8</f>
        <v>0.0</v>
      </c>
      <c r="BB14" s="8">
        <f>ROUND(G14*'Ofertas'!$B$8,2)</f>
        <v>0.0</v>
      </c>
      <c r="BC14" s="8">
        <f>BB14</f>
        <v>0.0</v>
      </c>
      <c r="BD14" s="8">
        <f>ROUND(BA14*'Ofertas'!$D$8,2)</f>
        <v>0.0</v>
      </c>
      <c r="BE14" s="8">
        <f>ROUND(BB14*'Premissas'!$B$10,2)</f>
        <v>0.0</v>
      </c>
      <c r="BF14" s="8">
        <f>ROUND(BB14*'Premissas'!$B$31,2)</f>
        <v>0.0</v>
      </c>
      <c r="BG14" s="8">
        <f>ROUND(G14*'Ofertas'!$H$8,2)</f>
        <v>0.0</v>
      </c>
      <c r="BH14" s="8">
        <f>ROUND(BB14-BD14-BE14-BF14-BG14,2)</f>
        <v>0.0</v>
      </c>
      <c r="BI14" s="10">
        <f>U14+AC14+AK14+AS14+BA14</f>
        <v>32.0</v>
      </c>
      <c r="BJ14" s="11">
        <f>BI14/'Premissas'!$B$30</f>
        <v>0.2</v>
      </c>
      <c r="BK14" s="8">
        <f>IF(A14&lt;=12,'Premissas'!$B$24,'Premissas'!$B$25)</f>
        <v>37000</v>
      </c>
      <c r="BL14" s="8">
        <f>ROUND(J14+V14+AD14+AL14+AT14+BB14,2)</f>
        <v>63250.0</v>
      </c>
      <c r="BM14" s="8">
        <f>ROUND(L14+V14+AD14+AL14+AT14+BB14,2)</f>
        <v>59190.0</v>
      </c>
      <c r="BN14" s="8">
        <f>ROUND(T14+AB14+AJ14+AR14+AZ14+BH14,2)</f>
        <v>18433.49</v>
      </c>
      <c r="BO14" s="8">
        <f>ROUND(O14+W14+AE14+AM14+AU14+BC14,2)</f>
        <v>71178.02</v>
      </c>
      <c r="BP14" s="8">
        <f>ROUND(P14+Q14+R14+S14+X14+Y14+Z14+BK14+AF14+AG14+AH14+AI14+AN14+AO14+AP14+AQ14+AV14+AW14+AX14+AY14+BD14+BE14+BF14+BG14,2)</f>
        <v>72274.2</v>
      </c>
      <c r="BQ14" s="8">
        <f>ROUND(BO14-BP14,2)</f>
        <v>-1096.18</v>
      </c>
      <c r="BR14" s="8">
        <f>ROUND(BR13+BQ14,2)</f>
        <v>-405518.61</v>
      </c>
      <c r="BS14" s="8">
        <f>ROUND(BN14-BK14,2)</f>
        <v>-18566.51</v>
      </c>
      <c r="BT14" s="8">
        <f>ROUND(BT13+N14-O14+V14-W14+AL14-AM14,2)</f>
        <v>40457.69</v>
      </c>
      <c r="BU14" s="10">
        <f>IF(BR14&gt;=0,A14,999)</f>
        <v>999</v>
      </c>
      <c r="BV14" s="8">
        <f>ROUND(BR14+200000,2)</f>
        <v>-205518.61</v>
      </c>
    </row>
    <row r="15" spans="1:74">
      <c r="A15" s="10">
        <v>11</v>
      </c>
      <c r="B15" s="7">
        <v>400</v>
      </c>
      <c r="C15" s="7">
        <v>0</v>
      </c>
      <c r="D15" s="7">
        <v>2</v>
      </c>
      <c r="E15" s="7">
        <v>0</v>
      </c>
      <c r="F15" s="7">
        <v>1</v>
      </c>
      <c r="G15" s="10">
        <f>MAX(0,F15-F14)</f>
        <v>0</v>
      </c>
      <c r="H15" s="10">
        <f>ROUNDUP(B15/'Premissas'!$B$14,0)</f>
        <v>20000</v>
      </c>
      <c r="I15" s="8">
        <f>ROUND(B15*'Premissas'!$B$5,2)</f>
        <v>11600.0</v>
      </c>
      <c r="J15" s="8">
        <f>ROUND(I15*'Premissas'!$B$6,2)</f>
        <v>58000.0</v>
      </c>
      <c r="K15" s="8">
        <f>ROUND(J15*'Premissas'!$B$7,2)</f>
        <v>4640.0</v>
      </c>
      <c r="L15" s="8">
        <f>ROUND(J15-K15,2)</f>
        <v>53360.0</v>
      </c>
      <c r="M15" s="8">
        <f>ROUND(L15*'Premissas'!$B$8+B15*(1-'Premissas'!$B$7)*'Premissas'!$B$9*'Premissas'!$B$6,2)</f>
        <v>7122.64</v>
      </c>
      <c r="N15" s="8">
        <f>ROUND(L15-M15,2)</f>
        <v>46237.36</v>
      </c>
      <c r="O15" s="8">
        <f>IF(A15&gt;'Premissas'!$B$20,INDEX($N$5:$N$28,MAX(1,A15-'Premissas'!$B$20)),0)</f>
        <v>40457.69</v>
      </c>
      <c r="P15" s="8">
        <f>ROUND(L15*'Premissas'!$B$10,2)</f>
        <v>8004.0</v>
      </c>
      <c r="Q15" s="8">
        <f>ROUND(L15*'Premissas'!$B$11,2)</f>
        <v>1600.8</v>
      </c>
      <c r="R15" s="8">
        <f>ROUND(B15*'Premissas'!$B$12*'Premissas'!$B$6,2)</f>
        <v>20000.0</v>
      </c>
      <c r="S15" s="8">
        <f>ROUND(B15*'Premissas'!$B$13*'Premissas'!$B$6,2)</f>
        <v>2000.0</v>
      </c>
      <c r="T15" s="8">
        <f>ROUND(L15-M15-P15-Q15-R15-S15,2)</f>
        <v>14632.56</v>
      </c>
      <c r="U15" s="10">
        <f>C15*'Premissas'!$B$16</f>
        <v>0</v>
      </c>
      <c r="V15" s="8">
        <f>ROUND(C15*'Premissas'!$B$15,2)</f>
        <v>0.0</v>
      </c>
      <c r="W15" s="8">
        <f>ROUND(V15*'Premissas'!$B$19+V14*(1-'Premissas'!$B$19),2)</f>
        <v>0.0</v>
      </c>
      <c r="X15" s="8">
        <f>ROUND(U15*'Premissas'!$B$17,2)</f>
        <v>0.0</v>
      </c>
      <c r="Y15" s="8">
        <f>ROUND(V15*'Premissas'!$B$10,2)</f>
        <v>0.0</v>
      </c>
      <c r="Z15" s="8">
        <f>ROUND(W15*'Premissas'!$B$18,2)</f>
        <v>0.0</v>
      </c>
      <c r="AA15" s="8">
        <f>ROUND(V15*'Premissas'!$B$18,2)</f>
        <v>0.0</v>
      </c>
      <c r="AB15" s="8">
        <f>ROUND(V15-X15-Y15-AA15,2)</f>
        <v>0.0</v>
      </c>
      <c r="AC15" s="10">
        <f>D15*'Ofertas'!$C$5</f>
        <v>24.0</v>
      </c>
      <c r="AD15" s="8">
        <f>ROUND(D15*'Ofertas'!$B$5,2)</f>
        <v>9000.0</v>
      </c>
      <c r="AE15" s="8">
        <f>AD15</f>
        <v>9000.0</v>
      </c>
      <c r="AF15" s="8">
        <f>ROUND(AC15*'Ofertas'!$D$5,2)</f>
        <v>2880.0</v>
      </c>
      <c r="AG15" s="8">
        <f>ROUND(AD15*'Premissas'!$B$10,2)</f>
        <v>1350.0</v>
      </c>
      <c r="AH15" s="8">
        <f>ROUND(AD15*'Premissas'!$B$31,2)</f>
        <v>450.0</v>
      </c>
      <c r="AI15" s="8">
        <f>ROUND(D15*'Ofertas'!$H$5,2)</f>
        <v>320.0</v>
      </c>
      <c r="AJ15" s="8">
        <f>ROUND(AD15-AF15-AG15-AH15-AI15,2)</f>
        <v>4000.0</v>
      </c>
      <c r="AK15" s="10">
        <f>E15*'Ofertas'!$C$6</f>
        <v>0.0</v>
      </c>
      <c r="AL15" s="8">
        <f>ROUND(E15*'Ofertas'!$B$6,2)</f>
        <v>0.0</v>
      </c>
      <c r="AM15" s="8">
        <f>ROUND(AL15*'Premissas'!$B$32+AL14*(1-'Premissas'!$B$32),2)</f>
        <v>0.0</v>
      </c>
      <c r="AN15" s="8">
        <f>ROUND(AK15*'Ofertas'!$D$6,2)</f>
        <v>0.0</v>
      </c>
      <c r="AO15" s="8">
        <f>ROUND(AL15*'Premissas'!$B$10,2)</f>
        <v>0.0</v>
      </c>
      <c r="AP15" s="8">
        <f>ROUND(AL15*'Premissas'!$B$31,2)</f>
        <v>0.0</v>
      </c>
      <c r="AQ15" s="8">
        <f>ROUND(E15*'Ofertas'!$H$6,2)</f>
        <v>0.0</v>
      </c>
      <c r="AR15" s="8">
        <f>ROUND(AL15-AN15-AO15-AP15-AQ15,2)</f>
        <v>0.0</v>
      </c>
      <c r="AS15" s="10">
        <f>F15*'Ofertas'!$C$7</f>
        <v>8.0</v>
      </c>
      <c r="AT15" s="8">
        <f>ROUND(F15*'Ofertas'!$B$7,2)</f>
        <v>3500.0</v>
      </c>
      <c r="AU15" s="8">
        <f>AT15</f>
        <v>3500.0</v>
      </c>
      <c r="AV15" s="8">
        <f>ROUND(AS15*'Ofertas'!$D$7,2)</f>
        <v>960.0</v>
      </c>
      <c r="AW15" s="8">
        <f>ROUND(AT15*'Premissas'!$B$10,2)</f>
        <v>525.0</v>
      </c>
      <c r="AX15" s="8">
        <f>ROUND(AT15*'Premissas'!$B$31,2)</f>
        <v>175.0</v>
      </c>
      <c r="AY15" s="8">
        <f>ROUND(F15*'Ofertas'!$H$7,2)</f>
        <v>210.0</v>
      </c>
      <c r="AZ15" s="8">
        <f>ROUND(AT15-AV15-AW15-AX15-AY15,2)</f>
        <v>1630.0</v>
      </c>
      <c r="BA15" s="10">
        <f>G15*'Ofertas'!$C$8</f>
        <v>0.0</v>
      </c>
      <c r="BB15" s="8">
        <f>ROUND(G15*'Ofertas'!$B$8,2)</f>
        <v>0.0</v>
      </c>
      <c r="BC15" s="8">
        <f>BB15</f>
        <v>0.0</v>
      </c>
      <c r="BD15" s="8">
        <f>ROUND(BA15*'Ofertas'!$D$8,2)</f>
        <v>0.0</v>
      </c>
      <c r="BE15" s="8">
        <f>ROUND(BB15*'Premissas'!$B$10,2)</f>
        <v>0.0</v>
      </c>
      <c r="BF15" s="8">
        <f>ROUND(BB15*'Premissas'!$B$31,2)</f>
        <v>0.0</v>
      </c>
      <c r="BG15" s="8">
        <f>ROUND(G15*'Ofertas'!$H$8,2)</f>
        <v>0.0</v>
      </c>
      <c r="BH15" s="8">
        <f>ROUND(BB15-BD15-BE15-BF15-BG15,2)</f>
        <v>0.0</v>
      </c>
      <c r="BI15" s="10">
        <f>U15+AC15+AK15+AS15+BA15</f>
        <v>32.0</v>
      </c>
      <c r="BJ15" s="11">
        <f>BI15/'Premissas'!$B$30</f>
        <v>0.2</v>
      </c>
      <c r="BK15" s="8">
        <f>IF(A15&lt;=12,'Premissas'!$B$24,'Premissas'!$B$25)</f>
        <v>37000</v>
      </c>
      <c r="BL15" s="8">
        <f>ROUND(J15+V15+AD15+AL15+AT15+BB15,2)</f>
        <v>70500.0</v>
      </c>
      <c r="BM15" s="8">
        <f>ROUND(L15+V15+AD15+AL15+AT15+BB15,2)</f>
        <v>65860.0</v>
      </c>
      <c r="BN15" s="8">
        <f>ROUND(T15+AB15+AJ15+AR15+AZ15+BH15,2)</f>
        <v>20262.56</v>
      </c>
      <c r="BO15" s="8">
        <f>ROUND(O15+W15+AE15+AM15+AU15+BC15,2)</f>
        <v>52957.69</v>
      </c>
      <c r="BP15" s="8">
        <f>ROUND(P15+Q15+R15+S15+X15+Y15+Z15+BK15+AF15+AG15+AH15+AI15+AN15+AO15+AP15+AQ15+AV15+AW15+AX15+AY15+BD15+BE15+BF15+BG15,2)</f>
        <v>75474.8</v>
      </c>
      <c r="BQ15" s="8">
        <f>ROUND(BO15-BP15,2)</f>
        <v>-22517.11</v>
      </c>
      <c r="BR15" s="8">
        <f>ROUND(BR14+BQ15,2)</f>
        <v>-428035.72</v>
      </c>
      <c r="BS15" s="8">
        <f>ROUND(BN15-BK15,2)</f>
        <v>-16737.44</v>
      </c>
      <c r="BT15" s="8">
        <f>ROUND(BT14+N15-O15+V15-W15+AL15-AM15,2)</f>
        <v>46237.36</v>
      </c>
      <c r="BU15" s="10">
        <f>IF(BR15&gt;=0,A15,999)</f>
        <v>999</v>
      </c>
      <c r="BV15" s="8">
        <f>ROUND(BR15+200000,2)</f>
        <v>-228035.72</v>
      </c>
    </row>
    <row r="16" spans="1:74">
      <c r="A16" s="10">
        <v>12</v>
      </c>
      <c r="B16" s="7">
        <v>450</v>
      </c>
      <c r="C16" s="7">
        <v>0</v>
      </c>
      <c r="D16" s="7">
        <v>2</v>
      </c>
      <c r="E16" s="7">
        <v>1</v>
      </c>
      <c r="F16" s="7">
        <v>1</v>
      </c>
      <c r="G16" s="10">
        <f>MAX(0,F16-F15)</f>
        <v>0</v>
      </c>
      <c r="H16" s="10">
        <f>ROUNDUP(B16/'Premissas'!$B$14,0)</f>
        <v>22500</v>
      </c>
      <c r="I16" s="8">
        <f>ROUND(B16*'Premissas'!$B$5,2)</f>
        <v>13050.0</v>
      </c>
      <c r="J16" s="8">
        <f>ROUND(I16*'Premissas'!$B$6,2)</f>
        <v>65250.0</v>
      </c>
      <c r="K16" s="8">
        <f>ROUND(J16*'Premissas'!$B$7,2)</f>
        <v>5220.0</v>
      </c>
      <c r="L16" s="8">
        <f>ROUND(J16-K16,2)</f>
        <v>60030.0</v>
      </c>
      <c r="M16" s="8">
        <f>ROUND(L16*'Premissas'!$B$8+B16*(1-'Premissas'!$B$7)*'Premissas'!$B$9*'Premissas'!$B$6,2)</f>
        <v>8012.97</v>
      </c>
      <c r="N16" s="8">
        <f>ROUND(L16-M16,2)</f>
        <v>52017.03</v>
      </c>
      <c r="O16" s="8">
        <f>IF(A16&gt;'Premissas'!$B$20,INDEX($N$5:$N$28,MAX(1,A16-'Premissas'!$B$20)),0)</f>
        <v>46237.36</v>
      </c>
      <c r="P16" s="8">
        <f>ROUND(L16*'Premissas'!$B$10,2)</f>
        <v>9004.5</v>
      </c>
      <c r="Q16" s="8">
        <f>ROUND(L16*'Premissas'!$B$11,2)</f>
        <v>1800.9</v>
      </c>
      <c r="R16" s="8">
        <f>ROUND(B16*'Premissas'!$B$12*'Premissas'!$B$6,2)</f>
        <v>22500.0</v>
      </c>
      <c r="S16" s="8">
        <f>ROUND(B16*'Premissas'!$B$13*'Premissas'!$B$6,2)</f>
        <v>2250.0</v>
      </c>
      <c r="T16" s="8">
        <f>ROUND(L16-M16-P16-Q16-R16-S16,2)</f>
        <v>16461.63</v>
      </c>
      <c r="U16" s="10">
        <f>C16*'Premissas'!$B$16</f>
        <v>0</v>
      </c>
      <c r="V16" s="8">
        <f>ROUND(C16*'Premissas'!$B$15,2)</f>
        <v>0.0</v>
      </c>
      <c r="W16" s="8">
        <f>ROUND(V16*'Premissas'!$B$19+V15*(1-'Premissas'!$B$19),2)</f>
        <v>0.0</v>
      </c>
      <c r="X16" s="8">
        <f>ROUND(U16*'Premissas'!$B$17,2)</f>
        <v>0.0</v>
      </c>
      <c r="Y16" s="8">
        <f>ROUND(V16*'Premissas'!$B$10,2)</f>
        <v>0.0</v>
      </c>
      <c r="Z16" s="8">
        <f>ROUND(W16*'Premissas'!$B$18,2)</f>
        <v>0.0</v>
      </c>
      <c r="AA16" s="8">
        <f>ROUND(V16*'Premissas'!$B$18,2)</f>
        <v>0.0</v>
      </c>
      <c r="AB16" s="8">
        <f>ROUND(V16-X16-Y16-AA16,2)</f>
        <v>0.0</v>
      </c>
      <c r="AC16" s="10">
        <f>D16*'Ofertas'!$C$5</f>
        <v>24.0</v>
      </c>
      <c r="AD16" s="8">
        <f>ROUND(D16*'Ofertas'!$B$5,2)</f>
        <v>9000.0</v>
      </c>
      <c r="AE16" s="8">
        <f>AD16</f>
        <v>9000.0</v>
      </c>
      <c r="AF16" s="8">
        <f>ROUND(AC16*'Ofertas'!$D$5,2)</f>
        <v>2880.0</v>
      </c>
      <c r="AG16" s="8">
        <f>ROUND(AD16*'Premissas'!$B$10,2)</f>
        <v>1350.0</v>
      </c>
      <c r="AH16" s="8">
        <f>ROUND(AD16*'Premissas'!$B$31,2)</f>
        <v>450.0</v>
      </c>
      <c r="AI16" s="8">
        <f>ROUND(D16*'Ofertas'!$H$5,2)</f>
        <v>320.0</v>
      </c>
      <c r="AJ16" s="8">
        <f>ROUND(AD16-AF16-AG16-AH16-AI16,2)</f>
        <v>4000.0</v>
      </c>
      <c r="AK16" s="10">
        <f>E16*'Ofertas'!$C$6</f>
        <v>40.0</v>
      </c>
      <c r="AL16" s="8">
        <f>ROUND(E16*'Ofertas'!$B$6,2)</f>
        <v>18000.0</v>
      </c>
      <c r="AM16" s="8">
        <f>ROUND(AL16*'Premissas'!$B$32+AL15*(1-'Premissas'!$B$32),2)</f>
        <v>9000.0</v>
      </c>
      <c r="AN16" s="8">
        <f>ROUND(AK16*'Ofertas'!$D$6,2)</f>
        <v>7200.0</v>
      </c>
      <c r="AO16" s="8">
        <f>ROUND(AL16*'Premissas'!$B$10,2)</f>
        <v>2700.0</v>
      </c>
      <c r="AP16" s="8">
        <f>ROUND(AL16*'Premissas'!$B$31,2)</f>
        <v>900.0</v>
      </c>
      <c r="AQ16" s="8">
        <f>ROUND(E16*'Ofertas'!$H$6,2)</f>
        <v>600.0</v>
      </c>
      <c r="AR16" s="8">
        <f>ROUND(AL16-AN16-AO16-AP16-AQ16,2)</f>
        <v>6600.0</v>
      </c>
      <c r="AS16" s="10">
        <f>F16*'Ofertas'!$C$7</f>
        <v>8.0</v>
      </c>
      <c r="AT16" s="8">
        <f>ROUND(F16*'Ofertas'!$B$7,2)</f>
        <v>3500.0</v>
      </c>
      <c r="AU16" s="8">
        <f>AT16</f>
        <v>3500.0</v>
      </c>
      <c r="AV16" s="8">
        <f>ROUND(AS16*'Ofertas'!$D$7,2)</f>
        <v>960.0</v>
      </c>
      <c r="AW16" s="8">
        <f>ROUND(AT16*'Premissas'!$B$10,2)</f>
        <v>525.0</v>
      </c>
      <c r="AX16" s="8">
        <f>ROUND(AT16*'Premissas'!$B$31,2)</f>
        <v>175.0</v>
      </c>
      <c r="AY16" s="8">
        <f>ROUND(F16*'Ofertas'!$H$7,2)</f>
        <v>210.0</v>
      </c>
      <c r="AZ16" s="8">
        <f>ROUND(AT16-AV16-AW16-AX16-AY16,2)</f>
        <v>1630.0</v>
      </c>
      <c r="BA16" s="10">
        <f>G16*'Ofertas'!$C$8</f>
        <v>0.0</v>
      </c>
      <c r="BB16" s="8">
        <f>ROUND(G16*'Ofertas'!$B$8,2)</f>
        <v>0.0</v>
      </c>
      <c r="BC16" s="8">
        <f>BB16</f>
        <v>0.0</v>
      </c>
      <c r="BD16" s="8">
        <f>ROUND(BA16*'Ofertas'!$D$8,2)</f>
        <v>0.0</v>
      </c>
      <c r="BE16" s="8">
        <f>ROUND(BB16*'Premissas'!$B$10,2)</f>
        <v>0.0</v>
      </c>
      <c r="BF16" s="8">
        <f>ROUND(BB16*'Premissas'!$B$31,2)</f>
        <v>0.0</v>
      </c>
      <c r="BG16" s="8">
        <f>ROUND(G16*'Ofertas'!$H$8,2)</f>
        <v>0.0</v>
      </c>
      <c r="BH16" s="8">
        <f>ROUND(BB16-BD16-BE16-BF16-BG16,2)</f>
        <v>0.0</v>
      </c>
      <c r="BI16" s="10">
        <f>U16+AC16+AK16+AS16+BA16</f>
        <v>72.0</v>
      </c>
      <c r="BJ16" s="11">
        <f>BI16/'Premissas'!$B$30</f>
        <v>0.45</v>
      </c>
      <c r="BK16" s="8">
        <f>IF(A16&lt;=12,'Premissas'!$B$24,'Premissas'!$B$25)</f>
        <v>37000</v>
      </c>
      <c r="BL16" s="8">
        <f>ROUND(J16+V16+AD16+AL16+AT16+BB16,2)</f>
        <v>95750.0</v>
      </c>
      <c r="BM16" s="8">
        <f>ROUND(L16+V16+AD16+AL16+AT16+BB16,2)</f>
        <v>90530.0</v>
      </c>
      <c r="BN16" s="8">
        <f>ROUND(T16+AB16+AJ16+AR16+AZ16+BH16,2)</f>
        <v>28691.63</v>
      </c>
      <c r="BO16" s="8">
        <f>ROUND(O16+W16+AE16+AM16+AU16+BC16,2)</f>
        <v>67737.36</v>
      </c>
      <c r="BP16" s="8">
        <f>ROUND(P16+Q16+R16+S16+X16+Y16+Z16+BK16+AF16+AG16+AH16+AI16+AN16+AO16+AP16+AQ16+AV16+AW16+AX16+AY16+BD16+BE16+BF16+BG16,2)</f>
        <v>90825.4</v>
      </c>
      <c r="BQ16" s="8">
        <f>ROUND(BO16-BP16,2)</f>
        <v>-23088.04</v>
      </c>
      <c r="BR16" s="8">
        <f>ROUND(BR15+BQ16,2)</f>
        <v>-451123.76</v>
      </c>
      <c r="BS16" s="8">
        <f>ROUND(BN16-BK16,2)</f>
        <v>-8308.37</v>
      </c>
      <c r="BT16" s="8">
        <f>ROUND(BT15+N16-O16+V16-W16+AL16-AM16,2)</f>
        <v>61017.03</v>
      </c>
      <c r="BU16" s="10">
        <f>IF(BR16&gt;=0,A16,999)</f>
        <v>999</v>
      </c>
      <c r="BV16" s="8">
        <f>ROUND(BR16+200000,2)</f>
        <v>-251123.76</v>
      </c>
    </row>
    <row r="17" spans="1:74">
      <c r="A17" s="10">
        <v>13</v>
      </c>
      <c r="B17" s="7">
        <v>500</v>
      </c>
      <c r="C17" s="7">
        <v>1</v>
      </c>
      <c r="D17" s="7">
        <v>2</v>
      </c>
      <c r="E17" s="7">
        <v>0</v>
      </c>
      <c r="F17" s="7">
        <v>2</v>
      </c>
      <c r="G17" s="10">
        <f>MAX(0,F17-F16)</f>
        <v>1</v>
      </c>
      <c r="H17" s="10">
        <f>ROUNDUP(B17/'Premissas'!$B$14,0)</f>
        <v>25000</v>
      </c>
      <c r="I17" s="8">
        <f>ROUND(B17*'Premissas'!$B$5,2)</f>
        <v>14500.0</v>
      </c>
      <c r="J17" s="8">
        <f>ROUND(I17*'Premissas'!$B$6,2)</f>
        <v>72500.0</v>
      </c>
      <c r="K17" s="8">
        <f>ROUND(J17*'Premissas'!$B$7,2)</f>
        <v>5800.0</v>
      </c>
      <c r="L17" s="8">
        <f>ROUND(J17-K17,2)</f>
        <v>66700.0</v>
      </c>
      <c r="M17" s="8">
        <f>ROUND(L17*'Premissas'!$B$8+B17*(1-'Premissas'!$B$7)*'Premissas'!$B$9*'Premissas'!$B$6,2)</f>
        <v>8903.3</v>
      </c>
      <c r="N17" s="8">
        <f>ROUND(L17-M17,2)</f>
        <v>57796.7</v>
      </c>
      <c r="O17" s="8">
        <f>IF(A17&gt;'Premissas'!$B$20,INDEX($N$5:$N$28,MAX(1,A17-'Premissas'!$B$20)),0)</f>
        <v>52017.03</v>
      </c>
      <c r="P17" s="8">
        <f>ROUND(L17*'Premissas'!$B$10,2)</f>
        <v>10005.0</v>
      </c>
      <c r="Q17" s="8">
        <f>ROUND(L17*'Premissas'!$B$11,2)</f>
        <v>2001.0</v>
      </c>
      <c r="R17" s="8">
        <f>ROUND(B17*'Premissas'!$B$12*'Premissas'!$B$6,2)</f>
        <v>25000.0</v>
      </c>
      <c r="S17" s="8">
        <f>ROUND(B17*'Premissas'!$B$13*'Premissas'!$B$6,2)</f>
        <v>2500.0</v>
      </c>
      <c r="T17" s="8">
        <f>ROUND(L17-M17-P17-Q17-R17-S17,2)</f>
        <v>18290.7</v>
      </c>
      <c r="U17" s="10">
        <f>C17*'Premissas'!$B$16</f>
        <v>80</v>
      </c>
      <c r="V17" s="8">
        <f>ROUND(C17*'Premissas'!$B$15,2)</f>
        <v>30000.0</v>
      </c>
      <c r="W17" s="8">
        <f>ROUND(V17*'Premissas'!$B$19+V16*(1-'Premissas'!$B$19),2)</f>
        <v>15000.0</v>
      </c>
      <c r="X17" s="8">
        <f>ROUND(U17*'Premissas'!$B$17,2)</f>
        <v>14400.0</v>
      </c>
      <c r="Y17" s="8">
        <f>ROUND(V17*'Premissas'!$B$10,2)</f>
        <v>4500.0</v>
      </c>
      <c r="Z17" s="8">
        <f>ROUND(W17*'Premissas'!$B$18,2)</f>
        <v>750.0</v>
      </c>
      <c r="AA17" s="8">
        <f>ROUND(V17*'Premissas'!$B$18,2)</f>
        <v>1500.0</v>
      </c>
      <c r="AB17" s="8">
        <f>ROUND(V17-X17-Y17-AA17,2)</f>
        <v>9600.0</v>
      </c>
      <c r="AC17" s="10">
        <f>D17*'Ofertas'!$C$5</f>
        <v>24.0</v>
      </c>
      <c r="AD17" s="8">
        <f>ROUND(D17*'Ofertas'!$B$5,2)</f>
        <v>9000.0</v>
      </c>
      <c r="AE17" s="8">
        <f>AD17</f>
        <v>9000.0</v>
      </c>
      <c r="AF17" s="8">
        <f>ROUND(AC17*'Ofertas'!$D$5,2)</f>
        <v>2880.0</v>
      </c>
      <c r="AG17" s="8">
        <f>ROUND(AD17*'Premissas'!$B$10,2)</f>
        <v>1350.0</v>
      </c>
      <c r="AH17" s="8">
        <f>ROUND(AD17*'Premissas'!$B$31,2)</f>
        <v>450.0</v>
      </c>
      <c r="AI17" s="8">
        <f>ROUND(D17*'Ofertas'!$H$5,2)</f>
        <v>320.0</v>
      </c>
      <c r="AJ17" s="8">
        <f>ROUND(AD17-AF17-AG17-AH17-AI17,2)</f>
        <v>4000.0</v>
      </c>
      <c r="AK17" s="10">
        <f>E17*'Ofertas'!$C$6</f>
        <v>0.0</v>
      </c>
      <c r="AL17" s="8">
        <f>ROUND(E17*'Ofertas'!$B$6,2)</f>
        <v>0.0</v>
      </c>
      <c r="AM17" s="8">
        <f>ROUND(AL17*'Premissas'!$B$32+AL16*(1-'Premissas'!$B$32),2)</f>
        <v>9000.0</v>
      </c>
      <c r="AN17" s="8">
        <f>ROUND(AK17*'Ofertas'!$D$6,2)</f>
        <v>0.0</v>
      </c>
      <c r="AO17" s="8">
        <f>ROUND(AL17*'Premissas'!$B$10,2)</f>
        <v>0.0</v>
      </c>
      <c r="AP17" s="8">
        <f>ROUND(AL17*'Premissas'!$B$31,2)</f>
        <v>0.0</v>
      </c>
      <c r="AQ17" s="8">
        <f>ROUND(E17*'Ofertas'!$H$6,2)</f>
        <v>0.0</v>
      </c>
      <c r="AR17" s="8">
        <f>ROUND(AL17-AN17-AO17-AP17-AQ17,2)</f>
        <v>0.0</v>
      </c>
      <c r="AS17" s="10">
        <f>F17*'Ofertas'!$C$7</f>
        <v>16.0</v>
      </c>
      <c r="AT17" s="8">
        <f>ROUND(F17*'Ofertas'!$B$7,2)</f>
        <v>7000.0</v>
      </c>
      <c r="AU17" s="8">
        <f>AT17</f>
        <v>7000.0</v>
      </c>
      <c r="AV17" s="8">
        <f>ROUND(AS17*'Ofertas'!$D$7,2)</f>
        <v>1920.0</v>
      </c>
      <c r="AW17" s="8">
        <f>ROUND(AT17*'Premissas'!$B$10,2)</f>
        <v>1050.0</v>
      </c>
      <c r="AX17" s="8">
        <f>ROUND(AT17*'Premissas'!$B$31,2)</f>
        <v>350.0</v>
      </c>
      <c r="AY17" s="8">
        <f>ROUND(F17*'Ofertas'!$H$7,2)</f>
        <v>420.0</v>
      </c>
      <c r="AZ17" s="8">
        <f>ROUND(AT17-AV17-AW17-AX17-AY17,2)</f>
        <v>3260.0</v>
      </c>
      <c r="BA17" s="10">
        <f>G17*'Ofertas'!$C$8</f>
        <v>20.0</v>
      </c>
      <c r="BB17" s="8">
        <f>ROUND(G17*'Ofertas'!$B$8,2)</f>
        <v>6000.0</v>
      </c>
      <c r="BC17" s="8">
        <f>BB17</f>
        <v>6000.0</v>
      </c>
      <c r="BD17" s="8">
        <f>ROUND(BA17*'Ofertas'!$D$8,2)</f>
        <v>3600.0</v>
      </c>
      <c r="BE17" s="8">
        <f>ROUND(BB17*'Premissas'!$B$10,2)</f>
        <v>900.0</v>
      </c>
      <c r="BF17" s="8">
        <f>ROUND(BB17*'Premissas'!$B$31,2)</f>
        <v>300.0</v>
      </c>
      <c r="BG17" s="8">
        <f>ROUND(G17*'Ofertas'!$H$8,2)</f>
        <v>200.0</v>
      </c>
      <c r="BH17" s="8">
        <f>ROUND(BB17-BD17-BE17-BF17-BG17,2)</f>
        <v>1000.0</v>
      </c>
      <c r="BI17" s="10">
        <f>U17+AC17+AK17+AS17+BA17</f>
        <v>140.0</v>
      </c>
      <c r="BJ17" s="11">
        <f>BI17/'Premissas'!$B$30</f>
        <v>0.875</v>
      </c>
      <c r="BK17" s="8">
        <f>IF(A17&lt;=12,'Premissas'!$B$24,'Premissas'!$B$25)</f>
        <v>42000</v>
      </c>
      <c r="BL17" s="8">
        <f>ROUND(J17+V17+AD17+AL17+AT17+BB17,2)</f>
        <v>124500.0</v>
      </c>
      <c r="BM17" s="8">
        <f>ROUND(L17+V17+AD17+AL17+AT17+BB17,2)</f>
        <v>118700.0</v>
      </c>
      <c r="BN17" s="8">
        <f>ROUND(T17+AB17+AJ17+AR17+AZ17+BH17,2)</f>
        <v>36150.7</v>
      </c>
      <c r="BO17" s="8">
        <f>ROUND(O17+W17+AE17+AM17+AU17+BC17,2)</f>
        <v>98017.03</v>
      </c>
      <c r="BP17" s="8">
        <f>ROUND(P17+Q17+R17+S17+X17+Y17+Z17+BK17+AF17+AG17+AH17+AI17+AN17+AO17+AP17+AQ17+AV17+AW17+AX17+AY17+BD17+BE17+BF17+BG17,2)</f>
        <v>114896.0</v>
      </c>
      <c r="BQ17" s="8">
        <f>ROUND(BO17-BP17,2)</f>
        <v>-16878.97</v>
      </c>
      <c r="BR17" s="8">
        <f>ROUND(BR16+BQ17,2)</f>
        <v>-468002.73</v>
      </c>
      <c r="BS17" s="8">
        <f>ROUND(BN17-BK17,2)</f>
        <v>-5849.3</v>
      </c>
      <c r="BT17" s="8">
        <f>ROUND(BT16+N17-O17+V17-W17+AL17-AM17,2)</f>
        <v>72796.7</v>
      </c>
      <c r="BU17" s="10">
        <f>IF(BR17&gt;=0,A17,999)</f>
        <v>999</v>
      </c>
      <c r="BV17" s="8">
        <f>ROUND(BR17+200000,2)</f>
        <v>-268002.73</v>
      </c>
    </row>
    <row r="18" spans="1:74">
      <c r="A18" s="10">
        <v>14</v>
      </c>
      <c r="B18" s="7">
        <v>520</v>
      </c>
      <c r="C18" s="7">
        <v>0</v>
      </c>
      <c r="D18" s="7">
        <v>2</v>
      </c>
      <c r="E18" s="7">
        <v>0</v>
      </c>
      <c r="F18" s="7">
        <v>2</v>
      </c>
      <c r="G18" s="10">
        <f>MAX(0,F18-F17)</f>
        <v>0</v>
      </c>
      <c r="H18" s="10">
        <f>ROUNDUP(B18/'Premissas'!$B$14,0)</f>
        <v>26000</v>
      </c>
      <c r="I18" s="8">
        <f>ROUND(B18*'Premissas'!$B$5,2)</f>
        <v>15080.0</v>
      </c>
      <c r="J18" s="8">
        <f>ROUND(I18*'Premissas'!$B$6,2)</f>
        <v>75400.0</v>
      </c>
      <c r="K18" s="8">
        <f>ROUND(J18*'Premissas'!$B$7,2)</f>
        <v>6032.0</v>
      </c>
      <c r="L18" s="8">
        <f>ROUND(J18-K18,2)</f>
        <v>69368.0</v>
      </c>
      <c r="M18" s="8">
        <f>ROUND(L18*'Premissas'!$B$8+B18*(1-'Premissas'!$B$7)*'Premissas'!$B$9*'Premissas'!$B$6,2)</f>
        <v>9259.43</v>
      </c>
      <c r="N18" s="8">
        <f>ROUND(L18-M18,2)</f>
        <v>60108.57</v>
      </c>
      <c r="O18" s="8">
        <f>IF(A18&gt;'Premissas'!$B$20,INDEX($N$5:$N$28,MAX(1,A18-'Premissas'!$B$20)),0)</f>
        <v>57796.7</v>
      </c>
      <c r="P18" s="8">
        <f>ROUND(L18*'Premissas'!$B$10,2)</f>
        <v>10405.2</v>
      </c>
      <c r="Q18" s="8">
        <f>ROUND(L18*'Premissas'!$B$11,2)</f>
        <v>2081.04</v>
      </c>
      <c r="R18" s="8">
        <f>ROUND(B18*'Premissas'!$B$12*'Premissas'!$B$6,2)</f>
        <v>26000.0</v>
      </c>
      <c r="S18" s="8">
        <f>ROUND(B18*'Premissas'!$B$13*'Premissas'!$B$6,2)</f>
        <v>2600.0</v>
      </c>
      <c r="T18" s="8">
        <f>ROUND(L18-M18-P18-Q18-R18-S18,2)</f>
        <v>19022.33</v>
      </c>
      <c r="U18" s="10">
        <f>C18*'Premissas'!$B$16</f>
        <v>0</v>
      </c>
      <c r="V18" s="8">
        <f>ROUND(C18*'Premissas'!$B$15,2)</f>
        <v>0.0</v>
      </c>
      <c r="W18" s="8">
        <f>ROUND(V18*'Premissas'!$B$19+V17*(1-'Premissas'!$B$19),2)</f>
        <v>15000.0</v>
      </c>
      <c r="X18" s="8">
        <f>ROUND(U18*'Premissas'!$B$17,2)</f>
        <v>0.0</v>
      </c>
      <c r="Y18" s="8">
        <f>ROUND(V18*'Premissas'!$B$10,2)</f>
        <v>0.0</v>
      </c>
      <c r="Z18" s="8">
        <f>ROUND(W18*'Premissas'!$B$18,2)</f>
        <v>750.0</v>
      </c>
      <c r="AA18" s="8">
        <f>ROUND(V18*'Premissas'!$B$18,2)</f>
        <v>0.0</v>
      </c>
      <c r="AB18" s="8">
        <f>ROUND(V18-X18-Y18-AA18,2)</f>
        <v>0.0</v>
      </c>
      <c r="AC18" s="10">
        <f>D18*'Ofertas'!$C$5</f>
        <v>24.0</v>
      </c>
      <c r="AD18" s="8">
        <f>ROUND(D18*'Ofertas'!$B$5,2)</f>
        <v>9000.0</v>
      </c>
      <c r="AE18" s="8">
        <f>AD18</f>
        <v>9000.0</v>
      </c>
      <c r="AF18" s="8">
        <f>ROUND(AC18*'Ofertas'!$D$5,2)</f>
        <v>2880.0</v>
      </c>
      <c r="AG18" s="8">
        <f>ROUND(AD18*'Premissas'!$B$10,2)</f>
        <v>1350.0</v>
      </c>
      <c r="AH18" s="8">
        <f>ROUND(AD18*'Premissas'!$B$31,2)</f>
        <v>450.0</v>
      </c>
      <c r="AI18" s="8">
        <f>ROUND(D18*'Ofertas'!$H$5,2)</f>
        <v>320.0</v>
      </c>
      <c r="AJ18" s="8">
        <f>ROUND(AD18-AF18-AG18-AH18-AI18,2)</f>
        <v>4000.0</v>
      </c>
      <c r="AK18" s="10">
        <f>E18*'Ofertas'!$C$6</f>
        <v>0.0</v>
      </c>
      <c r="AL18" s="8">
        <f>ROUND(E18*'Ofertas'!$B$6,2)</f>
        <v>0.0</v>
      </c>
      <c r="AM18" s="8">
        <f>ROUND(AL18*'Premissas'!$B$32+AL17*(1-'Premissas'!$B$32),2)</f>
        <v>0.0</v>
      </c>
      <c r="AN18" s="8">
        <f>ROUND(AK18*'Ofertas'!$D$6,2)</f>
        <v>0.0</v>
      </c>
      <c r="AO18" s="8">
        <f>ROUND(AL18*'Premissas'!$B$10,2)</f>
        <v>0.0</v>
      </c>
      <c r="AP18" s="8">
        <f>ROUND(AL18*'Premissas'!$B$31,2)</f>
        <v>0.0</v>
      </c>
      <c r="AQ18" s="8">
        <f>ROUND(E18*'Ofertas'!$H$6,2)</f>
        <v>0.0</v>
      </c>
      <c r="AR18" s="8">
        <f>ROUND(AL18-AN18-AO18-AP18-AQ18,2)</f>
        <v>0.0</v>
      </c>
      <c r="AS18" s="10">
        <f>F18*'Ofertas'!$C$7</f>
        <v>16.0</v>
      </c>
      <c r="AT18" s="8">
        <f>ROUND(F18*'Ofertas'!$B$7,2)</f>
        <v>7000.0</v>
      </c>
      <c r="AU18" s="8">
        <f>AT18</f>
        <v>7000.0</v>
      </c>
      <c r="AV18" s="8">
        <f>ROUND(AS18*'Ofertas'!$D$7,2)</f>
        <v>1920.0</v>
      </c>
      <c r="AW18" s="8">
        <f>ROUND(AT18*'Premissas'!$B$10,2)</f>
        <v>1050.0</v>
      </c>
      <c r="AX18" s="8">
        <f>ROUND(AT18*'Premissas'!$B$31,2)</f>
        <v>350.0</v>
      </c>
      <c r="AY18" s="8">
        <f>ROUND(F18*'Ofertas'!$H$7,2)</f>
        <v>420.0</v>
      </c>
      <c r="AZ18" s="8">
        <f>ROUND(AT18-AV18-AW18-AX18-AY18,2)</f>
        <v>3260.0</v>
      </c>
      <c r="BA18" s="10">
        <f>G18*'Ofertas'!$C$8</f>
        <v>0.0</v>
      </c>
      <c r="BB18" s="8">
        <f>ROUND(G18*'Ofertas'!$B$8,2)</f>
        <v>0.0</v>
      </c>
      <c r="BC18" s="8">
        <f>BB18</f>
        <v>0.0</v>
      </c>
      <c r="BD18" s="8">
        <f>ROUND(BA18*'Ofertas'!$D$8,2)</f>
        <v>0.0</v>
      </c>
      <c r="BE18" s="8">
        <f>ROUND(BB18*'Premissas'!$B$10,2)</f>
        <v>0.0</v>
      </c>
      <c r="BF18" s="8">
        <f>ROUND(BB18*'Premissas'!$B$31,2)</f>
        <v>0.0</v>
      </c>
      <c r="BG18" s="8">
        <f>ROUND(G18*'Ofertas'!$H$8,2)</f>
        <v>0.0</v>
      </c>
      <c r="BH18" s="8">
        <f>ROUND(BB18-BD18-BE18-BF18-BG18,2)</f>
        <v>0.0</v>
      </c>
      <c r="BI18" s="10">
        <f>U18+AC18+AK18+AS18+BA18</f>
        <v>40.0</v>
      </c>
      <c r="BJ18" s="11">
        <f>BI18/'Premissas'!$B$30</f>
        <v>0.25</v>
      </c>
      <c r="BK18" s="8">
        <f>IF(A18&lt;=12,'Premissas'!$B$24,'Premissas'!$B$25)</f>
        <v>42000</v>
      </c>
      <c r="BL18" s="8">
        <f>ROUND(J18+V18+AD18+AL18+AT18+BB18,2)</f>
        <v>91400.0</v>
      </c>
      <c r="BM18" s="8">
        <f>ROUND(L18+V18+AD18+AL18+AT18+BB18,2)</f>
        <v>85368.0</v>
      </c>
      <c r="BN18" s="8">
        <f>ROUND(T18+AB18+AJ18+AR18+AZ18+BH18,2)</f>
        <v>26282.33</v>
      </c>
      <c r="BO18" s="8">
        <f>ROUND(O18+W18+AE18+AM18+AU18+BC18,2)</f>
        <v>88796.7</v>
      </c>
      <c r="BP18" s="8">
        <f>ROUND(P18+Q18+R18+S18+X18+Y18+Z18+BK18+AF18+AG18+AH18+AI18+AN18+AO18+AP18+AQ18+AV18+AW18+AX18+AY18+BD18+BE18+BF18+BG18,2)</f>
        <v>92576.24</v>
      </c>
      <c r="BQ18" s="8">
        <f>ROUND(BO18-BP18,2)</f>
        <v>-3779.54</v>
      </c>
      <c r="BR18" s="8">
        <f>ROUND(BR17+BQ18,2)</f>
        <v>-471782.27</v>
      </c>
      <c r="BS18" s="8">
        <f>ROUND(BN18-BK18,2)</f>
        <v>-15717.67</v>
      </c>
      <c r="BT18" s="8">
        <f>ROUND(BT17+N18-O18+V18-W18+AL18-AM18,2)</f>
        <v>60108.57</v>
      </c>
      <c r="BU18" s="10">
        <f>IF(BR18&gt;=0,A18,999)</f>
        <v>999</v>
      </c>
      <c r="BV18" s="8">
        <f>ROUND(BR18+200000,2)</f>
        <v>-271782.27</v>
      </c>
    </row>
    <row r="19" spans="1:74">
      <c r="A19" s="10">
        <v>15</v>
      </c>
      <c r="B19" s="7">
        <v>540</v>
      </c>
      <c r="C19" s="7">
        <v>0</v>
      </c>
      <c r="D19" s="7">
        <v>2</v>
      </c>
      <c r="E19" s="7">
        <v>1</v>
      </c>
      <c r="F19" s="7">
        <v>2</v>
      </c>
      <c r="G19" s="10">
        <f>MAX(0,F19-F18)</f>
        <v>0</v>
      </c>
      <c r="H19" s="10">
        <f>ROUNDUP(B19/'Premissas'!$B$14,0)</f>
        <v>27000</v>
      </c>
      <c r="I19" s="8">
        <f>ROUND(B19*'Premissas'!$B$5,2)</f>
        <v>15660.0</v>
      </c>
      <c r="J19" s="8">
        <f>ROUND(I19*'Premissas'!$B$6,2)</f>
        <v>78300.0</v>
      </c>
      <c r="K19" s="8">
        <f>ROUND(J19*'Premissas'!$B$7,2)</f>
        <v>6264.0</v>
      </c>
      <c r="L19" s="8">
        <f>ROUND(J19-K19,2)</f>
        <v>72036.0</v>
      </c>
      <c r="M19" s="8">
        <f>ROUND(L19*'Premissas'!$B$8+B19*(1-'Premissas'!$B$7)*'Premissas'!$B$9*'Premissas'!$B$6,2)</f>
        <v>9615.56</v>
      </c>
      <c r="N19" s="8">
        <f>ROUND(L19-M19,2)</f>
        <v>62420.44</v>
      </c>
      <c r="O19" s="8">
        <f>IF(A19&gt;'Premissas'!$B$20,INDEX($N$5:$N$28,MAX(1,A19-'Premissas'!$B$20)),0)</f>
        <v>60108.57</v>
      </c>
      <c r="P19" s="8">
        <f>ROUND(L19*'Premissas'!$B$10,2)</f>
        <v>10805.4</v>
      </c>
      <c r="Q19" s="8">
        <f>ROUND(L19*'Premissas'!$B$11,2)</f>
        <v>2161.08</v>
      </c>
      <c r="R19" s="8">
        <f>ROUND(B19*'Premissas'!$B$12*'Premissas'!$B$6,2)</f>
        <v>27000.0</v>
      </c>
      <c r="S19" s="8">
        <f>ROUND(B19*'Premissas'!$B$13*'Premissas'!$B$6,2)</f>
        <v>2700.0</v>
      </c>
      <c r="T19" s="8">
        <f>ROUND(L19-M19-P19-Q19-R19-S19,2)</f>
        <v>19753.96</v>
      </c>
      <c r="U19" s="10">
        <f>C19*'Premissas'!$B$16</f>
        <v>0</v>
      </c>
      <c r="V19" s="8">
        <f>ROUND(C19*'Premissas'!$B$15,2)</f>
        <v>0.0</v>
      </c>
      <c r="W19" s="8">
        <f>ROUND(V19*'Premissas'!$B$19+V18*(1-'Premissas'!$B$19),2)</f>
        <v>0.0</v>
      </c>
      <c r="X19" s="8">
        <f>ROUND(U19*'Premissas'!$B$17,2)</f>
        <v>0.0</v>
      </c>
      <c r="Y19" s="8">
        <f>ROUND(V19*'Premissas'!$B$10,2)</f>
        <v>0.0</v>
      </c>
      <c r="Z19" s="8">
        <f>ROUND(W19*'Premissas'!$B$18,2)</f>
        <v>0.0</v>
      </c>
      <c r="AA19" s="8">
        <f>ROUND(V19*'Premissas'!$B$18,2)</f>
        <v>0.0</v>
      </c>
      <c r="AB19" s="8">
        <f>ROUND(V19-X19-Y19-AA19,2)</f>
        <v>0.0</v>
      </c>
      <c r="AC19" s="10">
        <f>D19*'Ofertas'!$C$5</f>
        <v>24.0</v>
      </c>
      <c r="AD19" s="8">
        <f>ROUND(D19*'Ofertas'!$B$5,2)</f>
        <v>9000.0</v>
      </c>
      <c r="AE19" s="8">
        <f>AD19</f>
        <v>9000.0</v>
      </c>
      <c r="AF19" s="8">
        <f>ROUND(AC19*'Ofertas'!$D$5,2)</f>
        <v>2880.0</v>
      </c>
      <c r="AG19" s="8">
        <f>ROUND(AD19*'Premissas'!$B$10,2)</f>
        <v>1350.0</v>
      </c>
      <c r="AH19" s="8">
        <f>ROUND(AD19*'Premissas'!$B$31,2)</f>
        <v>450.0</v>
      </c>
      <c r="AI19" s="8">
        <f>ROUND(D19*'Ofertas'!$H$5,2)</f>
        <v>320.0</v>
      </c>
      <c r="AJ19" s="8">
        <f>ROUND(AD19-AF19-AG19-AH19-AI19,2)</f>
        <v>4000.0</v>
      </c>
      <c r="AK19" s="10">
        <f>E19*'Ofertas'!$C$6</f>
        <v>40.0</v>
      </c>
      <c r="AL19" s="8">
        <f>ROUND(E19*'Ofertas'!$B$6,2)</f>
        <v>18000.0</v>
      </c>
      <c r="AM19" s="8">
        <f>ROUND(AL19*'Premissas'!$B$32+AL18*(1-'Premissas'!$B$32),2)</f>
        <v>9000.0</v>
      </c>
      <c r="AN19" s="8">
        <f>ROUND(AK19*'Ofertas'!$D$6,2)</f>
        <v>7200.0</v>
      </c>
      <c r="AO19" s="8">
        <f>ROUND(AL19*'Premissas'!$B$10,2)</f>
        <v>2700.0</v>
      </c>
      <c r="AP19" s="8">
        <f>ROUND(AL19*'Premissas'!$B$31,2)</f>
        <v>900.0</v>
      </c>
      <c r="AQ19" s="8">
        <f>ROUND(E19*'Ofertas'!$H$6,2)</f>
        <v>600.0</v>
      </c>
      <c r="AR19" s="8">
        <f>ROUND(AL19-AN19-AO19-AP19-AQ19,2)</f>
        <v>6600.0</v>
      </c>
      <c r="AS19" s="10">
        <f>F19*'Ofertas'!$C$7</f>
        <v>16.0</v>
      </c>
      <c r="AT19" s="8">
        <f>ROUND(F19*'Ofertas'!$B$7,2)</f>
        <v>7000.0</v>
      </c>
      <c r="AU19" s="8">
        <f>AT19</f>
        <v>7000.0</v>
      </c>
      <c r="AV19" s="8">
        <f>ROUND(AS19*'Ofertas'!$D$7,2)</f>
        <v>1920.0</v>
      </c>
      <c r="AW19" s="8">
        <f>ROUND(AT19*'Premissas'!$B$10,2)</f>
        <v>1050.0</v>
      </c>
      <c r="AX19" s="8">
        <f>ROUND(AT19*'Premissas'!$B$31,2)</f>
        <v>350.0</v>
      </c>
      <c r="AY19" s="8">
        <f>ROUND(F19*'Ofertas'!$H$7,2)</f>
        <v>420.0</v>
      </c>
      <c r="AZ19" s="8">
        <f>ROUND(AT19-AV19-AW19-AX19-AY19,2)</f>
        <v>3260.0</v>
      </c>
      <c r="BA19" s="10">
        <f>G19*'Ofertas'!$C$8</f>
        <v>0.0</v>
      </c>
      <c r="BB19" s="8">
        <f>ROUND(G19*'Ofertas'!$B$8,2)</f>
        <v>0.0</v>
      </c>
      <c r="BC19" s="8">
        <f>BB19</f>
        <v>0.0</v>
      </c>
      <c r="BD19" s="8">
        <f>ROUND(BA19*'Ofertas'!$D$8,2)</f>
        <v>0.0</v>
      </c>
      <c r="BE19" s="8">
        <f>ROUND(BB19*'Premissas'!$B$10,2)</f>
        <v>0.0</v>
      </c>
      <c r="BF19" s="8">
        <f>ROUND(BB19*'Premissas'!$B$31,2)</f>
        <v>0.0</v>
      </c>
      <c r="BG19" s="8">
        <f>ROUND(G19*'Ofertas'!$H$8,2)</f>
        <v>0.0</v>
      </c>
      <c r="BH19" s="8">
        <f>ROUND(BB19-BD19-BE19-BF19-BG19,2)</f>
        <v>0.0</v>
      </c>
      <c r="BI19" s="10">
        <f>U19+AC19+AK19+AS19+BA19</f>
        <v>80.0</v>
      </c>
      <c r="BJ19" s="11">
        <f>BI19/'Premissas'!$B$30</f>
        <v>0.5</v>
      </c>
      <c r="BK19" s="8">
        <f>IF(A19&lt;=12,'Premissas'!$B$24,'Premissas'!$B$25)</f>
        <v>42000</v>
      </c>
      <c r="BL19" s="8">
        <f>ROUND(J19+V19+AD19+AL19+AT19+BB19,2)</f>
        <v>112300.0</v>
      </c>
      <c r="BM19" s="8">
        <f>ROUND(L19+V19+AD19+AL19+AT19+BB19,2)</f>
        <v>106036.0</v>
      </c>
      <c r="BN19" s="8">
        <f>ROUND(T19+AB19+AJ19+AR19+AZ19+BH19,2)</f>
        <v>33613.96</v>
      </c>
      <c r="BO19" s="8">
        <f>ROUND(O19+W19+AE19+AM19+AU19+BC19,2)</f>
        <v>85108.57</v>
      </c>
      <c r="BP19" s="8">
        <f>ROUND(P19+Q19+R19+S19+X19+Y19+Z19+BK19+AF19+AG19+AH19+AI19+AN19+AO19+AP19+AQ19+AV19+AW19+AX19+AY19+BD19+BE19+BF19+BG19,2)</f>
        <v>104806.48</v>
      </c>
      <c r="BQ19" s="8">
        <f>ROUND(BO19-BP19,2)</f>
        <v>-19697.91</v>
      </c>
      <c r="BR19" s="8">
        <f>ROUND(BR18+BQ19,2)</f>
        <v>-491480.18</v>
      </c>
      <c r="BS19" s="8">
        <f>ROUND(BN19-BK19,2)</f>
        <v>-8386.04</v>
      </c>
      <c r="BT19" s="8">
        <f>ROUND(BT18+N19-O19+V19-W19+AL19-AM19,2)</f>
        <v>71420.44</v>
      </c>
      <c r="BU19" s="10">
        <f>IF(BR19&gt;=0,A19,999)</f>
        <v>999</v>
      </c>
      <c r="BV19" s="8">
        <f>ROUND(BR19+200000,2)</f>
        <v>-291480.18</v>
      </c>
    </row>
    <row r="20" spans="1:74">
      <c r="A20" s="10">
        <v>16</v>
      </c>
      <c r="B20" s="7">
        <v>560</v>
      </c>
      <c r="C20" s="7">
        <v>0</v>
      </c>
      <c r="D20" s="7">
        <v>2</v>
      </c>
      <c r="E20" s="7">
        <v>0</v>
      </c>
      <c r="F20" s="7">
        <v>2</v>
      </c>
      <c r="G20" s="10">
        <f>MAX(0,F20-F19)</f>
        <v>0</v>
      </c>
      <c r="H20" s="10">
        <f>ROUNDUP(B20/'Premissas'!$B$14,0)</f>
        <v>28000</v>
      </c>
      <c r="I20" s="8">
        <f>ROUND(B20*'Premissas'!$B$5,2)</f>
        <v>16240.0</v>
      </c>
      <c r="J20" s="8">
        <f>ROUND(I20*'Premissas'!$B$6,2)</f>
        <v>81200.0</v>
      </c>
      <c r="K20" s="8">
        <f>ROUND(J20*'Premissas'!$B$7,2)</f>
        <v>6496.0</v>
      </c>
      <c r="L20" s="8">
        <f>ROUND(J20-K20,2)</f>
        <v>74704.0</v>
      </c>
      <c r="M20" s="8">
        <f>ROUND(L20*'Premissas'!$B$8+B20*(1-'Premissas'!$B$7)*'Premissas'!$B$9*'Premissas'!$B$6,2)</f>
        <v>9971.7</v>
      </c>
      <c r="N20" s="8">
        <f>ROUND(L20-M20,2)</f>
        <v>64732.3</v>
      </c>
      <c r="O20" s="8">
        <f>IF(A20&gt;'Premissas'!$B$20,INDEX($N$5:$N$28,MAX(1,A20-'Premissas'!$B$20)),0)</f>
        <v>62420.44</v>
      </c>
      <c r="P20" s="8">
        <f>ROUND(L20*'Premissas'!$B$10,2)</f>
        <v>11205.6</v>
      </c>
      <c r="Q20" s="8">
        <f>ROUND(L20*'Premissas'!$B$11,2)</f>
        <v>2241.12</v>
      </c>
      <c r="R20" s="8">
        <f>ROUND(B20*'Premissas'!$B$12*'Premissas'!$B$6,2)</f>
        <v>28000.0</v>
      </c>
      <c r="S20" s="8">
        <f>ROUND(B20*'Premissas'!$B$13*'Premissas'!$B$6,2)</f>
        <v>2800.0</v>
      </c>
      <c r="T20" s="8">
        <f>ROUND(L20-M20-P20-Q20-R20-S20,2)</f>
        <v>20485.58</v>
      </c>
      <c r="U20" s="10">
        <f>C20*'Premissas'!$B$16</f>
        <v>0</v>
      </c>
      <c r="V20" s="8">
        <f>ROUND(C20*'Premissas'!$B$15,2)</f>
        <v>0.0</v>
      </c>
      <c r="W20" s="8">
        <f>ROUND(V20*'Premissas'!$B$19+V19*(1-'Premissas'!$B$19),2)</f>
        <v>0.0</v>
      </c>
      <c r="X20" s="8">
        <f>ROUND(U20*'Premissas'!$B$17,2)</f>
        <v>0.0</v>
      </c>
      <c r="Y20" s="8">
        <f>ROUND(V20*'Premissas'!$B$10,2)</f>
        <v>0.0</v>
      </c>
      <c r="Z20" s="8">
        <f>ROUND(W20*'Premissas'!$B$18,2)</f>
        <v>0.0</v>
      </c>
      <c r="AA20" s="8">
        <f>ROUND(V20*'Premissas'!$B$18,2)</f>
        <v>0.0</v>
      </c>
      <c r="AB20" s="8">
        <f>ROUND(V20-X20-Y20-AA20,2)</f>
        <v>0.0</v>
      </c>
      <c r="AC20" s="10">
        <f>D20*'Ofertas'!$C$5</f>
        <v>24.0</v>
      </c>
      <c r="AD20" s="8">
        <f>ROUND(D20*'Ofertas'!$B$5,2)</f>
        <v>9000.0</v>
      </c>
      <c r="AE20" s="8">
        <f>AD20</f>
        <v>9000.0</v>
      </c>
      <c r="AF20" s="8">
        <f>ROUND(AC20*'Ofertas'!$D$5,2)</f>
        <v>2880.0</v>
      </c>
      <c r="AG20" s="8">
        <f>ROUND(AD20*'Premissas'!$B$10,2)</f>
        <v>1350.0</v>
      </c>
      <c r="AH20" s="8">
        <f>ROUND(AD20*'Premissas'!$B$31,2)</f>
        <v>450.0</v>
      </c>
      <c r="AI20" s="8">
        <f>ROUND(D20*'Ofertas'!$H$5,2)</f>
        <v>320.0</v>
      </c>
      <c r="AJ20" s="8">
        <f>ROUND(AD20-AF20-AG20-AH20-AI20,2)</f>
        <v>4000.0</v>
      </c>
      <c r="AK20" s="10">
        <f>E20*'Ofertas'!$C$6</f>
        <v>0.0</v>
      </c>
      <c r="AL20" s="8">
        <f>ROUND(E20*'Ofertas'!$B$6,2)</f>
        <v>0.0</v>
      </c>
      <c r="AM20" s="8">
        <f>ROUND(AL20*'Premissas'!$B$32+AL19*(1-'Premissas'!$B$32),2)</f>
        <v>9000.0</v>
      </c>
      <c r="AN20" s="8">
        <f>ROUND(AK20*'Ofertas'!$D$6,2)</f>
        <v>0.0</v>
      </c>
      <c r="AO20" s="8">
        <f>ROUND(AL20*'Premissas'!$B$10,2)</f>
        <v>0.0</v>
      </c>
      <c r="AP20" s="8">
        <f>ROUND(AL20*'Premissas'!$B$31,2)</f>
        <v>0.0</v>
      </c>
      <c r="AQ20" s="8">
        <f>ROUND(E20*'Ofertas'!$H$6,2)</f>
        <v>0.0</v>
      </c>
      <c r="AR20" s="8">
        <f>ROUND(AL20-AN20-AO20-AP20-AQ20,2)</f>
        <v>0.0</v>
      </c>
      <c r="AS20" s="10">
        <f>F20*'Ofertas'!$C$7</f>
        <v>16.0</v>
      </c>
      <c r="AT20" s="8">
        <f>ROUND(F20*'Ofertas'!$B$7,2)</f>
        <v>7000.0</v>
      </c>
      <c r="AU20" s="8">
        <f>AT20</f>
        <v>7000.0</v>
      </c>
      <c r="AV20" s="8">
        <f>ROUND(AS20*'Ofertas'!$D$7,2)</f>
        <v>1920.0</v>
      </c>
      <c r="AW20" s="8">
        <f>ROUND(AT20*'Premissas'!$B$10,2)</f>
        <v>1050.0</v>
      </c>
      <c r="AX20" s="8">
        <f>ROUND(AT20*'Premissas'!$B$31,2)</f>
        <v>350.0</v>
      </c>
      <c r="AY20" s="8">
        <f>ROUND(F20*'Ofertas'!$H$7,2)</f>
        <v>420.0</v>
      </c>
      <c r="AZ20" s="8">
        <f>ROUND(AT20-AV20-AW20-AX20-AY20,2)</f>
        <v>3260.0</v>
      </c>
      <c r="BA20" s="10">
        <f>G20*'Ofertas'!$C$8</f>
        <v>0.0</v>
      </c>
      <c r="BB20" s="8">
        <f>ROUND(G20*'Ofertas'!$B$8,2)</f>
        <v>0.0</v>
      </c>
      <c r="BC20" s="8">
        <f>BB20</f>
        <v>0.0</v>
      </c>
      <c r="BD20" s="8">
        <f>ROUND(BA20*'Ofertas'!$D$8,2)</f>
        <v>0.0</v>
      </c>
      <c r="BE20" s="8">
        <f>ROUND(BB20*'Premissas'!$B$10,2)</f>
        <v>0.0</v>
      </c>
      <c r="BF20" s="8">
        <f>ROUND(BB20*'Premissas'!$B$31,2)</f>
        <v>0.0</v>
      </c>
      <c r="BG20" s="8">
        <f>ROUND(G20*'Ofertas'!$H$8,2)</f>
        <v>0.0</v>
      </c>
      <c r="BH20" s="8">
        <f>ROUND(BB20-BD20-BE20-BF20-BG20,2)</f>
        <v>0.0</v>
      </c>
      <c r="BI20" s="10">
        <f>U20+AC20+AK20+AS20+BA20</f>
        <v>40.0</v>
      </c>
      <c r="BJ20" s="11">
        <f>BI20/'Premissas'!$B$30</f>
        <v>0.25</v>
      </c>
      <c r="BK20" s="8">
        <f>IF(A20&lt;=12,'Premissas'!$B$24,'Premissas'!$B$25)</f>
        <v>42000</v>
      </c>
      <c r="BL20" s="8">
        <f>ROUND(J20+V20+AD20+AL20+AT20+BB20,2)</f>
        <v>97200.0</v>
      </c>
      <c r="BM20" s="8">
        <f>ROUND(L20+V20+AD20+AL20+AT20+BB20,2)</f>
        <v>90704.0</v>
      </c>
      <c r="BN20" s="8">
        <f>ROUND(T20+AB20+AJ20+AR20+AZ20+BH20,2)</f>
        <v>27745.58</v>
      </c>
      <c r="BO20" s="8">
        <f>ROUND(O20+W20+AE20+AM20+AU20+BC20,2)</f>
        <v>87420.44</v>
      </c>
      <c r="BP20" s="8">
        <f>ROUND(P20+Q20+R20+S20+X20+Y20+Z20+BK20+AF20+AG20+AH20+AI20+AN20+AO20+AP20+AQ20+AV20+AW20+AX20+AY20+BD20+BE20+BF20+BG20,2)</f>
        <v>94986.72</v>
      </c>
      <c r="BQ20" s="8">
        <f>ROUND(BO20-BP20,2)</f>
        <v>-7566.28</v>
      </c>
      <c r="BR20" s="8">
        <f>ROUND(BR19+BQ20,2)</f>
        <v>-499046.46</v>
      </c>
      <c r="BS20" s="8">
        <f>ROUND(BN20-BK20,2)</f>
        <v>-14254.42</v>
      </c>
      <c r="BT20" s="8">
        <f>ROUND(BT19+N20-O20+V20-W20+AL20-AM20,2)</f>
        <v>64732.3</v>
      </c>
      <c r="BU20" s="10">
        <f>IF(BR20&gt;=0,A20,999)</f>
        <v>999</v>
      </c>
      <c r="BV20" s="8">
        <f>ROUND(BR20+200000,2)</f>
        <v>-299046.46</v>
      </c>
    </row>
    <row r="21" spans="1:74">
      <c r="A21" s="10">
        <v>17</v>
      </c>
      <c r="B21" s="7">
        <v>580</v>
      </c>
      <c r="C21" s="7">
        <v>1</v>
      </c>
      <c r="D21" s="7">
        <v>2</v>
      </c>
      <c r="E21" s="7">
        <v>0</v>
      </c>
      <c r="F21" s="7">
        <v>2</v>
      </c>
      <c r="G21" s="10">
        <f>MAX(0,F21-F20)</f>
        <v>0</v>
      </c>
      <c r="H21" s="10">
        <f>ROUNDUP(B21/'Premissas'!$B$14,0)</f>
        <v>29000</v>
      </c>
      <c r="I21" s="8">
        <f>ROUND(B21*'Premissas'!$B$5,2)</f>
        <v>16820.0</v>
      </c>
      <c r="J21" s="8">
        <f>ROUND(I21*'Premissas'!$B$6,2)</f>
        <v>84100.0</v>
      </c>
      <c r="K21" s="8">
        <f>ROUND(J21*'Premissas'!$B$7,2)</f>
        <v>6728.0</v>
      </c>
      <c r="L21" s="8">
        <f>ROUND(J21-K21,2)</f>
        <v>77372.0</v>
      </c>
      <c r="M21" s="8">
        <f>ROUND(L21*'Premissas'!$B$8+B21*(1-'Premissas'!$B$7)*'Premissas'!$B$9*'Premissas'!$B$6,2)</f>
        <v>10327.83</v>
      </c>
      <c r="N21" s="8">
        <f>ROUND(L21-M21,2)</f>
        <v>67044.17</v>
      </c>
      <c r="O21" s="8">
        <f>IF(A21&gt;'Premissas'!$B$20,INDEX($N$5:$N$28,MAX(1,A21-'Premissas'!$B$20)),0)</f>
        <v>64732.3</v>
      </c>
      <c r="P21" s="8">
        <f>ROUND(L21*'Premissas'!$B$10,2)</f>
        <v>11605.8</v>
      </c>
      <c r="Q21" s="8">
        <f>ROUND(L21*'Premissas'!$B$11,2)</f>
        <v>2321.16</v>
      </c>
      <c r="R21" s="8">
        <f>ROUND(B21*'Premissas'!$B$12*'Premissas'!$B$6,2)</f>
        <v>29000.0</v>
      </c>
      <c r="S21" s="8">
        <f>ROUND(B21*'Premissas'!$B$13*'Premissas'!$B$6,2)</f>
        <v>2900.0</v>
      </c>
      <c r="T21" s="8">
        <f>ROUND(L21-M21-P21-Q21-R21-S21,2)</f>
        <v>21217.21</v>
      </c>
      <c r="U21" s="10">
        <f>C21*'Premissas'!$B$16</f>
        <v>80</v>
      </c>
      <c r="V21" s="8">
        <f>ROUND(C21*'Premissas'!$B$15,2)</f>
        <v>30000.0</v>
      </c>
      <c r="W21" s="8">
        <f>ROUND(V21*'Premissas'!$B$19+V20*(1-'Premissas'!$B$19),2)</f>
        <v>15000.0</v>
      </c>
      <c r="X21" s="8">
        <f>ROUND(U21*'Premissas'!$B$17,2)</f>
        <v>14400.0</v>
      </c>
      <c r="Y21" s="8">
        <f>ROUND(V21*'Premissas'!$B$10,2)</f>
        <v>4500.0</v>
      </c>
      <c r="Z21" s="8">
        <f>ROUND(W21*'Premissas'!$B$18,2)</f>
        <v>750.0</v>
      </c>
      <c r="AA21" s="8">
        <f>ROUND(V21*'Premissas'!$B$18,2)</f>
        <v>1500.0</v>
      </c>
      <c r="AB21" s="8">
        <f>ROUND(V21-X21-Y21-AA21,2)</f>
        <v>9600.0</v>
      </c>
      <c r="AC21" s="10">
        <f>D21*'Ofertas'!$C$5</f>
        <v>24.0</v>
      </c>
      <c r="AD21" s="8">
        <f>ROUND(D21*'Ofertas'!$B$5,2)</f>
        <v>9000.0</v>
      </c>
      <c r="AE21" s="8">
        <f>AD21</f>
        <v>9000.0</v>
      </c>
      <c r="AF21" s="8">
        <f>ROUND(AC21*'Ofertas'!$D$5,2)</f>
        <v>2880.0</v>
      </c>
      <c r="AG21" s="8">
        <f>ROUND(AD21*'Premissas'!$B$10,2)</f>
        <v>1350.0</v>
      </c>
      <c r="AH21" s="8">
        <f>ROUND(AD21*'Premissas'!$B$31,2)</f>
        <v>450.0</v>
      </c>
      <c r="AI21" s="8">
        <f>ROUND(D21*'Ofertas'!$H$5,2)</f>
        <v>320.0</v>
      </c>
      <c r="AJ21" s="8">
        <f>ROUND(AD21-AF21-AG21-AH21-AI21,2)</f>
        <v>4000.0</v>
      </c>
      <c r="AK21" s="10">
        <f>E21*'Ofertas'!$C$6</f>
        <v>0.0</v>
      </c>
      <c r="AL21" s="8">
        <f>ROUND(E21*'Ofertas'!$B$6,2)</f>
        <v>0.0</v>
      </c>
      <c r="AM21" s="8">
        <f>ROUND(AL21*'Premissas'!$B$32+AL20*(1-'Premissas'!$B$32),2)</f>
        <v>0.0</v>
      </c>
      <c r="AN21" s="8">
        <f>ROUND(AK21*'Ofertas'!$D$6,2)</f>
        <v>0.0</v>
      </c>
      <c r="AO21" s="8">
        <f>ROUND(AL21*'Premissas'!$B$10,2)</f>
        <v>0.0</v>
      </c>
      <c r="AP21" s="8">
        <f>ROUND(AL21*'Premissas'!$B$31,2)</f>
        <v>0.0</v>
      </c>
      <c r="AQ21" s="8">
        <f>ROUND(E21*'Ofertas'!$H$6,2)</f>
        <v>0.0</v>
      </c>
      <c r="AR21" s="8">
        <f>ROUND(AL21-AN21-AO21-AP21-AQ21,2)</f>
        <v>0.0</v>
      </c>
      <c r="AS21" s="10">
        <f>F21*'Ofertas'!$C$7</f>
        <v>16.0</v>
      </c>
      <c r="AT21" s="8">
        <f>ROUND(F21*'Ofertas'!$B$7,2)</f>
        <v>7000.0</v>
      </c>
      <c r="AU21" s="8">
        <f>AT21</f>
        <v>7000.0</v>
      </c>
      <c r="AV21" s="8">
        <f>ROUND(AS21*'Ofertas'!$D$7,2)</f>
        <v>1920.0</v>
      </c>
      <c r="AW21" s="8">
        <f>ROUND(AT21*'Premissas'!$B$10,2)</f>
        <v>1050.0</v>
      </c>
      <c r="AX21" s="8">
        <f>ROUND(AT21*'Premissas'!$B$31,2)</f>
        <v>350.0</v>
      </c>
      <c r="AY21" s="8">
        <f>ROUND(F21*'Ofertas'!$H$7,2)</f>
        <v>420.0</v>
      </c>
      <c r="AZ21" s="8">
        <f>ROUND(AT21-AV21-AW21-AX21-AY21,2)</f>
        <v>3260.0</v>
      </c>
      <c r="BA21" s="10">
        <f>G21*'Ofertas'!$C$8</f>
        <v>0.0</v>
      </c>
      <c r="BB21" s="8">
        <f>ROUND(G21*'Ofertas'!$B$8,2)</f>
        <v>0.0</v>
      </c>
      <c r="BC21" s="8">
        <f>BB21</f>
        <v>0.0</v>
      </c>
      <c r="BD21" s="8">
        <f>ROUND(BA21*'Ofertas'!$D$8,2)</f>
        <v>0.0</v>
      </c>
      <c r="BE21" s="8">
        <f>ROUND(BB21*'Premissas'!$B$10,2)</f>
        <v>0.0</v>
      </c>
      <c r="BF21" s="8">
        <f>ROUND(BB21*'Premissas'!$B$31,2)</f>
        <v>0.0</v>
      </c>
      <c r="BG21" s="8">
        <f>ROUND(G21*'Ofertas'!$H$8,2)</f>
        <v>0.0</v>
      </c>
      <c r="BH21" s="8">
        <f>ROUND(BB21-BD21-BE21-BF21-BG21,2)</f>
        <v>0.0</v>
      </c>
      <c r="BI21" s="10">
        <f>U21+AC21+AK21+AS21+BA21</f>
        <v>120.0</v>
      </c>
      <c r="BJ21" s="11">
        <f>BI21/'Premissas'!$B$30</f>
        <v>0.75</v>
      </c>
      <c r="BK21" s="8">
        <f>IF(A21&lt;=12,'Premissas'!$B$24,'Premissas'!$B$25)</f>
        <v>42000</v>
      </c>
      <c r="BL21" s="8">
        <f>ROUND(J21+V21+AD21+AL21+AT21+BB21,2)</f>
        <v>130100.0</v>
      </c>
      <c r="BM21" s="8">
        <f>ROUND(L21+V21+AD21+AL21+AT21+BB21,2)</f>
        <v>123372.0</v>
      </c>
      <c r="BN21" s="8">
        <f>ROUND(T21+AB21+AJ21+AR21+AZ21+BH21,2)</f>
        <v>38077.21</v>
      </c>
      <c r="BO21" s="8">
        <f>ROUND(O21+W21+AE21+AM21+AU21+BC21,2)</f>
        <v>95732.3</v>
      </c>
      <c r="BP21" s="8">
        <f>ROUND(P21+Q21+R21+S21+X21+Y21+Z21+BK21+AF21+AG21+AH21+AI21+AN21+AO21+AP21+AQ21+AV21+AW21+AX21+AY21+BD21+BE21+BF21+BG21,2)</f>
        <v>116216.96</v>
      </c>
      <c r="BQ21" s="8">
        <f>ROUND(BO21-BP21,2)</f>
        <v>-20484.66</v>
      </c>
      <c r="BR21" s="8">
        <f>ROUND(BR20+BQ21,2)</f>
        <v>-519531.12</v>
      </c>
      <c r="BS21" s="8">
        <f>ROUND(BN21-BK21,2)</f>
        <v>-3922.79</v>
      </c>
      <c r="BT21" s="8">
        <f>ROUND(BT20+N21-O21+V21-W21+AL21-AM21,2)</f>
        <v>82044.17</v>
      </c>
      <c r="BU21" s="10">
        <f>IF(BR21&gt;=0,A21,999)</f>
        <v>999</v>
      </c>
      <c r="BV21" s="8">
        <f>ROUND(BR21+200000,2)</f>
        <v>-319531.12</v>
      </c>
    </row>
    <row r="22" spans="1:74">
      <c r="A22" s="10">
        <v>18</v>
      </c>
      <c r="B22" s="7">
        <v>600</v>
      </c>
      <c r="C22" s="7">
        <v>0</v>
      </c>
      <c r="D22" s="7">
        <v>2</v>
      </c>
      <c r="E22" s="7">
        <v>1</v>
      </c>
      <c r="F22" s="7">
        <v>2</v>
      </c>
      <c r="G22" s="10">
        <f>MAX(0,F22-F21)</f>
        <v>0</v>
      </c>
      <c r="H22" s="10">
        <f>ROUNDUP(B22/'Premissas'!$B$14,0)</f>
        <v>30000</v>
      </c>
      <c r="I22" s="8">
        <f>ROUND(B22*'Premissas'!$B$5,2)</f>
        <v>17400.0</v>
      </c>
      <c r="J22" s="8">
        <f>ROUND(I22*'Premissas'!$B$6,2)</f>
        <v>87000.0</v>
      </c>
      <c r="K22" s="8">
        <f>ROUND(J22*'Premissas'!$B$7,2)</f>
        <v>6960.0</v>
      </c>
      <c r="L22" s="8">
        <f>ROUND(J22-K22,2)</f>
        <v>80040.0</v>
      </c>
      <c r="M22" s="8">
        <f>ROUND(L22*'Premissas'!$B$8+B22*(1-'Premissas'!$B$7)*'Premissas'!$B$9*'Premissas'!$B$6,2)</f>
        <v>10683.96</v>
      </c>
      <c r="N22" s="8">
        <f>ROUND(L22-M22,2)</f>
        <v>69356.04</v>
      </c>
      <c r="O22" s="8">
        <f>IF(A22&gt;'Premissas'!$B$20,INDEX($N$5:$N$28,MAX(1,A22-'Premissas'!$B$20)),0)</f>
        <v>67044.17</v>
      </c>
      <c r="P22" s="8">
        <f>ROUND(L22*'Premissas'!$B$10,2)</f>
        <v>12006.0</v>
      </c>
      <c r="Q22" s="8">
        <f>ROUND(L22*'Premissas'!$B$11,2)</f>
        <v>2401.2</v>
      </c>
      <c r="R22" s="8">
        <f>ROUND(B22*'Premissas'!$B$12*'Premissas'!$B$6,2)</f>
        <v>30000.0</v>
      </c>
      <c r="S22" s="8">
        <f>ROUND(B22*'Premissas'!$B$13*'Premissas'!$B$6,2)</f>
        <v>3000.0</v>
      </c>
      <c r="T22" s="8">
        <f>ROUND(L22-M22-P22-Q22-R22-S22,2)</f>
        <v>21948.84</v>
      </c>
      <c r="U22" s="10">
        <f>C22*'Premissas'!$B$16</f>
        <v>0</v>
      </c>
      <c r="V22" s="8">
        <f>ROUND(C22*'Premissas'!$B$15,2)</f>
        <v>0.0</v>
      </c>
      <c r="W22" s="8">
        <f>ROUND(V22*'Premissas'!$B$19+V21*(1-'Premissas'!$B$19),2)</f>
        <v>15000.0</v>
      </c>
      <c r="X22" s="8">
        <f>ROUND(U22*'Premissas'!$B$17,2)</f>
        <v>0.0</v>
      </c>
      <c r="Y22" s="8">
        <f>ROUND(V22*'Premissas'!$B$10,2)</f>
        <v>0.0</v>
      </c>
      <c r="Z22" s="8">
        <f>ROUND(W22*'Premissas'!$B$18,2)</f>
        <v>750.0</v>
      </c>
      <c r="AA22" s="8">
        <f>ROUND(V22*'Premissas'!$B$18,2)</f>
        <v>0.0</v>
      </c>
      <c r="AB22" s="8">
        <f>ROUND(V22-X22-Y22-AA22,2)</f>
        <v>0.0</v>
      </c>
      <c r="AC22" s="10">
        <f>D22*'Ofertas'!$C$5</f>
        <v>24.0</v>
      </c>
      <c r="AD22" s="8">
        <f>ROUND(D22*'Ofertas'!$B$5,2)</f>
        <v>9000.0</v>
      </c>
      <c r="AE22" s="8">
        <f>AD22</f>
        <v>9000.0</v>
      </c>
      <c r="AF22" s="8">
        <f>ROUND(AC22*'Ofertas'!$D$5,2)</f>
        <v>2880.0</v>
      </c>
      <c r="AG22" s="8">
        <f>ROUND(AD22*'Premissas'!$B$10,2)</f>
        <v>1350.0</v>
      </c>
      <c r="AH22" s="8">
        <f>ROUND(AD22*'Premissas'!$B$31,2)</f>
        <v>450.0</v>
      </c>
      <c r="AI22" s="8">
        <f>ROUND(D22*'Ofertas'!$H$5,2)</f>
        <v>320.0</v>
      </c>
      <c r="AJ22" s="8">
        <f>ROUND(AD22-AF22-AG22-AH22-AI22,2)</f>
        <v>4000.0</v>
      </c>
      <c r="AK22" s="10">
        <f>E22*'Ofertas'!$C$6</f>
        <v>40.0</v>
      </c>
      <c r="AL22" s="8">
        <f>ROUND(E22*'Ofertas'!$B$6,2)</f>
        <v>18000.0</v>
      </c>
      <c r="AM22" s="8">
        <f>ROUND(AL22*'Premissas'!$B$32+AL21*(1-'Premissas'!$B$32),2)</f>
        <v>9000.0</v>
      </c>
      <c r="AN22" s="8">
        <f>ROUND(AK22*'Ofertas'!$D$6,2)</f>
        <v>7200.0</v>
      </c>
      <c r="AO22" s="8">
        <f>ROUND(AL22*'Premissas'!$B$10,2)</f>
        <v>2700.0</v>
      </c>
      <c r="AP22" s="8">
        <f>ROUND(AL22*'Premissas'!$B$31,2)</f>
        <v>900.0</v>
      </c>
      <c r="AQ22" s="8">
        <f>ROUND(E22*'Ofertas'!$H$6,2)</f>
        <v>600.0</v>
      </c>
      <c r="AR22" s="8">
        <f>ROUND(AL22-AN22-AO22-AP22-AQ22,2)</f>
        <v>6600.0</v>
      </c>
      <c r="AS22" s="10">
        <f>F22*'Ofertas'!$C$7</f>
        <v>16.0</v>
      </c>
      <c r="AT22" s="8">
        <f>ROUND(F22*'Ofertas'!$B$7,2)</f>
        <v>7000.0</v>
      </c>
      <c r="AU22" s="8">
        <f>AT22</f>
        <v>7000.0</v>
      </c>
      <c r="AV22" s="8">
        <f>ROUND(AS22*'Ofertas'!$D$7,2)</f>
        <v>1920.0</v>
      </c>
      <c r="AW22" s="8">
        <f>ROUND(AT22*'Premissas'!$B$10,2)</f>
        <v>1050.0</v>
      </c>
      <c r="AX22" s="8">
        <f>ROUND(AT22*'Premissas'!$B$31,2)</f>
        <v>350.0</v>
      </c>
      <c r="AY22" s="8">
        <f>ROUND(F22*'Ofertas'!$H$7,2)</f>
        <v>420.0</v>
      </c>
      <c r="AZ22" s="8">
        <f>ROUND(AT22-AV22-AW22-AX22-AY22,2)</f>
        <v>3260.0</v>
      </c>
      <c r="BA22" s="10">
        <f>G22*'Ofertas'!$C$8</f>
        <v>0.0</v>
      </c>
      <c r="BB22" s="8">
        <f>ROUND(G22*'Ofertas'!$B$8,2)</f>
        <v>0.0</v>
      </c>
      <c r="BC22" s="8">
        <f>BB22</f>
        <v>0.0</v>
      </c>
      <c r="BD22" s="8">
        <f>ROUND(BA22*'Ofertas'!$D$8,2)</f>
        <v>0.0</v>
      </c>
      <c r="BE22" s="8">
        <f>ROUND(BB22*'Premissas'!$B$10,2)</f>
        <v>0.0</v>
      </c>
      <c r="BF22" s="8">
        <f>ROUND(BB22*'Premissas'!$B$31,2)</f>
        <v>0.0</v>
      </c>
      <c r="BG22" s="8">
        <f>ROUND(G22*'Ofertas'!$H$8,2)</f>
        <v>0.0</v>
      </c>
      <c r="BH22" s="8">
        <f>ROUND(BB22-BD22-BE22-BF22-BG22,2)</f>
        <v>0.0</v>
      </c>
      <c r="BI22" s="10">
        <f>U22+AC22+AK22+AS22+BA22</f>
        <v>80.0</v>
      </c>
      <c r="BJ22" s="11">
        <f>BI22/'Premissas'!$B$30</f>
        <v>0.5</v>
      </c>
      <c r="BK22" s="8">
        <f>IF(A22&lt;=12,'Premissas'!$B$24,'Premissas'!$B$25)</f>
        <v>42000</v>
      </c>
      <c r="BL22" s="8">
        <f>ROUND(J22+V22+AD22+AL22+AT22+BB22,2)</f>
        <v>121000.0</v>
      </c>
      <c r="BM22" s="8">
        <f>ROUND(L22+V22+AD22+AL22+AT22+BB22,2)</f>
        <v>114040.0</v>
      </c>
      <c r="BN22" s="8">
        <f>ROUND(T22+AB22+AJ22+AR22+AZ22+BH22,2)</f>
        <v>35808.84</v>
      </c>
      <c r="BO22" s="8">
        <f>ROUND(O22+W22+AE22+AM22+AU22+BC22,2)</f>
        <v>107044.17</v>
      </c>
      <c r="BP22" s="8">
        <f>ROUND(P22+Q22+R22+S22+X22+Y22+Z22+BK22+AF22+AG22+AH22+AI22+AN22+AO22+AP22+AQ22+AV22+AW22+AX22+AY22+BD22+BE22+BF22+BG22,2)</f>
        <v>110297.2</v>
      </c>
      <c r="BQ22" s="8">
        <f>ROUND(BO22-BP22,2)</f>
        <v>-3253.03</v>
      </c>
      <c r="BR22" s="8">
        <f>ROUND(BR21+BQ22,2)</f>
        <v>-522784.15</v>
      </c>
      <c r="BS22" s="8">
        <f>ROUND(BN22-BK22,2)</f>
        <v>-6191.16</v>
      </c>
      <c r="BT22" s="8">
        <f>ROUND(BT21+N22-O22+V22-W22+AL22-AM22,2)</f>
        <v>78356.04</v>
      </c>
      <c r="BU22" s="10">
        <f>IF(BR22&gt;=0,A22,999)</f>
        <v>999</v>
      </c>
      <c r="BV22" s="8">
        <f>ROUND(BR22+200000,2)</f>
        <v>-322784.15</v>
      </c>
    </row>
    <row r="23" spans="1:74">
      <c r="A23" s="10">
        <v>19</v>
      </c>
      <c r="B23" s="7">
        <v>620</v>
      </c>
      <c r="C23" s="7">
        <v>0</v>
      </c>
      <c r="D23" s="7">
        <v>2</v>
      </c>
      <c r="E23" s="7">
        <v>0</v>
      </c>
      <c r="F23" s="7">
        <v>2</v>
      </c>
      <c r="G23" s="10">
        <f>MAX(0,F23-F22)</f>
        <v>0</v>
      </c>
      <c r="H23" s="10">
        <f>ROUNDUP(B23/'Premissas'!$B$14,0)</f>
        <v>31000</v>
      </c>
      <c r="I23" s="8">
        <f>ROUND(B23*'Premissas'!$B$5,2)</f>
        <v>17980.0</v>
      </c>
      <c r="J23" s="8">
        <f>ROUND(I23*'Premissas'!$B$6,2)</f>
        <v>89900.0</v>
      </c>
      <c r="K23" s="8">
        <f>ROUND(J23*'Premissas'!$B$7,2)</f>
        <v>7192.0</v>
      </c>
      <c r="L23" s="8">
        <f>ROUND(J23-K23,2)</f>
        <v>82708.0</v>
      </c>
      <c r="M23" s="8">
        <f>ROUND(L23*'Premissas'!$B$8+B23*(1-'Premissas'!$B$7)*'Premissas'!$B$9*'Premissas'!$B$6,2)</f>
        <v>11040.09</v>
      </c>
      <c r="N23" s="8">
        <f>ROUND(L23-M23,2)</f>
        <v>71667.91</v>
      </c>
      <c r="O23" s="8">
        <f>IF(A23&gt;'Premissas'!$B$20,INDEX($N$5:$N$28,MAX(1,A23-'Premissas'!$B$20)),0)</f>
        <v>69356.04</v>
      </c>
      <c r="P23" s="8">
        <f>ROUND(L23*'Premissas'!$B$10,2)</f>
        <v>12406.2</v>
      </c>
      <c r="Q23" s="8">
        <f>ROUND(L23*'Premissas'!$B$11,2)</f>
        <v>2481.24</v>
      </c>
      <c r="R23" s="8">
        <f>ROUND(B23*'Premissas'!$B$12*'Premissas'!$B$6,2)</f>
        <v>31000.0</v>
      </c>
      <c r="S23" s="8">
        <f>ROUND(B23*'Premissas'!$B$13*'Premissas'!$B$6,2)</f>
        <v>3100.0</v>
      </c>
      <c r="T23" s="8">
        <f>ROUND(L23-M23-P23-Q23-R23-S23,2)</f>
        <v>22680.47</v>
      </c>
      <c r="U23" s="10">
        <f>C23*'Premissas'!$B$16</f>
        <v>0</v>
      </c>
      <c r="V23" s="8">
        <f>ROUND(C23*'Premissas'!$B$15,2)</f>
        <v>0.0</v>
      </c>
      <c r="W23" s="8">
        <f>ROUND(V23*'Premissas'!$B$19+V22*(1-'Premissas'!$B$19),2)</f>
        <v>0.0</v>
      </c>
      <c r="X23" s="8">
        <f>ROUND(U23*'Premissas'!$B$17,2)</f>
        <v>0.0</v>
      </c>
      <c r="Y23" s="8">
        <f>ROUND(V23*'Premissas'!$B$10,2)</f>
        <v>0.0</v>
      </c>
      <c r="Z23" s="8">
        <f>ROUND(W23*'Premissas'!$B$18,2)</f>
        <v>0.0</v>
      </c>
      <c r="AA23" s="8">
        <f>ROUND(V23*'Premissas'!$B$18,2)</f>
        <v>0.0</v>
      </c>
      <c r="AB23" s="8">
        <f>ROUND(V23-X23-Y23-AA23,2)</f>
        <v>0.0</v>
      </c>
      <c r="AC23" s="10">
        <f>D23*'Ofertas'!$C$5</f>
        <v>24.0</v>
      </c>
      <c r="AD23" s="8">
        <f>ROUND(D23*'Ofertas'!$B$5,2)</f>
        <v>9000.0</v>
      </c>
      <c r="AE23" s="8">
        <f>AD23</f>
        <v>9000.0</v>
      </c>
      <c r="AF23" s="8">
        <f>ROUND(AC23*'Ofertas'!$D$5,2)</f>
        <v>2880.0</v>
      </c>
      <c r="AG23" s="8">
        <f>ROUND(AD23*'Premissas'!$B$10,2)</f>
        <v>1350.0</v>
      </c>
      <c r="AH23" s="8">
        <f>ROUND(AD23*'Premissas'!$B$31,2)</f>
        <v>450.0</v>
      </c>
      <c r="AI23" s="8">
        <f>ROUND(D23*'Ofertas'!$H$5,2)</f>
        <v>320.0</v>
      </c>
      <c r="AJ23" s="8">
        <f>ROUND(AD23-AF23-AG23-AH23-AI23,2)</f>
        <v>4000.0</v>
      </c>
      <c r="AK23" s="10">
        <f>E23*'Ofertas'!$C$6</f>
        <v>0.0</v>
      </c>
      <c r="AL23" s="8">
        <f>ROUND(E23*'Ofertas'!$B$6,2)</f>
        <v>0.0</v>
      </c>
      <c r="AM23" s="8">
        <f>ROUND(AL23*'Premissas'!$B$32+AL22*(1-'Premissas'!$B$32),2)</f>
        <v>9000.0</v>
      </c>
      <c r="AN23" s="8">
        <f>ROUND(AK23*'Ofertas'!$D$6,2)</f>
        <v>0.0</v>
      </c>
      <c r="AO23" s="8">
        <f>ROUND(AL23*'Premissas'!$B$10,2)</f>
        <v>0.0</v>
      </c>
      <c r="AP23" s="8">
        <f>ROUND(AL23*'Premissas'!$B$31,2)</f>
        <v>0.0</v>
      </c>
      <c r="AQ23" s="8">
        <f>ROUND(E23*'Ofertas'!$H$6,2)</f>
        <v>0.0</v>
      </c>
      <c r="AR23" s="8">
        <f>ROUND(AL23-AN23-AO23-AP23-AQ23,2)</f>
        <v>0.0</v>
      </c>
      <c r="AS23" s="10">
        <f>F23*'Ofertas'!$C$7</f>
        <v>16.0</v>
      </c>
      <c r="AT23" s="8">
        <f>ROUND(F23*'Ofertas'!$B$7,2)</f>
        <v>7000.0</v>
      </c>
      <c r="AU23" s="8">
        <f>AT23</f>
        <v>7000.0</v>
      </c>
      <c r="AV23" s="8">
        <f>ROUND(AS23*'Ofertas'!$D$7,2)</f>
        <v>1920.0</v>
      </c>
      <c r="AW23" s="8">
        <f>ROUND(AT23*'Premissas'!$B$10,2)</f>
        <v>1050.0</v>
      </c>
      <c r="AX23" s="8">
        <f>ROUND(AT23*'Premissas'!$B$31,2)</f>
        <v>350.0</v>
      </c>
      <c r="AY23" s="8">
        <f>ROUND(F23*'Ofertas'!$H$7,2)</f>
        <v>420.0</v>
      </c>
      <c r="AZ23" s="8">
        <f>ROUND(AT23-AV23-AW23-AX23-AY23,2)</f>
        <v>3260.0</v>
      </c>
      <c r="BA23" s="10">
        <f>G23*'Ofertas'!$C$8</f>
        <v>0.0</v>
      </c>
      <c r="BB23" s="8">
        <f>ROUND(G23*'Ofertas'!$B$8,2)</f>
        <v>0.0</v>
      </c>
      <c r="BC23" s="8">
        <f>BB23</f>
        <v>0.0</v>
      </c>
      <c r="BD23" s="8">
        <f>ROUND(BA23*'Ofertas'!$D$8,2)</f>
        <v>0.0</v>
      </c>
      <c r="BE23" s="8">
        <f>ROUND(BB23*'Premissas'!$B$10,2)</f>
        <v>0.0</v>
      </c>
      <c r="BF23" s="8">
        <f>ROUND(BB23*'Premissas'!$B$31,2)</f>
        <v>0.0</v>
      </c>
      <c r="BG23" s="8">
        <f>ROUND(G23*'Ofertas'!$H$8,2)</f>
        <v>0.0</v>
      </c>
      <c r="BH23" s="8">
        <f>ROUND(BB23-BD23-BE23-BF23-BG23,2)</f>
        <v>0.0</v>
      </c>
      <c r="BI23" s="10">
        <f>U23+AC23+AK23+AS23+BA23</f>
        <v>40.0</v>
      </c>
      <c r="BJ23" s="11">
        <f>BI23/'Premissas'!$B$30</f>
        <v>0.25</v>
      </c>
      <c r="BK23" s="8">
        <f>IF(A23&lt;=12,'Premissas'!$B$24,'Premissas'!$B$25)</f>
        <v>42000</v>
      </c>
      <c r="BL23" s="8">
        <f>ROUND(J23+V23+AD23+AL23+AT23+BB23,2)</f>
        <v>105900.0</v>
      </c>
      <c r="BM23" s="8">
        <f>ROUND(L23+V23+AD23+AL23+AT23+BB23,2)</f>
        <v>98708.0</v>
      </c>
      <c r="BN23" s="8">
        <f>ROUND(T23+AB23+AJ23+AR23+AZ23+BH23,2)</f>
        <v>29940.47</v>
      </c>
      <c r="BO23" s="8">
        <f>ROUND(O23+W23+AE23+AM23+AU23+BC23,2)</f>
        <v>94356.04</v>
      </c>
      <c r="BP23" s="8">
        <f>ROUND(P23+Q23+R23+S23+X23+Y23+Z23+BK23+AF23+AG23+AH23+AI23+AN23+AO23+AP23+AQ23+AV23+AW23+AX23+AY23+BD23+BE23+BF23+BG23,2)</f>
        <v>99727.44</v>
      </c>
      <c r="BQ23" s="8">
        <f>ROUND(BO23-BP23,2)</f>
        <v>-5371.4</v>
      </c>
      <c r="BR23" s="8">
        <f>ROUND(BR22+BQ23,2)</f>
        <v>-528155.55</v>
      </c>
      <c r="BS23" s="8">
        <f>ROUND(BN23-BK23,2)</f>
        <v>-12059.53</v>
      </c>
      <c r="BT23" s="8">
        <f>ROUND(BT22+N23-O23+V23-W23+AL23-AM23,2)</f>
        <v>71667.91</v>
      </c>
      <c r="BU23" s="10">
        <f>IF(BR23&gt;=0,A23,999)</f>
        <v>999</v>
      </c>
      <c r="BV23" s="8">
        <f>ROUND(BR23+200000,2)</f>
        <v>-328155.55</v>
      </c>
    </row>
    <row r="24" spans="1:74">
      <c r="A24" s="10">
        <v>20</v>
      </c>
      <c r="B24" s="7">
        <v>640</v>
      </c>
      <c r="C24" s="7">
        <v>0</v>
      </c>
      <c r="D24" s="7">
        <v>2</v>
      </c>
      <c r="E24" s="7">
        <v>0</v>
      </c>
      <c r="F24" s="7">
        <v>2</v>
      </c>
      <c r="G24" s="10">
        <f>MAX(0,F24-F23)</f>
        <v>0</v>
      </c>
      <c r="H24" s="10">
        <f>ROUNDUP(B24/'Premissas'!$B$14,0)</f>
        <v>32000</v>
      </c>
      <c r="I24" s="8">
        <f>ROUND(B24*'Premissas'!$B$5,2)</f>
        <v>18560.0</v>
      </c>
      <c r="J24" s="8">
        <f>ROUND(I24*'Premissas'!$B$6,2)</f>
        <v>92800.0</v>
      </c>
      <c r="K24" s="8">
        <f>ROUND(J24*'Premissas'!$B$7,2)</f>
        <v>7424.0</v>
      </c>
      <c r="L24" s="8">
        <f>ROUND(J24-K24,2)</f>
        <v>85376.0</v>
      </c>
      <c r="M24" s="8">
        <f>ROUND(L24*'Premissas'!$B$8+B24*(1-'Premissas'!$B$7)*'Premissas'!$B$9*'Premissas'!$B$6,2)</f>
        <v>11396.22</v>
      </c>
      <c r="N24" s="8">
        <f>ROUND(L24-M24,2)</f>
        <v>73979.78</v>
      </c>
      <c r="O24" s="8">
        <f>IF(A24&gt;'Premissas'!$B$20,INDEX($N$5:$N$28,MAX(1,A24-'Premissas'!$B$20)),0)</f>
        <v>71667.91</v>
      </c>
      <c r="P24" s="8">
        <f>ROUND(L24*'Premissas'!$B$10,2)</f>
        <v>12806.4</v>
      </c>
      <c r="Q24" s="8">
        <f>ROUND(L24*'Premissas'!$B$11,2)</f>
        <v>2561.28</v>
      </c>
      <c r="R24" s="8">
        <f>ROUND(B24*'Premissas'!$B$12*'Premissas'!$B$6,2)</f>
        <v>32000.0</v>
      </c>
      <c r="S24" s="8">
        <f>ROUND(B24*'Premissas'!$B$13*'Premissas'!$B$6,2)</f>
        <v>3200.0</v>
      </c>
      <c r="T24" s="8">
        <f>ROUND(L24-M24-P24-Q24-R24-S24,2)</f>
        <v>23412.1</v>
      </c>
      <c r="U24" s="10">
        <f>C24*'Premissas'!$B$16</f>
        <v>0</v>
      </c>
      <c r="V24" s="8">
        <f>ROUND(C24*'Premissas'!$B$15,2)</f>
        <v>0.0</v>
      </c>
      <c r="W24" s="8">
        <f>ROUND(V24*'Premissas'!$B$19+V23*(1-'Premissas'!$B$19),2)</f>
        <v>0.0</v>
      </c>
      <c r="X24" s="8">
        <f>ROUND(U24*'Premissas'!$B$17,2)</f>
        <v>0.0</v>
      </c>
      <c r="Y24" s="8">
        <f>ROUND(V24*'Premissas'!$B$10,2)</f>
        <v>0.0</v>
      </c>
      <c r="Z24" s="8">
        <f>ROUND(W24*'Premissas'!$B$18,2)</f>
        <v>0.0</v>
      </c>
      <c r="AA24" s="8">
        <f>ROUND(V24*'Premissas'!$B$18,2)</f>
        <v>0.0</v>
      </c>
      <c r="AB24" s="8">
        <f>ROUND(V24-X24-Y24-AA24,2)</f>
        <v>0.0</v>
      </c>
      <c r="AC24" s="10">
        <f>D24*'Ofertas'!$C$5</f>
        <v>24.0</v>
      </c>
      <c r="AD24" s="8">
        <f>ROUND(D24*'Ofertas'!$B$5,2)</f>
        <v>9000.0</v>
      </c>
      <c r="AE24" s="8">
        <f>AD24</f>
        <v>9000.0</v>
      </c>
      <c r="AF24" s="8">
        <f>ROUND(AC24*'Ofertas'!$D$5,2)</f>
        <v>2880.0</v>
      </c>
      <c r="AG24" s="8">
        <f>ROUND(AD24*'Premissas'!$B$10,2)</f>
        <v>1350.0</v>
      </c>
      <c r="AH24" s="8">
        <f>ROUND(AD24*'Premissas'!$B$31,2)</f>
        <v>450.0</v>
      </c>
      <c r="AI24" s="8">
        <f>ROUND(D24*'Ofertas'!$H$5,2)</f>
        <v>320.0</v>
      </c>
      <c r="AJ24" s="8">
        <f>ROUND(AD24-AF24-AG24-AH24-AI24,2)</f>
        <v>4000.0</v>
      </c>
      <c r="AK24" s="10">
        <f>E24*'Ofertas'!$C$6</f>
        <v>0.0</v>
      </c>
      <c r="AL24" s="8">
        <f>ROUND(E24*'Ofertas'!$B$6,2)</f>
        <v>0.0</v>
      </c>
      <c r="AM24" s="8">
        <f>ROUND(AL24*'Premissas'!$B$32+AL23*(1-'Premissas'!$B$32),2)</f>
        <v>0.0</v>
      </c>
      <c r="AN24" s="8">
        <f>ROUND(AK24*'Ofertas'!$D$6,2)</f>
        <v>0.0</v>
      </c>
      <c r="AO24" s="8">
        <f>ROUND(AL24*'Premissas'!$B$10,2)</f>
        <v>0.0</v>
      </c>
      <c r="AP24" s="8">
        <f>ROUND(AL24*'Premissas'!$B$31,2)</f>
        <v>0.0</v>
      </c>
      <c r="AQ24" s="8">
        <f>ROUND(E24*'Ofertas'!$H$6,2)</f>
        <v>0.0</v>
      </c>
      <c r="AR24" s="8">
        <f>ROUND(AL24-AN24-AO24-AP24-AQ24,2)</f>
        <v>0.0</v>
      </c>
      <c r="AS24" s="10">
        <f>F24*'Ofertas'!$C$7</f>
        <v>16.0</v>
      </c>
      <c r="AT24" s="8">
        <f>ROUND(F24*'Ofertas'!$B$7,2)</f>
        <v>7000.0</v>
      </c>
      <c r="AU24" s="8">
        <f>AT24</f>
        <v>7000.0</v>
      </c>
      <c r="AV24" s="8">
        <f>ROUND(AS24*'Ofertas'!$D$7,2)</f>
        <v>1920.0</v>
      </c>
      <c r="AW24" s="8">
        <f>ROUND(AT24*'Premissas'!$B$10,2)</f>
        <v>1050.0</v>
      </c>
      <c r="AX24" s="8">
        <f>ROUND(AT24*'Premissas'!$B$31,2)</f>
        <v>350.0</v>
      </c>
      <c r="AY24" s="8">
        <f>ROUND(F24*'Ofertas'!$H$7,2)</f>
        <v>420.0</v>
      </c>
      <c r="AZ24" s="8">
        <f>ROUND(AT24-AV24-AW24-AX24-AY24,2)</f>
        <v>3260.0</v>
      </c>
      <c r="BA24" s="10">
        <f>G24*'Ofertas'!$C$8</f>
        <v>0.0</v>
      </c>
      <c r="BB24" s="8">
        <f>ROUND(G24*'Ofertas'!$B$8,2)</f>
        <v>0.0</v>
      </c>
      <c r="BC24" s="8">
        <f>BB24</f>
        <v>0.0</v>
      </c>
      <c r="BD24" s="8">
        <f>ROUND(BA24*'Ofertas'!$D$8,2)</f>
        <v>0.0</v>
      </c>
      <c r="BE24" s="8">
        <f>ROUND(BB24*'Premissas'!$B$10,2)</f>
        <v>0.0</v>
      </c>
      <c r="BF24" s="8">
        <f>ROUND(BB24*'Premissas'!$B$31,2)</f>
        <v>0.0</v>
      </c>
      <c r="BG24" s="8">
        <f>ROUND(G24*'Ofertas'!$H$8,2)</f>
        <v>0.0</v>
      </c>
      <c r="BH24" s="8">
        <f>ROUND(BB24-BD24-BE24-BF24-BG24,2)</f>
        <v>0.0</v>
      </c>
      <c r="BI24" s="10">
        <f>U24+AC24+AK24+AS24+BA24</f>
        <v>40.0</v>
      </c>
      <c r="BJ24" s="11">
        <f>BI24/'Premissas'!$B$30</f>
        <v>0.25</v>
      </c>
      <c r="BK24" s="8">
        <f>IF(A24&lt;=12,'Premissas'!$B$24,'Premissas'!$B$25)</f>
        <v>42000</v>
      </c>
      <c r="BL24" s="8">
        <f>ROUND(J24+V24+AD24+AL24+AT24+BB24,2)</f>
        <v>108800.0</v>
      </c>
      <c r="BM24" s="8">
        <f>ROUND(L24+V24+AD24+AL24+AT24+BB24,2)</f>
        <v>101376.0</v>
      </c>
      <c r="BN24" s="8">
        <f>ROUND(T24+AB24+AJ24+AR24+AZ24+BH24,2)</f>
        <v>30672.1</v>
      </c>
      <c r="BO24" s="8">
        <f>ROUND(O24+W24+AE24+AM24+AU24+BC24,2)</f>
        <v>87667.91</v>
      </c>
      <c r="BP24" s="8">
        <f>ROUND(P24+Q24+R24+S24+X24+Y24+Z24+BK24+AF24+AG24+AH24+AI24+AN24+AO24+AP24+AQ24+AV24+AW24+AX24+AY24+BD24+BE24+BF24+BG24,2)</f>
        <v>101307.68</v>
      </c>
      <c r="BQ24" s="8">
        <f>ROUND(BO24-BP24,2)</f>
        <v>-13639.77</v>
      </c>
      <c r="BR24" s="8">
        <f>ROUND(BR23+BQ24,2)</f>
        <v>-541795.32</v>
      </c>
      <c r="BS24" s="8">
        <f>ROUND(BN24-BK24,2)</f>
        <v>-11327.9</v>
      </c>
      <c r="BT24" s="8">
        <f>ROUND(BT23+N24-O24+V24-W24+AL24-AM24,2)</f>
        <v>73979.78</v>
      </c>
      <c r="BU24" s="10">
        <f>IF(BR24&gt;=0,A24,999)</f>
        <v>999</v>
      </c>
      <c r="BV24" s="8">
        <f>ROUND(BR24+200000,2)</f>
        <v>-341795.32</v>
      </c>
    </row>
    <row r="25" spans="1:74">
      <c r="A25" s="10">
        <v>21</v>
      </c>
      <c r="B25" s="7">
        <v>660</v>
      </c>
      <c r="C25" s="7">
        <v>1</v>
      </c>
      <c r="D25" s="7">
        <v>2</v>
      </c>
      <c r="E25" s="7">
        <v>1</v>
      </c>
      <c r="F25" s="7">
        <v>2</v>
      </c>
      <c r="G25" s="10">
        <f>MAX(0,F25-F24)</f>
        <v>0</v>
      </c>
      <c r="H25" s="10">
        <f>ROUNDUP(B25/'Premissas'!$B$14,0)</f>
        <v>33000</v>
      </c>
      <c r="I25" s="8">
        <f>ROUND(B25*'Premissas'!$B$5,2)</f>
        <v>19140.0</v>
      </c>
      <c r="J25" s="8">
        <f>ROUND(I25*'Premissas'!$B$6,2)</f>
        <v>95700.0</v>
      </c>
      <c r="K25" s="8">
        <f>ROUND(J25*'Premissas'!$B$7,2)</f>
        <v>7656.0</v>
      </c>
      <c r="L25" s="8">
        <f>ROUND(J25-K25,2)</f>
        <v>88044.0</v>
      </c>
      <c r="M25" s="8">
        <f>ROUND(L25*'Premissas'!$B$8+B25*(1-'Premissas'!$B$7)*'Premissas'!$B$9*'Premissas'!$B$6,2)</f>
        <v>11752.36</v>
      </c>
      <c r="N25" s="8">
        <f>ROUND(L25-M25,2)</f>
        <v>76291.64</v>
      </c>
      <c r="O25" s="8">
        <f>IF(A25&gt;'Premissas'!$B$20,INDEX($N$5:$N$28,MAX(1,A25-'Premissas'!$B$20)),0)</f>
        <v>73979.78</v>
      </c>
      <c r="P25" s="8">
        <f>ROUND(L25*'Premissas'!$B$10,2)</f>
        <v>13206.6</v>
      </c>
      <c r="Q25" s="8">
        <f>ROUND(L25*'Premissas'!$B$11,2)</f>
        <v>2641.32</v>
      </c>
      <c r="R25" s="8">
        <f>ROUND(B25*'Premissas'!$B$12*'Premissas'!$B$6,2)</f>
        <v>33000.0</v>
      </c>
      <c r="S25" s="8">
        <f>ROUND(B25*'Premissas'!$B$13*'Premissas'!$B$6,2)</f>
        <v>3300.0</v>
      </c>
      <c r="T25" s="8">
        <f>ROUND(L25-M25-P25-Q25-R25-S25,2)</f>
        <v>24143.72</v>
      </c>
      <c r="U25" s="10">
        <f>C25*'Premissas'!$B$16</f>
        <v>80</v>
      </c>
      <c r="V25" s="8">
        <f>ROUND(C25*'Premissas'!$B$15,2)</f>
        <v>30000.0</v>
      </c>
      <c r="W25" s="8">
        <f>ROUND(V25*'Premissas'!$B$19+V24*(1-'Premissas'!$B$19),2)</f>
        <v>15000.0</v>
      </c>
      <c r="X25" s="8">
        <f>ROUND(U25*'Premissas'!$B$17,2)</f>
        <v>14400.0</v>
      </c>
      <c r="Y25" s="8">
        <f>ROUND(V25*'Premissas'!$B$10,2)</f>
        <v>4500.0</v>
      </c>
      <c r="Z25" s="8">
        <f>ROUND(W25*'Premissas'!$B$18,2)</f>
        <v>750.0</v>
      </c>
      <c r="AA25" s="8">
        <f>ROUND(V25*'Premissas'!$B$18,2)</f>
        <v>1500.0</v>
      </c>
      <c r="AB25" s="8">
        <f>ROUND(V25-X25-Y25-AA25,2)</f>
        <v>9600.0</v>
      </c>
      <c r="AC25" s="10">
        <f>D25*'Ofertas'!$C$5</f>
        <v>24.0</v>
      </c>
      <c r="AD25" s="8">
        <f>ROUND(D25*'Ofertas'!$B$5,2)</f>
        <v>9000.0</v>
      </c>
      <c r="AE25" s="8">
        <f>AD25</f>
        <v>9000.0</v>
      </c>
      <c r="AF25" s="8">
        <f>ROUND(AC25*'Ofertas'!$D$5,2)</f>
        <v>2880.0</v>
      </c>
      <c r="AG25" s="8">
        <f>ROUND(AD25*'Premissas'!$B$10,2)</f>
        <v>1350.0</v>
      </c>
      <c r="AH25" s="8">
        <f>ROUND(AD25*'Premissas'!$B$31,2)</f>
        <v>450.0</v>
      </c>
      <c r="AI25" s="8">
        <f>ROUND(D25*'Ofertas'!$H$5,2)</f>
        <v>320.0</v>
      </c>
      <c r="AJ25" s="8">
        <f>ROUND(AD25-AF25-AG25-AH25-AI25,2)</f>
        <v>4000.0</v>
      </c>
      <c r="AK25" s="10">
        <f>E25*'Ofertas'!$C$6</f>
        <v>40.0</v>
      </c>
      <c r="AL25" s="8">
        <f>ROUND(E25*'Ofertas'!$B$6,2)</f>
        <v>18000.0</v>
      </c>
      <c r="AM25" s="8">
        <f>ROUND(AL25*'Premissas'!$B$32+AL24*(1-'Premissas'!$B$32),2)</f>
        <v>9000.0</v>
      </c>
      <c r="AN25" s="8">
        <f>ROUND(AK25*'Ofertas'!$D$6,2)</f>
        <v>7200.0</v>
      </c>
      <c r="AO25" s="8">
        <f>ROUND(AL25*'Premissas'!$B$10,2)</f>
        <v>2700.0</v>
      </c>
      <c r="AP25" s="8">
        <f>ROUND(AL25*'Premissas'!$B$31,2)</f>
        <v>900.0</v>
      </c>
      <c r="AQ25" s="8">
        <f>ROUND(E25*'Ofertas'!$H$6,2)</f>
        <v>600.0</v>
      </c>
      <c r="AR25" s="8">
        <f>ROUND(AL25-AN25-AO25-AP25-AQ25,2)</f>
        <v>6600.0</v>
      </c>
      <c r="AS25" s="10">
        <f>F25*'Ofertas'!$C$7</f>
        <v>16.0</v>
      </c>
      <c r="AT25" s="8">
        <f>ROUND(F25*'Ofertas'!$B$7,2)</f>
        <v>7000.0</v>
      </c>
      <c r="AU25" s="8">
        <f>AT25</f>
        <v>7000.0</v>
      </c>
      <c r="AV25" s="8">
        <f>ROUND(AS25*'Ofertas'!$D$7,2)</f>
        <v>1920.0</v>
      </c>
      <c r="AW25" s="8">
        <f>ROUND(AT25*'Premissas'!$B$10,2)</f>
        <v>1050.0</v>
      </c>
      <c r="AX25" s="8">
        <f>ROUND(AT25*'Premissas'!$B$31,2)</f>
        <v>350.0</v>
      </c>
      <c r="AY25" s="8">
        <f>ROUND(F25*'Ofertas'!$H$7,2)</f>
        <v>420.0</v>
      </c>
      <c r="AZ25" s="8">
        <f>ROUND(AT25-AV25-AW25-AX25-AY25,2)</f>
        <v>3260.0</v>
      </c>
      <c r="BA25" s="10">
        <f>G25*'Ofertas'!$C$8</f>
        <v>0.0</v>
      </c>
      <c r="BB25" s="8">
        <f>ROUND(G25*'Ofertas'!$B$8,2)</f>
        <v>0.0</v>
      </c>
      <c r="BC25" s="8">
        <f>BB25</f>
        <v>0.0</v>
      </c>
      <c r="BD25" s="8">
        <f>ROUND(BA25*'Ofertas'!$D$8,2)</f>
        <v>0.0</v>
      </c>
      <c r="BE25" s="8">
        <f>ROUND(BB25*'Premissas'!$B$10,2)</f>
        <v>0.0</v>
      </c>
      <c r="BF25" s="8">
        <f>ROUND(BB25*'Premissas'!$B$31,2)</f>
        <v>0.0</v>
      </c>
      <c r="BG25" s="8">
        <f>ROUND(G25*'Ofertas'!$H$8,2)</f>
        <v>0.0</v>
      </c>
      <c r="BH25" s="8">
        <f>ROUND(BB25-BD25-BE25-BF25-BG25,2)</f>
        <v>0.0</v>
      </c>
      <c r="BI25" s="10">
        <f>U25+AC25+AK25+AS25+BA25</f>
        <v>160.0</v>
      </c>
      <c r="BJ25" s="11">
        <f>BI25/'Premissas'!$B$30</f>
        <v>1.0</v>
      </c>
      <c r="BK25" s="8">
        <f>IF(A25&lt;=12,'Premissas'!$B$24,'Premissas'!$B$25)</f>
        <v>42000</v>
      </c>
      <c r="BL25" s="8">
        <f>ROUND(J25+V25+AD25+AL25+AT25+BB25,2)</f>
        <v>159700.0</v>
      </c>
      <c r="BM25" s="8">
        <f>ROUND(L25+V25+AD25+AL25+AT25+BB25,2)</f>
        <v>152044.0</v>
      </c>
      <c r="BN25" s="8">
        <f>ROUND(T25+AB25+AJ25+AR25+AZ25+BH25,2)</f>
        <v>47603.72</v>
      </c>
      <c r="BO25" s="8">
        <f>ROUND(O25+W25+AE25+AM25+AU25+BC25,2)</f>
        <v>113979.78</v>
      </c>
      <c r="BP25" s="8">
        <f>ROUND(P25+Q25+R25+S25+X25+Y25+Z25+BK25+AF25+AG25+AH25+AI25+AN25+AO25+AP25+AQ25+AV25+AW25+AX25+AY25+BD25+BE25+BF25+BG25,2)</f>
        <v>133937.92</v>
      </c>
      <c r="BQ25" s="8">
        <f>ROUND(BO25-BP25,2)</f>
        <v>-19958.14</v>
      </c>
      <c r="BR25" s="8">
        <f>ROUND(BR24+BQ25,2)</f>
        <v>-561753.46</v>
      </c>
      <c r="BS25" s="8">
        <f>ROUND(BN25-BK25,2)</f>
        <v>5603.72</v>
      </c>
      <c r="BT25" s="8">
        <f>ROUND(BT24+N25-O25+V25-W25+AL25-AM25,2)</f>
        <v>100291.64</v>
      </c>
      <c r="BU25" s="10">
        <f>IF(BR25&gt;=0,A25,999)</f>
        <v>999</v>
      </c>
      <c r="BV25" s="8">
        <f>ROUND(BR25+200000,2)</f>
        <v>-361753.46</v>
      </c>
    </row>
    <row r="26" spans="1:74">
      <c r="A26" s="10">
        <v>22</v>
      </c>
      <c r="B26" s="7">
        <v>680</v>
      </c>
      <c r="C26" s="7">
        <v>0</v>
      </c>
      <c r="D26" s="7">
        <v>2</v>
      </c>
      <c r="E26" s="7">
        <v>0</v>
      </c>
      <c r="F26" s="7">
        <v>2</v>
      </c>
      <c r="G26" s="10">
        <f>MAX(0,F26-F25)</f>
        <v>0</v>
      </c>
      <c r="H26" s="10">
        <f>ROUNDUP(B26/'Premissas'!$B$14,0)</f>
        <v>34000</v>
      </c>
      <c r="I26" s="8">
        <f>ROUND(B26*'Premissas'!$B$5,2)</f>
        <v>19720.0</v>
      </c>
      <c r="J26" s="8">
        <f>ROUND(I26*'Premissas'!$B$6,2)</f>
        <v>98600.0</v>
      </c>
      <c r="K26" s="8">
        <f>ROUND(J26*'Premissas'!$B$7,2)</f>
        <v>7888.0</v>
      </c>
      <c r="L26" s="8">
        <f>ROUND(J26-K26,2)</f>
        <v>90712.0</v>
      </c>
      <c r="M26" s="8">
        <f>ROUND(L26*'Premissas'!$B$8+B26*(1-'Premissas'!$B$7)*'Premissas'!$B$9*'Premissas'!$B$6,2)</f>
        <v>12108.49</v>
      </c>
      <c r="N26" s="8">
        <f>ROUND(L26-M26,2)</f>
        <v>78603.51</v>
      </c>
      <c r="O26" s="8">
        <f>IF(A26&gt;'Premissas'!$B$20,INDEX($N$5:$N$28,MAX(1,A26-'Premissas'!$B$20)),0)</f>
        <v>76291.64</v>
      </c>
      <c r="P26" s="8">
        <f>ROUND(L26*'Premissas'!$B$10,2)</f>
        <v>13606.8</v>
      </c>
      <c r="Q26" s="8">
        <f>ROUND(L26*'Premissas'!$B$11,2)</f>
        <v>2721.36</v>
      </c>
      <c r="R26" s="8">
        <f>ROUND(B26*'Premissas'!$B$12*'Premissas'!$B$6,2)</f>
        <v>34000.0</v>
      </c>
      <c r="S26" s="8">
        <f>ROUND(B26*'Premissas'!$B$13*'Premissas'!$B$6,2)</f>
        <v>3400.0</v>
      </c>
      <c r="T26" s="8">
        <f>ROUND(L26-M26-P26-Q26-R26-S26,2)</f>
        <v>24875.35</v>
      </c>
      <c r="U26" s="10">
        <f>C26*'Premissas'!$B$16</f>
        <v>0</v>
      </c>
      <c r="V26" s="8">
        <f>ROUND(C26*'Premissas'!$B$15,2)</f>
        <v>0.0</v>
      </c>
      <c r="W26" s="8">
        <f>ROUND(V26*'Premissas'!$B$19+V25*(1-'Premissas'!$B$19),2)</f>
        <v>15000.0</v>
      </c>
      <c r="X26" s="8">
        <f>ROUND(U26*'Premissas'!$B$17,2)</f>
        <v>0.0</v>
      </c>
      <c r="Y26" s="8">
        <f>ROUND(V26*'Premissas'!$B$10,2)</f>
        <v>0.0</v>
      </c>
      <c r="Z26" s="8">
        <f>ROUND(W26*'Premissas'!$B$18,2)</f>
        <v>750.0</v>
      </c>
      <c r="AA26" s="8">
        <f>ROUND(V26*'Premissas'!$B$18,2)</f>
        <v>0.0</v>
      </c>
      <c r="AB26" s="8">
        <f>ROUND(V26-X26-Y26-AA26,2)</f>
        <v>0.0</v>
      </c>
      <c r="AC26" s="10">
        <f>D26*'Ofertas'!$C$5</f>
        <v>24.0</v>
      </c>
      <c r="AD26" s="8">
        <f>ROUND(D26*'Ofertas'!$B$5,2)</f>
        <v>9000.0</v>
      </c>
      <c r="AE26" s="8">
        <f>AD26</f>
        <v>9000.0</v>
      </c>
      <c r="AF26" s="8">
        <f>ROUND(AC26*'Ofertas'!$D$5,2)</f>
        <v>2880.0</v>
      </c>
      <c r="AG26" s="8">
        <f>ROUND(AD26*'Premissas'!$B$10,2)</f>
        <v>1350.0</v>
      </c>
      <c r="AH26" s="8">
        <f>ROUND(AD26*'Premissas'!$B$31,2)</f>
        <v>450.0</v>
      </c>
      <c r="AI26" s="8">
        <f>ROUND(D26*'Ofertas'!$H$5,2)</f>
        <v>320.0</v>
      </c>
      <c r="AJ26" s="8">
        <f>ROUND(AD26-AF26-AG26-AH26-AI26,2)</f>
        <v>4000.0</v>
      </c>
      <c r="AK26" s="10">
        <f>E26*'Ofertas'!$C$6</f>
        <v>0.0</v>
      </c>
      <c r="AL26" s="8">
        <f>ROUND(E26*'Ofertas'!$B$6,2)</f>
        <v>0.0</v>
      </c>
      <c r="AM26" s="8">
        <f>ROUND(AL26*'Premissas'!$B$32+AL25*(1-'Premissas'!$B$32),2)</f>
        <v>9000.0</v>
      </c>
      <c r="AN26" s="8">
        <f>ROUND(AK26*'Ofertas'!$D$6,2)</f>
        <v>0.0</v>
      </c>
      <c r="AO26" s="8">
        <f>ROUND(AL26*'Premissas'!$B$10,2)</f>
        <v>0.0</v>
      </c>
      <c r="AP26" s="8">
        <f>ROUND(AL26*'Premissas'!$B$31,2)</f>
        <v>0.0</v>
      </c>
      <c r="AQ26" s="8">
        <f>ROUND(E26*'Ofertas'!$H$6,2)</f>
        <v>0.0</v>
      </c>
      <c r="AR26" s="8">
        <f>ROUND(AL26-AN26-AO26-AP26-AQ26,2)</f>
        <v>0.0</v>
      </c>
      <c r="AS26" s="10">
        <f>F26*'Ofertas'!$C$7</f>
        <v>16.0</v>
      </c>
      <c r="AT26" s="8">
        <f>ROUND(F26*'Ofertas'!$B$7,2)</f>
        <v>7000.0</v>
      </c>
      <c r="AU26" s="8">
        <f>AT26</f>
        <v>7000.0</v>
      </c>
      <c r="AV26" s="8">
        <f>ROUND(AS26*'Ofertas'!$D$7,2)</f>
        <v>1920.0</v>
      </c>
      <c r="AW26" s="8">
        <f>ROUND(AT26*'Premissas'!$B$10,2)</f>
        <v>1050.0</v>
      </c>
      <c r="AX26" s="8">
        <f>ROUND(AT26*'Premissas'!$B$31,2)</f>
        <v>350.0</v>
      </c>
      <c r="AY26" s="8">
        <f>ROUND(F26*'Ofertas'!$H$7,2)</f>
        <v>420.0</v>
      </c>
      <c r="AZ26" s="8">
        <f>ROUND(AT26-AV26-AW26-AX26-AY26,2)</f>
        <v>3260.0</v>
      </c>
      <c r="BA26" s="10">
        <f>G26*'Ofertas'!$C$8</f>
        <v>0.0</v>
      </c>
      <c r="BB26" s="8">
        <f>ROUND(G26*'Ofertas'!$B$8,2)</f>
        <v>0.0</v>
      </c>
      <c r="BC26" s="8">
        <f>BB26</f>
        <v>0.0</v>
      </c>
      <c r="BD26" s="8">
        <f>ROUND(BA26*'Ofertas'!$D$8,2)</f>
        <v>0.0</v>
      </c>
      <c r="BE26" s="8">
        <f>ROUND(BB26*'Premissas'!$B$10,2)</f>
        <v>0.0</v>
      </c>
      <c r="BF26" s="8">
        <f>ROUND(BB26*'Premissas'!$B$31,2)</f>
        <v>0.0</v>
      </c>
      <c r="BG26" s="8">
        <f>ROUND(G26*'Ofertas'!$H$8,2)</f>
        <v>0.0</v>
      </c>
      <c r="BH26" s="8">
        <f>ROUND(BB26-BD26-BE26-BF26-BG26,2)</f>
        <v>0.0</v>
      </c>
      <c r="BI26" s="10">
        <f>U26+AC26+AK26+AS26+BA26</f>
        <v>40.0</v>
      </c>
      <c r="BJ26" s="11">
        <f>BI26/'Premissas'!$B$30</f>
        <v>0.25</v>
      </c>
      <c r="BK26" s="8">
        <f>IF(A26&lt;=12,'Premissas'!$B$24,'Premissas'!$B$25)</f>
        <v>42000</v>
      </c>
      <c r="BL26" s="8">
        <f>ROUND(J26+V26+AD26+AL26+AT26+BB26,2)</f>
        <v>114600.0</v>
      </c>
      <c r="BM26" s="8">
        <f>ROUND(L26+V26+AD26+AL26+AT26+BB26,2)</f>
        <v>106712.0</v>
      </c>
      <c r="BN26" s="8">
        <f>ROUND(T26+AB26+AJ26+AR26+AZ26+BH26,2)</f>
        <v>32135.35</v>
      </c>
      <c r="BO26" s="8">
        <f>ROUND(O26+W26+AE26+AM26+AU26+BC26,2)</f>
        <v>116291.64</v>
      </c>
      <c r="BP26" s="8">
        <f>ROUND(P26+Q26+R26+S26+X26+Y26+Z26+BK26+AF26+AG26+AH26+AI26+AN26+AO26+AP26+AQ26+AV26+AW26+AX26+AY26+BD26+BE26+BF26+BG26,2)</f>
        <v>105218.16</v>
      </c>
      <c r="BQ26" s="8">
        <f>ROUND(BO26-BP26,2)</f>
        <v>11073.48</v>
      </c>
      <c r="BR26" s="8">
        <f>ROUND(BR25+BQ26,2)</f>
        <v>-550679.98</v>
      </c>
      <c r="BS26" s="8">
        <f>ROUND(BN26-BK26,2)</f>
        <v>-9864.65</v>
      </c>
      <c r="BT26" s="8">
        <f>ROUND(BT25+N26-O26+V26-W26+AL26-AM26,2)</f>
        <v>78603.51</v>
      </c>
      <c r="BU26" s="10">
        <f>IF(BR26&gt;=0,A26,999)</f>
        <v>999</v>
      </c>
      <c r="BV26" s="8">
        <f>ROUND(BR26+200000,2)</f>
        <v>-350679.98</v>
      </c>
    </row>
    <row r="27" spans="1:74">
      <c r="A27" s="10">
        <v>23</v>
      </c>
      <c r="B27" s="7">
        <v>700</v>
      </c>
      <c r="C27" s="7">
        <v>0</v>
      </c>
      <c r="D27" s="7">
        <v>2</v>
      </c>
      <c r="E27" s="7">
        <v>0</v>
      </c>
      <c r="F27" s="7">
        <v>2</v>
      </c>
      <c r="G27" s="10">
        <f>MAX(0,F27-F26)</f>
        <v>0</v>
      </c>
      <c r="H27" s="10">
        <f>ROUNDUP(B27/'Premissas'!$B$14,0)</f>
        <v>35000</v>
      </c>
      <c r="I27" s="8">
        <f>ROUND(B27*'Premissas'!$B$5,2)</f>
        <v>20300.0</v>
      </c>
      <c r="J27" s="8">
        <f>ROUND(I27*'Premissas'!$B$6,2)</f>
        <v>101500.0</v>
      </c>
      <c r="K27" s="8">
        <f>ROUND(J27*'Premissas'!$B$7,2)</f>
        <v>8120.0</v>
      </c>
      <c r="L27" s="8">
        <f>ROUND(J27-K27,2)</f>
        <v>93380.0</v>
      </c>
      <c r="M27" s="8">
        <f>ROUND(L27*'Premissas'!$B$8+B27*(1-'Premissas'!$B$7)*'Premissas'!$B$9*'Premissas'!$B$6,2)</f>
        <v>12464.62</v>
      </c>
      <c r="N27" s="8">
        <f>ROUND(L27-M27,2)</f>
        <v>80915.38</v>
      </c>
      <c r="O27" s="8">
        <f>IF(A27&gt;'Premissas'!$B$20,INDEX($N$5:$N$28,MAX(1,A27-'Premissas'!$B$20)),0)</f>
        <v>78603.51</v>
      </c>
      <c r="P27" s="8">
        <f>ROUND(L27*'Premissas'!$B$10,2)</f>
        <v>14007.0</v>
      </c>
      <c r="Q27" s="8">
        <f>ROUND(L27*'Premissas'!$B$11,2)</f>
        <v>2801.4</v>
      </c>
      <c r="R27" s="8">
        <f>ROUND(B27*'Premissas'!$B$12*'Premissas'!$B$6,2)</f>
        <v>35000.0</v>
      </c>
      <c r="S27" s="8">
        <f>ROUND(B27*'Premissas'!$B$13*'Premissas'!$B$6,2)</f>
        <v>3500.0</v>
      </c>
      <c r="T27" s="8">
        <f>ROUND(L27-M27-P27-Q27-R27-S27,2)</f>
        <v>25606.98</v>
      </c>
      <c r="U27" s="10">
        <f>C27*'Premissas'!$B$16</f>
        <v>0</v>
      </c>
      <c r="V27" s="8">
        <f>ROUND(C27*'Premissas'!$B$15,2)</f>
        <v>0.0</v>
      </c>
      <c r="W27" s="8">
        <f>ROUND(V27*'Premissas'!$B$19+V26*(1-'Premissas'!$B$19),2)</f>
        <v>0.0</v>
      </c>
      <c r="X27" s="8">
        <f>ROUND(U27*'Premissas'!$B$17,2)</f>
        <v>0.0</v>
      </c>
      <c r="Y27" s="8">
        <f>ROUND(V27*'Premissas'!$B$10,2)</f>
        <v>0.0</v>
      </c>
      <c r="Z27" s="8">
        <f>ROUND(W27*'Premissas'!$B$18,2)</f>
        <v>0.0</v>
      </c>
      <c r="AA27" s="8">
        <f>ROUND(V27*'Premissas'!$B$18,2)</f>
        <v>0.0</v>
      </c>
      <c r="AB27" s="8">
        <f>ROUND(V27-X27-Y27-AA27,2)</f>
        <v>0.0</v>
      </c>
      <c r="AC27" s="10">
        <f>D27*'Ofertas'!$C$5</f>
        <v>24.0</v>
      </c>
      <c r="AD27" s="8">
        <f>ROUND(D27*'Ofertas'!$B$5,2)</f>
        <v>9000.0</v>
      </c>
      <c r="AE27" s="8">
        <f>AD27</f>
        <v>9000.0</v>
      </c>
      <c r="AF27" s="8">
        <f>ROUND(AC27*'Ofertas'!$D$5,2)</f>
        <v>2880.0</v>
      </c>
      <c r="AG27" s="8">
        <f>ROUND(AD27*'Premissas'!$B$10,2)</f>
        <v>1350.0</v>
      </c>
      <c r="AH27" s="8">
        <f>ROUND(AD27*'Premissas'!$B$31,2)</f>
        <v>450.0</v>
      </c>
      <c r="AI27" s="8">
        <f>ROUND(D27*'Ofertas'!$H$5,2)</f>
        <v>320.0</v>
      </c>
      <c r="AJ27" s="8">
        <f>ROUND(AD27-AF27-AG27-AH27-AI27,2)</f>
        <v>4000.0</v>
      </c>
      <c r="AK27" s="10">
        <f>E27*'Ofertas'!$C$6</f>
        <v>0.0</v>
      </c>
      <c r="AL27" s="8">
        <f>ROUND(E27*'Ofertas'!$B$6,2)</f>
        <v>0.0</v>
      </c>
      <c r="AM27" s="8">
        <f>ROUND(AL27*'Premissas'!$B$32+AL26*(1-'Premissas'!$B$32),2)</f>
        <v>0.0</v>
      </c>
      <c r="AN27" s="8">
        <f>ROUND(AK27*'Ofertas'!$D$6,2)</f>
        <v>0.0</v>
      </c>
      <c r="AO27" s="8">
        <f>ROUND(AL27*'Premissas'!$B$10,2)</f>
        <v>0.0</v>
      </c>
      <c r="AP27" s="8">
        <f>ROUND(AL27*'Premissas'!$B$31,2)</f>
        <v>0.0</v>
      </c>
      <c r="AQ27" s="8">
        <f>ROUND(E27*'Ofertas'!$H$6,2)</f>
        <v>0.0</v>
      </c>
      <c r="AR27" s="8">
        <f>ROUND(AL27-AN27-AO27-AP27-AQ27,2)</f>
        <v>0.0</v>
      </c>
      <c r="AS27" s="10">
        <f>F27*'Ofertas'!$C$7</f>
        <v>16.0</v>
      </c>
      <c r="AT27" s="8">
        <f>ROUND(F27*'Ofertas'!$B$7,2)</f>
        <v>7000.0</v>
      </c>
      <c r="AU27" s="8">
        <f>AT27</f>
        <v>7000.0</v>
      </c>
      <c r="AV27" s="8">
        <f>ROUND(AS27*'Ofertas'!$D$7,2)</f>
        <v>1920.0</v>
      </c>
      <c r="AW27" s="8">
        <f>ROUND(AT27*'Premissas'!$B$10,2)</f>
        <v>1050.0</v>
      </c>
      <c r="AX27" s="8">
        <f>ROUND(AT27*'Premissas'!$B$31,2)</f>
        <v>350.0</v>
      </c>
      <c r="AY27" s="8">
        <f>ROUND(F27*'Ofertas'!$H$7,2)</f>
        <v>420.0</v>
      </c>
      <c r="AZ27" s="8">
        <f>ROUND(AT27-AV27-AW27-AX27-AY27,2)</f>
        <v>3260.0</v>
      </c>
      <c r="BA27" s="10">
        <f>G27*'Ofertas'!$C$8</f>
        <v>0.0</v>
      </c>
      <c r="BB27" s="8">
        <f>ROUND(G27*'Ofertas'!$B$8,2)</f>
        <v>0.0</v>
      </c>
      <c r="BC27" s="8">
        <f>BB27</f>
        <v>0.0</v>
      </c>
      <c r="BD27" s="8">
        <f>ROUND(BA27*'Ofertas'!$D$8,2)</f>
        <v>0.0</v>
      </c>
      <c r="BE27" s="8">
        <f>ROUND(BB27*'Premissas'!$B$10,2)</f>
        <v>0.0</v>
      </c>
      <c r="BF27" s="8">
        <f>ROUND(BB27*'Premissas'!$B$31,2)</f>
        <v>0.0</v>
      </c>
      <c r="BG27" s="8">
        <f>ROUND(G27*'Ofertas'!$H$8,2)</f>
        <v>0.0</v>
      </c>
      <c r="BH27" s="8">
        <f>ROUND(BB27-BD27-BE27-BF27-BG27,2)</f>
        <v>0.0</v>
      </c>
      <c r="BI27" s="10">
        <f>U27+AC27+AK27+AS27+BA27</f>
        <v>40.0</v>
      </c>
      <c r="BJ27" s="11">
        <f>BI27/'Premissas'!$B$30</f>
        <v>0.25</v>
      </c>
      <c r="BK27" s="8">
        <f>IF(A27&lt;=12,'Premissas'!$B$24,'Premissas'!$B$25)</f>
        <v>42000</v>
      </c>
      <c r="BL27" s="8">
        <f>ROUND(J27+V27+AD27+AL27+AT27+BB27,2)</f>
        <v>117500.0</v>
      </c>
      <c r="BM27" s="8">
        <f>ROUND(L27+V27+AD27+AL27+AT27+BB27,2)</f>
        <v>109380.0</v>
      </c>
      <c r="BN27" s="8">
        <f>ROUND(T27+AB27+AJ27+AR27+AZ27+BH27,2)</f>
        <v>32866.98</v>
      </c>
      <c r="BO27" s="8">
        <f>ROUND(O27+W27+AE27+AM27+AU27+BC27,2)</f>
        <v>94603.51</v>
      </c>
      <c r="BP27" s="8">
        <f>ROUND(P27+Q27+R27+S27+X27+Y27+Z27+BK27+AF27+AG27+AH27+AI27+AN27+AO27+AP27+AQ27+AV27+AW27+AX27+AY27+BD27+BE27+BF27+BG27,2)</f>
        <v>106048.4</v>
      </c>
      <c r="BQ27" s="8">
        <f>ROUND(BO27-BP27,2)</f>
        <v>-11444.89</v>
      </c>
      <c r="BR27" s="8">
        <f>ROUND(BR26+BQ27,2)</f>
        <v>-562124.87</v>
      </c>
      <c r="BS27" s="8">
        <f>ROUND(BN27-BK27,2)</f>
        <v>-9133.02</v>
      </c>
      <c r="BT27" s="8">
        <f>ROUND(BT26+N27-O27+V27-W27+AL27-AM27,2)</f>
        <v>80915.38</v>
      </c>
      <c r="BU27" s="10">
        <f>IF(BR27&gt;=0,A27,999)</f>
        <v>999</v>
      </c>
      <c r="BV27" s="8">
        <f>ROUND(BR27+200000,2)</f>
        <v>-362124.87</v>
      </c>
    </row>
    <row r="28" spans="1:74">
      <c r="A28" s="10">
        <v>24</v>
      </c>
      <c r="B28" s="7">
        <v>750</v>
      </c>
      <c r="C28" s="7">
        <v>0</v>
      </c>
      <c r="D28" s="7">
        <v>2</v>
      </c>
      <c r="E28" s="7">
        <v>1</v>
      </c>
      <c r="F28" s="7">
        <v>2</v>
      </c>
      <c r="G28" s="10">
        <f>MAX(0,F28-F27)</f>
        <v>0</v>
      </c>
      <c r="H28" s="10">
        <f>ROUNDUP(B28/'Premissas'!$B$14,0)</f>
        <v>37500</v>
      </c>
      <c r="I28" s="8">
        <f>ROUND(B28*'Premissas'!$B$5,2)</f>
        <v>21750.0</v>
      </c>
      <c r="J28" s="8">
        <f>ROUND(I28*'Premissas'!$B$6,2)</f>
        <v>108750.0</v>
      </c>
      <c r="K28" s="8">
        <f>ROUND(J28*'Premissas'!$B$7,2)</f>
        <v>8700.0</v>
      </c>
      <c r="L28" s="8">
        <f>ROUND(J28-K28,2)</f>
        <v>100050.0</v>
      </c>
      <c r="M28" s="8">
        <f>ROUND(L28*'Premissas'!$B$8+B28*(1-'Premissas'!$B$7)*'Premissas'!$B$9*'Premissas'!$B$6,2)</f>
        <v>13354.95</v>
      </c>
      <c r="N28" s="8">
        <f>ROUND(L28-M28,2)</f>
        <v>86695.05</v>
      </c>
      <c r="O28" s="8">
        <f>IF(A28&gt;'Premissas'!$B$20,INDEX($N$5:$N$28,MAX(1,A28-'Premissas'!$B$20)),0)</f>
        <v>80915.38</v>
      </c>
      <c r="P28" s="8">
        <f>ROUND(L28*'Premissas'!$B$10,2)</f>
        <v>15007.5</v>
      </c>
      <c r="Q28" s="8">
        <f>ROUND(L28*'Premissas'!$B$11,2)</f>
        <v>3001.5</v>
      </c>
      <c r="R28" s="8">
        <f>ROUND(B28*'Premissas'!$B$12*'Premissas'!$B$6,2)</f>
        <v>37500.0</v>
      </c>
      <c r="S28" s="8">
        <f>ROUND(B28*'Premissas'!$B$13*'Premissas'!$B$6,2)</f>
        <v>3750.0</v>
      </c>
      <c r="T28" s="8">
        <f>ROUND(L28-M28-P28-Q28-R28-S28,2)</f>
        <v>27436.05</v>
      </c>
      <c r="U28" s="10">
        <f>C28*'Premissas'!$B$16</f>
        <v>0</v>
      </c>
      <c r="V28" s="8">
        <f>ROUND(C28*'Premissas'!$B$15,2)</f>
        <v>0.0</v>
      </c>
      <c r="W28" s="8">
        <f>ROUND(V28*'Premissas'!$B$19+V27*(1-'Premissas'!$B$19),2)</f>
        <v>0.0</v>
      </c>
      <c r="X28" s="8">
        <f>ROUND(U28*'Premissas'!$B$17,2)</f>
        <v>0.0</v>
      </c>
      <c r="Y28" s="8">
        <f>ROUND(V28*'Premissas'!$B$10,2)</f>
        <v>0.0</v>
      </c>
      <c r="Z28" s="8">
        <f>ROUND(W28*'Premissas'!$B$18,2)</f>
        <v>0.0</v>
      </c>
      <c r="AA28" s="8">
        <f>ROUND(V28*'Premissas'!$B$18,2)</f>
        <v>0.0</v>
      </c>
      <c r="AB28" s="8">
        <f>ROUND(V28-X28-Y28-AA28,2)</f>
        <v>0.0</v>
      </c>
      <c r="AC28" s="10">
        <f>D28*'Ofertas'!$C$5</f>
        <v>24.0</v>
      </c>
      <c r="AD28" s="8">
        <f>ROUND(D28*'Ofertas'!$B$5,2)</f>
        <v>9000.0</v>
      </c>
      <c r="AE28" s="8">
        <f>AD28</f>
        <v>9000.0</v>
      </c>
      <c r="AF28" s="8">
        <f>ROUND(AC28*'Ofertas'!$D$5,2)</f>
        <v>2880.0</v>
      </c>
      <c r="AG28" s="8">
        <f>ROUND(AD28*'Premissas'!$B$10,2)</f>
        <v>1350.0</v>
      </c>
      <c r="AH28" s="8">
        <f>ROUND(AD28*'Premissas'!$B$31,2)</f>
        <v>450.0</v>
      </c>
      <c r="AI28" s="8">
        <f>ROUND(D28*'Ofertas'!$H$5,2)</f>
        <v>320.0</v>
      </c>
      <c r="AJ28" s="8">
        <f>ROUND(AD28-AF28-AG28-AH28-AI28,2)</f>
        <v>4000.0</v>
      </c>
      <c r="AK28" s="10">
        <f>E28*'Ofertas'!$C$6</f>
        <v>40.0</v>
      </c>
      <c r="AL28" s="8">
        <f>ROUND(E28*'Ofertas'!$B$6,2)</f>
        <v>18000.0</v>
      </c>
      <c r="AM28" s="8">
        <f>ROUND(AL28*'Premissas'!$B$32+AL27*(1-'Premissas'!$B$32),2)</f>
        <v>9000.0</v>
      </c>
      <c r="AN28" s="8">
        <f>ROUND(AK28*'Ofertas'!$D$6,2)</f>
        <v>7200.0</v>
      </c>
      <c r="AO28" s="8">
        <f>ROUND(AL28*'Premissas'!$B$10,2)</f>
        <v>2700.0</v>
      </c>
      <c r="AP28" s="8">
        <f>ROUND(AL28*'Premissas'!$B$31,2)</f>
        <v>900.0</v>
      </c>
      <c r="AQ28" s="8">
        <f>ROUND(E28*'Ofertas'!$H$6,2)</f>
        <v>600.0</v>
      </c>
      <c r="AR28" s="8">
        <f>ROUND(AL28-AN28-AO28-AP28-AQ28,2)</f>
        <v>6600.0</v>
      </c>
      <c r="AS28" s="10">
        <f>F28*'Ofertas'!$C$7</f>
        <v>16.0</v>
      </c>
      <c r="AT28" s="8">
        <f>ROUND(F28*'Ofertas'!$B$7,2)</f>
        <v>7000.0</v>
      </c>
      <c r="AU28" s="8">
        <f>AT28</f>
        <v>7000.0</v>
      </c>
      <c r="AV28" s="8">
        <f>ROUND(AS28*'Ofertas'!$D$7,2)</f>
        <v>1920.0</v>
      </c>
      <c r="AW28" s="8">
        <f>ROUND(AT28*'Premissas'!$B$10,2)</f>
        <v>1050.0</v>
      </c>
      <c r="AX28" s="8">
        <f>ROUND(AT28*'Premissas'!$B$31,2)</f>
        <v>350.0</v>
      </c>
      <c r="AY28" s="8">
        <f>ROUND(F28*'Ofertas'!$H$7,2)</f>
        <v>420.0</v>
      </c>
      <c r="AZ28" s="8">
        <f>ROUND(AT28-AV28-AW28-AX28-AY28,2)</f>
        <v>3260.0</v>
      </c>
      <c r="BA28" s="10">
        <f>G28*'Ofertas'!$C$8</f>
        <v>0.0</v>
      </c>
      <c r="BB28" s="8">
        <f>ROUND(G28*'Ofertas'!$B$8,2)</f>
        <v>0.0</v>
      </c>
      <c r="BC28" s="8">
        <f>BB28</f>
        <v>0.0</v>
      </c>
      <c r="BD28" s="8">
        <f>ROUND(BA28*'Ofertas'!$D$8,2)</f>
        <v>0.0</v>
      </c>
      <c r="BE28" s="8">
        <f>ROUND(BB28*'Premissas'!$B$10,2)</f>
        <v>0.0</v>
      </c>
      <c r="BF28" s="8">
        <f>ROUND(BB28*'Premissas'!$B$31,2)</f>
        <v>0.0</v>
      </c>
      <c r="BG28" s="8">
        <f>ROUND(G28*'Ofertas'!$H$8,2)</f>
        <v>0.0</v>
      </c>
      <c r="BH28" s="8">
        <f>ROUND(BB28-BD28-BE28-BF28-BG28,2)</f>
        <v>0.0</v>
      </c>
      <c r="BI28" s="10">
        <f>U28+AC28+AK28+AS28+BA28</f>
        <v>80.0</v>
      </c>
      <c r="BJ28" s="11">
        <f>BI28/'Premissas'!$B$30</f>
        <v>0.5</v>
      </c>
      <c r="BK28" s="8">
        <f>IF(A28&lt;=12,'Premissas'!$B$24,'Premissas'!$B$25)</f>
        <v>42000</v>
      </c>
      <c r="BL28" s="8">
        <f>ROUND(J28+V28+AD28+AL28+AT28+BB28,2)</f>
        <v>142750.0</v>
      </c>
      <c r="BM28" s="8">
        <f>ROUND(L28+V28+AD28+AL28+AT28+BB28,2)</f>
        <v>134050.0</v>
      </c>
      <c r="BN28" s="8">
        <f>ROUND(T28+AB28+AJ28+AR28+AZ28+BH28,2)</f>
        <v>41296.05</v>
      </c>
      <c r="BO28" s="8">
        <f>ROUND(O28+W28+AE28+AM28+AU28+BC28,2)</f>
        <v>105915.38</v>
      </c>
      <c r="BP28" s="8">
        <f>ROUND(P28+Q28+R28+S28+X28+Y28+Z28+BK28+AF28+AG28+AH28+AI28+AN28+AO28+AP28+AQ28+AV28+AW28+AX28+AY28+BD28+BE28+BF28+BG28,2)</f>
        <v>121399.0</v>
      </c>
      <c r="BQ28" s="8">
        <f>ROUND(BO28-BP28,2)</f>
        <v>-15483.62</v>
      </c>
      <c r="BR28" s="8">
        <f>ROUND(BR27+BQ28,2)</f>
        <v>-577608.49</v>
      </c>
      <c r="BS28" s="8">
        <f>ROUND(BN28-BK28,2)</f>
        <v>-703.95</v>
      </c>
      <c r="BT28" s="8">
        <f>ROUND(BT27+N28-O28+V28-W28+AL28-AM28,2)</f>
        <v>95695.05</v>
      </c>
      <c r="BU28" s="10">
        <f>IF(BR28&gt;=0,A28,999)</f>
        <v>999</v>
      </c>
      <c r="BV28" s="8">
        <f>ROUND(BR28+200000,2)</f>
        <v>-377608.49</v>
      </c>
    </row>
  </sheetData>
  <autoFilter ref="A4:BV28"/>
  <mergeCells count="2">
    <mergeCell ref="A1:BV1"/>
    <mergeCell ref="A2:BV2"/>
  </mergeCells>
  <conditionalFormatting sqref="BR5:BR28">
    <cfRule type="cellIs" dxfId="0" priority="1" operator="lessThan">
      <formula>0</formula>
    </cfRule>
  </conditionalFormatting>
  <dataValidations count="120">
    <dataValidation type="whole" allowBlank="1" showInputMessage="1" showErrorMessage="1" sqref="B5">
      <formula1>0</formula1>
      <formula2>1000000000</formula2>
    </dataValidation>
    <dataValidation type="whole" allowBlank="1" showInputMessage="1" showErrorMessage="1" sqref="C5">
      <formula1>0</formula1>
      <formula2>1000000000</formula2>
    </dataValidation>
    <dataValidation type="whole" allowBlank="1" showInputMessage="1" showErrorMessage="1" sqref="D5">
      <formula1>0</formula1>
      <formula2>1000000000</formula2>
    </dataValidation>
    <dataValidation type="whole" allowBlank="1" showInputMessage="1" showErrorMessage="1" sqref="E5">
      <formula1>0</formula1>
      <formula2>1000000000</formula2>
    </dataValidation>
    <dataValidation type="whole" allowBlank="1" showInputMessage="1" showErrorMessage="1" sqref="F5">
      <formula1>0</formula1>
      <formula2>1000000000</formula2>
    </dataValidation>
    <dataValidation type="whole" allowBlank="1" showInputMessage="1" showErrorMessage="1" sqref="B6">
      <formula1>0</formula1>
      <formula2>1000000000</formula2>
    </dataValidation>
    <dataValidation type="whole" allowBlank="1" showInputMessage="1" showErrorMessage="1" sqref="C6">
      <formula1>0</formula1>
      <formula2>1000000000</formula2>
    </dataValidation>
    <dataValidation type="whole" allowBlank="1" showInputMessage="1" showErrorMessage="1" sqref="D6">
      <formula1>0</formula1>
      <formula2>1000000000</formula2>
    </dataValidation>
    <dataValidation type="whole" allowBlank="1" showInputMessage="1" showErrorMessage="1" sqref="E6">
      <formula1>0</formula1>
      <formula2>1000000000</formula2>
    </dataValidation>
    <dataValidation type="whole" allowBlank="1" showInputMessage="1" showErrorMessage="1" sqref="F6">
      <formula1>0</formula1>
      <formula2>1000000000</formula2>
    </dataValidation>
    <dataValidation type="whole" allowBlank="1" showInputMessage="1" showErrorMessage="1" sqref="B7">
      <formula1>0</formula1>
      <formula2>1000000000</formula2>
    </dataValidation>
    <dataValidation type="whole" allowBlank="1" showInputMessage="1" showErrorMessage="1" sqref="C7">
      <formula1>0</formula1>
      <formula2>1000000000</formula2>
    </dataValidation>
    <dataValidation type="whole" allowBlank="1" showInputMessage="1" showErrorMessage="1" sqref="D7">
      <formula1>0</formula1>
      <formula2>1000000000</formula2>
    </dataValidation>
    <dataValidation type="whole" allowBlank="1" showInputMessage="1" showErrorMessage="1" sqref="E7">
      <formula1>0</formula1>
      <formula2>1000000000</formula2>
    </dataValidation>
    <dataValidation type="whole" allowBlank="1" showInputMessage="1" showErrorMessage="1" sqref="F7">
      <formula1>0</formula1>
      <formula2>1000000000</formula2>
    </dataValidation>
    <dataValidation type="whole" allowBlank="1" showInputMessage="1" showErrorMessage="1" sqref="B8">
      <formula1>0</formula1>
      <formula2>1000000000</formula2>
    </dataValidation>
    <dataValidation type="whole" allowBlank="1" showInputMessage="1" showErrorMessage="1" sqref="C8">
      <formula1>0</formula1>
      <formula2>1000000000</formula2>
    </dataValidation>
    <dataValidation type="whole" allowBlank="1" showInputMessage="1" showErrorMessage="1" sqref="D8">
      <formula1>0</formula1>
      <formula2>1000000000</formula2>
    </dataValidation>
    <dataValidation type="whole" allowBlank="1" showInputMessage="1" showErrorMessage="1" sqref="E8">
      <formula1>0</formula1>
      <formula2>1000000000</formula2>
    </dataValidation>
    <dataValidation type="whole" allowBlank="1" showInputMessage="1" showErrorMessage="1" sqref="F8">
      <formula1>0</formula1>
      <formula2>1000000000</formula2>
    </dataValidation>
    <dataValidation type="whole" allowBlank="1" showInputMessage="1" showErrorMessage="1" sqref="B9">
      <formula1>0</formula1>
      <formula2>1000000000</formula2>
    </dataValidation>
    <dataValidation type="whole" allowBlank="1" showInputMessage="1" showErrorMessage="1" sqref="C9">
      <formula1>0</formula1>
      <formula2>1000000000</formula2>
    </dataValidation>
    <dataValidation type="whole" allowBlank="1" showInputMessage="1" showErrorMessage="1" sqref="D9">
      <formula1>0</formula1>
      <formula2>1000000000</formula2>
    </dataValidation>
    <dataValidation type="whole" allowBlank="1" showInputMessage="1" showErrorMessage="1" sqref="E9">
      <formula1>0</formula1>
      <formula2>1000000000</formula2>
    </dataValidation>
    <dataValidation type="whole" allowBlank="1" showInputMessage="1" showErrorMessage="1" sqref="F9">
      <formula1>0</formula1>
      <formula2>1000000000</formula2>
    </dataValidation>
    <dataValidation type="whole" allowBlank="1" showInputMessage="1" showErrorMessage="1" sqref="B10">
      <formula1>0</formula1>
      <formula2>1000000000</formula2>
    </dataValidation>
    <dataValidation type="whole" allowBlank="1" showInputMessage="1" showErrorMessage="1" sqref="C10">
      <formula1>0</formula1>
      <formula2>1000000000</formula2>
    </dataValidation>
    <dataValidation type="whole" allowBlank="1" showInputMessage="1" showErrorMessage="1" sqref="D10">
      <formula1>0</formula1>
      <formula2>1000000000</formula2>
    </dataValidation>
    <dataValidation type="whole" allowBlank="1" showInputMessage="1" showErrorMessage="1" sqref="E10">
      <formula1>0</formula1>
      <formula2>1000000000</formula2>
    </dataValidation>
    <dataValidation type="whole" allowBlank="1" showInputMessage="1" showErrorMessage="1" sqref="F10">
      <formula1>0</formula1>
      <formula2>1000000000</formula2>
    </dataValidation>
    <dataValidation type="whole" allowBlank="1" showInputMessage="1" showErrorMessage="1" sqref="B11">
      <formula1>0</formula1>
      <formula2>1000000000</formula2>
    </dataValidation>
    <dataValidation type="whole" allowBlank="1" showInputMessage="1" showErrorMessage="1" sqref="C11">
      <formula1>0</formula1>
      <formula2>1000000000</formula2>
    </dataValidation>
    <dataValidation type="whole" allowBlank="1" showInputMessage="1" showErrorMessage="1" sqref="D11">
      <formula1>0</formula1>
      <formula2>1000000000</formula2>
    </dataValidation>
    <dataValidation type="whole" allowBlank="1" showInputMessage="1" showErrorMessage="1" sqref="E11">
      <formula1>0</formula1>
      <formula2>1000000000</formula2>
    </dataValidation>
    <dataValidation type="whole" allowBlank="1" showInputMessage="1" showErrorMessage="1" sqref="F11">
      <formula1>0</formula1>
      <formula2>1000000000</formula2>
    </dataValidation>
    <dataValidation type="whole" allowBlank="1" showInputMessage="1" showErrorMessage="1" sqref="B12">
      <formula1>0</formula1>
      <formula2>1000000000</formula2>
    </dataValidation>
    <dataValidation type="whole" allowBlank="1" showInputMessage="1" showErrorMessage="1" sqref="C12">
      <formula1>0</formula1>
      <formula2>1000000000</formula2>
    </dataValidation>
    <dataValidation type="whole" allowBlank="1" showInputMessage="1" showErrorMessage="1" sqref="D12">
      <formula1>0</formula1>
      <formula2>1000000000</formula2>
    </dataValidation>
    <dataValidation type="whole" allowBlank="1" showInputMessage="1" showErrorMessage="1" sqref="E12">
      <formula1>0</formula1>
      <formula2>1000000000</formula2>
    </dataValidation>
    <dataValidation type="whole" allowBlank="1" showInputMessage="1" showErrorMessage="1" sqref="F12">
      <formula1>0</formula1>
      <formula2>1000000000</formula2>
    </dataValidation>
    <dataValidation type="whole" allowBlank="1" showInputMessage="1" showErrorMessage="1" sqref="B13">
      <formula1>0</formula1>
      <formula2>1000000000</formula2>
    </dataValidation>
    <dataValidation type="whole" allowBlank="1" showInputMessage="1" showErrorMessage="1" sqref="C13">
      <formula1>0</formula1>
      <formula2>1000000000</formula2>
    </dataValidation>
    <dataValidation type="whole" allowBlank="1" showInputMessage="1" showErrorMessage="1" sqref="D13">
      <formula1>0</formula1>
      <formula2>1000000000</formula2>
    </dataValidation>
    <dataValidation type="whole" allowBlank="1" showInputMessage="1" showErrorMessage="1" sqref="E13">
      <formula1>0</formula1>
      <formula2>1000000000</formula2>
    </dataValidation>
    <dataValidation type="whole" allowBlank="1" showInputMessage="1" showErrorMessage="1" sqref="F13">
      <formula1>0</formula1>
      <formula2>1000000000</formula2>
    </dataValidation>
    <dataValidation type="whole" allowBlank="1" showInputMessage="1" showErrorMessage="1" sqref="B14">
      <formula1>0</formula1>
      <formula2>1000000000</formula2>
    </dataValidation>
    <dataValidation type="whole" allowBlank="1" showInputMessage="1" showErrorMessage="1" sqref="C14">
      <formula1>0</formula1>
      <formula2>1000000000</formula2>
    </dataValidation>
    <dataValidation type="whole" allowBlank="1" showInputMessage="1" showErrorMessage="1" sqref="D14">
      <formula1>0</formula1>
      <formula2>1000000000</formula2>
    </dataValidation>
    <dataValidation type="whole" allowBlank="1" showInputMessage="1" showErrorMessage="1" sqref="E14">
      <formula1>0</formula1>
      <formula2>1000000000</formula2>
    </dataValidation>
    <dataValidation type="whole" allowBlank="1" showInputMessage="1" showErrorMessage="1" sqref="F14">
      <formula1>0</formula1>
      <formula2>1000000000</formula2>
    </dataValidation>
    <dataValidation type="whole" allowBlank="1" showInputMessage="1" showErrorMessage="1" sqref="B15">
      <formula1>0</formula1>
      <formula2>1000000000</formula2>
    </dataValidation>
    <dataValidation type="whole" allowBlank="1" showInputMessage="1" showErrorMessage="1" sqref="C15">
      <formula1>0</formula1>
      <formula2>1000000000</formula2>
    </dataValidation>
    <dataValidation type="whole" allowBlank="1" showInputMessage="1" showErrorMessage="1" sqref="D15">
      <formula1>0</formula1>
      <formula2>1000000000</formula2>
    </dataValidation>
    <dataValidation type="whole" allowBlank="1" showInputMessage="1" showErrorMessage="1" sqref="E15">
      <formula1>0</formula1>
      <formula2>1000000000</formula2>
    </dataValidation>
    <dataValidation type="whole" allowBlank="1" showInputMessage="1" showErrorMessage="1" sqref="F15">
      <formula1>0</formula1>
      <formula2>1000000000</formula2>
    </dataValidation>
    <dataValidation type="whole" allowBlank="1" showInputMessage="1" showErrorMessage="1" sqref="B16">
      <formula1>0</formula1>
      <formula2>1000000000</formula2>
    </dataValidation>
    <dataValidation type="whole" allowBlank="1" showInputMessage="1" showErrorMessage="1" sqref="C16">
      <formula1>0</formula1>
      <formula2>1000000000</formula2>
    </dataValidation>
    <dataValidation type="whole" allowBlank="1" showInputMessage="1" showErrorMessage="1" sqref="D16">
      <formula1>0</formula1>
      <formula2>1000000000</formula2>
    </dataValidation>
    <dataValidation type="whole" allowBlank="1" showInputMessage="1" showErrorMessage="1" sqref="E16">
      <formula1>0</formula1>
      <formula2>1000000000</formula2>
    </dataValidation>
    <dataValidation type="whole" allowBlank="1" showInputMessage="1" showErrorMessage="1" sqref="F16">
      <formula1>0</formula1>
      <formula2>1000000000</formula2>
    </dataValidation>
    <dataValidation type="whole" allowBlank="1" showInputMessage="1" showErrorMessage="1" sqref="B17">
      <formula1>0</formula1>
      <formula2>1000000000</formula2>
    </dataValidation>
    <dataValidation type="whole" allowBlank="1" showInputMessage="1" showErrorMessage="1" sqref="C17">
      <formula1>0</formula1>
      <formula2>1000000000</formula2>
    </dataValidation>
    <dataValidation type="whole" allowBlank="1" showInputMessage="1" showErrorMessage="1" sqref="D17">
      <formula1>0</formula1>
      <formula2>1000000000</formula2>
    </dataValidation>
    <dataValidation type="whole" allowBlank="1" showInputMessage="1" showErrorMessage="1" sqref="E17">
      <formula1>0</formula1>
      <formula2>1000000000</formula2>
    </dataValidation>
    <dataValidation type="whole" allowBlank="1" showInputMessage="1" showErrorMessage="1" sqref="F17">
      <formula1>0</formula1>
      <formula2>1000000000</formula2>
    </dataValidation>
    <dataValidation type="whole" allowBlank="1" showInputMessage="1" showErrorMessage="1" sqref="B18">
      <formula1>0</formula1>
      <formula2>1000000000</formula2>
    </dataValidation>
    <dataValidation type="whole" allowBlank="1" showInputMessage="1" showErrorMessage="1" sqref="C18">
      <formula1>0</formula1>
      <formula2>1000000000</formula2>
    </dataValidation>
    <dataValidation type="whole" allowBlank="1" showInputMessage="1" showErrorMessage="1" sqref="D18">
      <formula1>0</formula1>
      <formula2>1000000000</formula2>
    </dataValidation>
    <dataValidation type="whole" allowBlank="1" showInputMessage="1" showErrorMessage="1" sqref="E18">
      <formula1>0</formula1>
      <formula2>1000000000</formula2>
    </dataValidation>
    <dataValidation type="whole" allowBlank="1" showInputMessage="1" showErrorMessage="1" sqref="F18">
      <formula1>0</formula1>
      <formula2>1000000000</formula2>
    </dataValidation>
    <dataValidation type="whole" allowBlank="1" showInputMessage="1" showErrorMessage="1" sqref="B19">
      <formula1>0</formula1>
      <formula2>1000000000</formula2>
    </dataValidation>
    <dataValidation type="whole" allowBlank="1" showInputMessage="1" showErrorMessage="1" sqref="C19">
      <formula1>0</formula1>
      <formula2>1000000000</formula2>
    </dataValidation>
    <dataValidation type="whole" allowBlank="1" showInputMessage="1" showErrorMessage="1" sqref="D19">
      <formula1>0</formula1>
      <formula2>1000000000</formula2>
    </dataValidation>
    <dataValidation type="whole" allowBlank="1" showInputMessage="1" showErrorMessage="1" sqref="E19">
      <formula1>0</formula1>
      <formula2>1000000000</formula2>
    </dataValidation>
    <dataValidation type="whole" allowBlank="1" showInputMessage="1" showErrorMessage="1" sqref="F19">
      <formula1>0</formula1>
      <formula2>1000000000</formula2>
    </dataValidation>
    <dataValidation type="whole" allowBlank="1" showInputMessage="1" showErrorMessage="1" sqref="B20">
      <formula1>0</formula1>
      <formula2>1000000000</formula2>
    </dataValidation>
    <dataValidation type="whole" allowBlank="1" showInputMessage="1" showErrorMessage="1" sqref="C20">
      <formula1>0</formula1>
      <formula2>1000000000</formula2>
    </dataValidation>
    <dataValidation type="whole" allowBlank="1" showInputMessage="1" showErrorMessage="1" sqref="D20">
      <formula1>0</formula1>
      <formula2>1000000000</formula2>
    </dataValidation>
    <dataValidation type="whole" allowBlank="1" showInputMessage="1" showErrorMessage="1" sqref="E20">
      <formula1>0</formula1>
      <formula2>1000000000</formula2>
    </dataValidation>
    <dataValidation type="whole" allowBlank="1" showInputMessage="1" showErrorMessage="1" sqref="F20">
      <formula1>0</formula1>
      <formula2>1000000000</formula2>
    </dataValidation>
    <dataValidation type="whole" allowBlank="1" showInputMessage="1" showErrorMessage="1" sqref="B21">
      <formula1>0</formula1>
      <formula2>1000000000</formula2>
    </dataValidation>
    <dataValidation type="whole" allowBlank="1" showInputMessage="1" showErrorMessage="1" sqref="C21">
      <formula1>0</formula1>
      <formula2>1000000000</formula2>
    </dataValidation>
    <dataValidation type="whole" allowBlank="1" showInputMessage="1" showErrorMessage="1" sqref="D21">
      <formula1>0</formula1>
      <formula2>1000000000</formula2>
    </dataValidation>
    <dataValidation type="whole" allowBlank="1" showInputMessage="1" showErrorMessage="1" sqref="E21">
      <formula1>0</formula1>
      <formula2>1000000000</formula2>
    </dataValidation>
    <dataValidation type="whole" allowBlank="1" showInputMessage="1" showErrorMessage="1" sqref="F21">
      <formula1>0</formula1>
      <formula2>1000000000</formula2>
    </dataValidation>
    <dataValidation type="whole" allowBlank="1" showInputMessage="1" showErrorMessage="1" sqref="B22">
      <formula1>0</formula1>
      <formula2>1000000000</formula2>
    </dataValidation>
    <dataValidation type="whole" allowBlank="1" showInputMessage="1" showErrorMessage="1" sqref="C22">
      <formula1>0</formula1>
      <formula2>1000000000</formula2>
    </dataValidation>
    <dataValidation type="whole" allowBlank="1" showInputMessage="1" showErrorMessage="1" sqref="D22">
      <formula1>0</formula1>
      <formula2>1000000000</formula2>
    </dataValidation>
    <dataValidation type="whole" allowBlank="1" showInputMessage="1" showErrorMessage="1" sqref="E22">
      <formula1>0</formula1>
      <formula2>1000000000</formula2>
    </dataValidation>
    <dataValidation type="whole" allowBlank="1" showInputMessage="1" showErrorMessage="1" sqref="F22">
      <formula1>0</formula1>
      <formula2>1000000000</formula2>
    </dataValidation>
    <dataValidation type="whole" allowBlank="1" showInputMessage="1" showErrorMessage="1" sqref="B23">
      <formula1>0</formula1>
      <formula2>1000000000</formula2>
    </dataValidation>
    <dataValidation type="whole" allowBlank="1" showInputMessage="1" showErrorMessage="1" sqref="C23">
      <formula1>0</formula1>
      <formula2>1000000000</formula2>
    </dataValidation>
    <dataValidation type="whole" allowBlank="1" showInputMessage="1" showErrorMessage="1" sqref="D23">
      <formula1>0</formula1>
      <formula2>1000000000</formula2>
    </dataValidation>
    <dataValidation type="whole" allowBlank="1" showInputMessage="1" showErrorMessage="1" sqref="E23">
      <formula1>0</formula1>
      <formula2>1000000000</formula2>
    </dataValidation>
    <dataValidation type="whole" allowBlank="1" showInputMessage="1" showErrorMessage="1" sqref="F23">
      <formula1>0</formula1>
      <formula2>1000000000</formula2>
    </dataValidation>
    <dataValidation type="whole" allowBlank="1" showInputMessage="1" showErrorMessage="1" sqref="B24">
      <formula1>0</formula1>
      <formula2>1000000000</formula2>
    </dataValidation>
    <dataValidation type="whole" allowBlank="1" showInputMessage="1" showErrorMessage="1" sqref="C24">
      <formula1>0</formula1>
      <formula2>1000000000</formula2>
    </dataValidation>
    <dataValidation type="whole" allowBlank="1" showInputMessage="1" showErrorMessage="1" sqref="D24">
      <formula1>0</formula1>
      <formula2>1000000000</formula2>
    </dataValidation>
    <dataValidation type="whole" allowBlank="1" showInputMessage="1" showErrorMessage="1" sqref="E24">
      <formula1>0</formula1>
      <formula2>1000000000</formula2>
    </dataValidation>
    <dataValidation type="whole" allowBlank="1" showInputMessage="1" showErrorMessage="1" sqref="F24">
      <formula1>0</formula1>
      <formula2>1000000000</formula2>
    </dataValidation>
    <dataValidation type="whole" allowBlank="1" showInputMessage="1" showErrorMessage="1" sqref="B25">
      <formula1>0</formula1>
      <formula2>1000000000</formula2>
    </dataValidation>
    <dataValidation type="whole" allowBlank="1" showInputMessage="1" showErrorMessage="1" sqref="C25">
      <formula1>0</formula1>
      <formula2>1000000000</formula2>
    </dataValidation>
    <dataValidation type="whole" allowBlank="1" showInputMessage="1" showErrorMessage="1" sqref="D25">
      <formula1>0</formula1>
      <formula2>1000000000</formula2>
    </dataValidation>
    <dataValidation type="whole" allowBlank="1" showInputMessage="1" showErrorMessage="1" sqref="E25">
      <formula1>0</formula1>
      <formula2>1000000000</formula2>
    </dataValidation>
    <dataValidation type="whole" allowBlank="1" showInputMessage="1" showErrorMessage="1" sqref="F25">
      <formula1>0</formula1>
      <formula2>1000000000</formula2>
    </dataValidation>
    <dataValidation type="whole" allowBlank="1" showInputMessage="1" showErrorMessage="1" sqref="B26">
      <formula1>0</formula1>
      <formula2>1000000000</formula2>
    </dataValidation>
    <dataValidation type="whole" allowBlank="1" showInputMessage="1" showErrorMessage="1" sqref="C26">
      <formula1>0</formula1>
      <formula2>1000000000</formula2>
    </dataValidation>
    <dataValidation type="whole" allowBlank="1" showInputMessage="1" showErrorMessage="1" sqref="D26">
      <formula1>0</formula1>
      <formula2>1000000000</formula2>
    </dataValidation>
    <dataValidation type="whole" allowBlank="1" showInputMessage="1" showErrorMessage="1" sqref="E26">
      <formula1>0</formula1>
      <formula2>1000000000</formula2>
    </dataValidation>
    <dataValidation type="whole" allowBlank="1" showInputMessage="1" showErrorMessage="1" sqref="F26">
      <formula1>0</formula1>
      <formula2>1000000000</formula2>
    </dataValidation>
    <dataValidation type="whole" allowBlank="1" showInputMessage="1" showErrorMessage="1" sqref="B27">
      <formula1>0</formula1>
      <formula2>1000000000</formula2>
    </dataValidation>
    <dataValidation type="whole" allowBlank="1" showInputMessage="1" showErrorMessage="1" sqref="C27">
      <formula1>0</formula1>
      <formula2>1000000000</formula2>
    </dataValidation>
    <dataValidation type="whole" allowBlank="1" showInputMessage="1" showErrorMessage="1" sqref="D27">
      <formula1>0</formula1>
      <formula2>1000000000</formula2>
    </dataValidation>
    <dataValidation type="whole" allowBlank="1" showInputMessage="1" showErrorMessage="1" sqref="E27">
      <formula1>0</formula1>
      <formula2>1000000000</formula2>
    </dataValidation>
    <dataValidation type="whole" allowBlank="1" showInputMessage="1" showErrorMessage="1" sqref="F27">
      <formula1>0</formula1>
      <formula2>1000000000</formula2>
    </dataValidation>
    <dataValidation type="whole" allowBlank="1" showInputMessage="1" showErrorMessage="1" sqref="B28">
      <formula1>0</formula1>
      <formula2>1000000000</formula2>
    </dataValidation>
    <dataValidation type="whole" allowBlank="1" showInputMessage="1" showErrorMessage="1" sqref="C28">
      <formula1>0</formula1>
      <formula2>1000000000</formula2>
    </dataValidation>
    <dataValidation type="whole" allowBlank="1" showInputMessage="1" showErrorMessage="1" sqref="D28">
      <formula1>0</formula1>
      <formula2>1000000000</formula2>
    </dataValidation>
    <dataValidation type="whole" allowBlank="1" showInputMessage="1" showErrorMessage="1" sqref="E28">
      <formula1>0</formula1>
      <formula2>1000000000</formula2>
    </dataValidation>
    <dataValidation type="whole" allowBlank="1" showInputMessage="1" showErrorMessage="1" sqref="F28">
      <formula1>0</formula1>
      <formula2>1000000000</formula2>
    </dataValidation>
  </dataValidations>
  <pageMargins left="0.7" right="0.7" top="0.75" bottom="0.75" header="0.3" footer="0.3"/>
  <pageSetup scale="75" orientation="landscape"/>
  <headerFooter>
    <oddFooter>&amp;LAUMI | Hipóteses, não promessa&amp;R&amp;P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dimension ref="A1:BV28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/>
    </sheetView>
  </sheetViews>
  <sheetFormatPr defaultRowHeight="15"/>
  <cols>
    <col min="1" max="1" width="7.7109375" customWidth="1"/>
    <col min="2" max="74" width="19.7109375" customWidth="1"/>
  </cols>
  <sheetData>
    <row r="1" spans="1:74" ht="36" customHeight="1">
      <c r="A1" s="1" t="s">
        <v>214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spans="1:74" ht="32" customHeight="1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</row>
    <row r="4" spans="1:74" ht="54" customHeight="1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148</v>
      </c>
      <c r="J4" s="3" t="s">
        <v>149</v>
      </c>
      <c r="K4" s="3" t="s">
        <v>150</v>
      </c>
      <c r="L4" s="3" t="s">
        <v>151</v>
      </c>
      <c r="M4" s="3" t="s">
        <v>152</v>
      </c>
      <c r="N4" s="3" t="s">
        <v>153</v>
      </c>
      <c r="O4" s="3" t="s">
        <v>154</v>
      </c>
      <c r="P4" s="3" t="s">
        <v>155</v>
      </c>
      <c r="Q4" s="3" t="s">
        <v>156</v>
      </c>
      <c r="R4" s="3" t="s">
        <v>157</v>
      </c>
      <c r="S4" s="3" t="s">
        <v>158</v>
      </c>
      <c r="T4" s="3" t="s">
        <v>159</v>
      </c>
      <c r="U4" s="3" t="s">
        <v>160</v>
      </c>
      <c r="V4" s="3" t="s">
        <v>161</v>
      </c>
      <c r="W4" s="3" t="s">
        <v>162</v>
      </c>
      <c r="X4" s="3" t="s">
        <v>163</v>
      </c>
      <c r="Y4" s="3" t="s">
        <v>164</v>
      </c>
      <c r="Z4" s="3" t="s">
        <v>165</v>
      </c>
      <c r="AA4" s="3" t="s">
        <v>166</v>
      </c>
      <c r="AB4" s="3" t="s">
        <v>167</v>
      </c>
      <c r="AC4" s="3" t="s">
        <v>168</v>
      </c>
      <c r="AD4" s="3" t="s">
        <v>169</v>
      </c>
      <c r="AE4" s="3" t="s">
        <v>170</v>
      </c>
      <c r="AF4" s="3" t="s">
        <v>171</v>
      </c>
      <c r="AG4" s="3" t="s">
        <v>172</v>
      </c>
      <c r="AH4" s="3" t="s">
        <v>173</v>
      </c>
      <c r="AI4" s="3" t="s">
        <v>174</v>
      </c>
      <c r="AJ4" s="3" t="s">
        <v>175</v>
      </c>
      <c r="AK4" s="3" t="s">
        <v>176</v>
      </c>
      <c r="AL4" s="3" t="s">
        <v>177</v>
      </c>
      <c r="AM4" s="3" t="s">
        <v>178</v>
      </c>
      <c r="AN4" s="3" t="s">
        <v>179</v>
      </c>
      <c r="AO4" s="3" t="s">
        <v>180</v>
      </c>
      <c r="AP4" s="3" t="s">
        <v>181</v>
      </c>
      <c r="AQ4" s="3" t="s">
        <v>182</v>
      </c>
      <c r="AR4" s="3" t="s">
        <v>183</v>
      </c>
      <c r="AS4" s="3" t="s">
        <v>184</v>
      </c>
      <c r="AT4" s="3" t="s">
        <v>185</v>
      </c>
      <c r="AU4" s="3" t="s">
        <v>186</v>
      </c>
      <c r="AV4" s="3" t="s">
        <v>187</v>
      </c>
      <c r="AW4" s="3" t="s">
        <v>188</v>
      </c>
      <c r="AX4" s="3" t="s">
        <v>189</v>
      </c>
      <c r="AY4" s="3" t="s">
        <v>190</v>
      </c>
      <c r="AZ4" s="3" t="s">
        <v>191</v>
      </c>
      <c r="BA4" s="3" t="s">
        <v>192</v>
      </c>
      <c r="BB4" s="3" t="s">
        <v>193</v>
      </c>
      <c r="BC4" s="3" t="s">
        <v>194</v>
      </c>
      <c r="BD4" s="3" t="s">
        <v>195</v>
      </c>
      <c r="BE4" s="3" t="s">
        <v>196</v>
      </c>
      <c r="BF4" s="3" t="s">
        <v>197</v>
      </c>
      <c r="BG4" s="3" t="s">
        <v>198</v>
      </c>
      <c r="BH4" s="3" t="s">
        <v>199</v>
      </c>
      <c r="BI4" s="3" t="s">
        <v>200</v>
      </c>
      <c r="BJ4" s="3" t="s">
        <v>201</v>
      </c>
      <c r="BK4" s="3" t="s">
        <v>202</v>
      </c>
      <c r="BL4" s="3" t="s">
        <v>203</v>
      </c>
      <c r="BM4" s="3" t="s">
        <v>204</v>
      </c>
      <c r="BN4" s="3" t="s">
        <v>205</v>
      </c>
      <c r="BO4" s="3" t="s">
        <v>206</v>
      </c>
      <c r="BP4" s="3" t="s">
        <v>207</v>
      </c>
      <c r="BQ4" s="3" t="s">
        <v>208</v>
      </c>
      <c r="BR4" s="3" t="s">
        <v>209</v>
      </c>
      <c r="BS4" s="3" t="s">
        <v>210</v>
      </c>
      <c r="BT4" s="3" t="s">
        <v>211</v>
      </c>
      <c r="BU4" s="3" t="s">
        <v>212</v>
      </c>
      <c r="BV4" s="3" t="s">
        <v>213</v>
      </c>
    </row>
    <row r="5" spans="1:74">
      <c r="A5" s="10">
        <v>1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10">
        <f>MAX(0,F5-0)</f>
        <v>0</v>
      </c>
      <c r="H5" s="10">
        <f>ROUNDUP(B5/'Premissas'!$B$14,0)</f>
        <v>0</v>
      </c>
      <c r="I5" s="8">
        <f>ROUND(B5*'Premissas'!$B$5,2)</f>
        <v>0.0</v>
      </c>
      <c r="J5" s="8">
        <f>ROUND(I5*'Premissas'!$B$6,2)</f>
        <v>0.0</v>
      </c>
      <c r="K5" s="8">
        <f>ROUND(J5*'Premissas'!$B$7,2)</f>
        <v>0.0</v>
      </c>
      <c r="L5" s="8">
        <f>ROUND(J5-K5,2)</f>
        <v>0.0</v>
      </c>
      <c r="M5" s="8">
        <f>ROUND(L5*'Premissas'!$B$8+B5*(1-'Premissas'!$B$7)*'Premissas'!$B$9*'Premissas'!$B$6,2)</f>
        <v>0.0</v>
      </c>
      <c r="N5" s="8">
        <f>ROUND(L5-M5,2)</f>
        <v>0.0</v>
      </c>
      <c r="O5" s="8">
        <f>IF(A5&gt;'Premissas'!$B$20,INDEX($N$5:$N$28,MAX(1,A5-'Premissas'!$B$20)),0)</f>
        <v>0</v>
      </c>
      <c r="P5" s="8">
        <f>ROUND(L5*'Premissas'!$B$10,2)</f>
        <v>0.0</v>
      </c>
      <c r="Q5" s="8">
        <f>ROUND(L5*'Premissas'!$B$11,2)</f>
        <v>0.0</v>
      </c>
      <c r="R5" s="8">
        <f>ROUND(B5*'Premissas'!$B$12*'Premissas'!$B$6,2)</f>
        <v>0.0</v>
      </c>
      <c r="S5" s="8">
        <f>ROUND(B5*'Premissas'!$B$13*'Premissas'!$B$6,2)</f>
        <v>0.0</v>
      </c>
      <c r="T5" s="8">
        <f>ROUND(L5-M5-P5-Q5-R5-S5,2)</f>
        <v>0.0</v>
      </c>
      <c r="U5" s="10">
        <f>C5*'Premissas'!$B$16</f>
        <v>0</v>
      </c>
      <c r="V5" s="8">
        <f>ROUND(C5*'Premissas'!$B$15,2)</f>
        <v>0.0</v>
      </c>
      <c r="W5" s="8">
        <f>ROUND(V5*'Premissas'!$B$19+0*(1-'Premissas'!$B$19),2)</f>
        <v>0.0</v>
      </c>
      <c r="X5" s="8">
        <f>ROUND(U5*'Premissas'!$B$17,2)</f>
        <v>0.0</v>
      </c>
      <c r="Y5" s="8">
        <f>ROUND(V5*'Premissas'!$B$10,2)</f>
        <v>0.0</v>
      </c>
      <c r="Z5" s="8">
        <f>ROUND(W5*'Premissas'!$B$18,2)</f>
        <v>0.0</v>
      </c>
      <c r="AA5" s="8">
        <f>ROUND(V5*'Premissas'!$B$18,2)</f>
        <v>0.0</v>
      </c>
      <c r="AB5" s="8">
        <f>ROUND(V5-X5-Y5-AA5,2)</f>
        <v>0.0</v>
      </c>
      <c r="AC5" s="10">
        <f>D5*'Ofertas'!$C$5</f>
        <v>0.0</v>
      </c>
      <c r="AD5" s="8">
        <f>ROUND(D5*'Ofertas'!$B$5,2)</f>
        <v>0.0</v>
      </c>
      <c r="AE5" s="8">
        <f>AD5</f>
        <v>0.0</v>
      </c>
      <c r="AF5" s="8">
        <f>ROUND(AC5*'Ofertas'!$D$5,2)</f>
        <v>0.0</v>
      </c>
      <c r="AG5" s="8">
        <f>ROUND(AD5*'Premissas'!$B$10,2)</f>
        <v>0.0</v>
      </c>
      <c r="AH5" s="8">
        <f>ROUND(AD5*'Premissas'!$B$31,2)</f>
        <v>0.0</v>
      </c>
      <c r="AI5" s="8">
        <f>ROUND(D5*'Ofertas'!$H$5,2)</f>
        <v>0.0</v>
      </c>
      <c r="AJ5" s="8">
        <f>ROUND(AD5-AF5-AG5-AH5-AI5,2)</f>
        <v>0.0</v>
      </c>
      <c r="AK5" s="10">
        <f>E5*'Ofertas'!$C$6</f>
        <v>0.0</v>
      </c>
      <c r="AL5" s="8">
        <f>ROUND(E5*'Ofertas'!$B$6,2)</f>
        <v>0.0</v>
      </c>
      <c r="AM5" s="8">
        <f>ROUND(AL5*'Premissas'!$B$32+0*(1-'Premissas'!$B$32),2)</f>
        <v>0.0</v>
      </c>
      <c r="AN5" s="8">
        <f>ROUND(AK5*'Ofertas'!$D$6,2)</f>
        <v>0.0</v>
      </c>
      <c r="AO5" s="8">
        <f>ROUND(AL5*'Premissas'!$B$10,2)</f>
        <v>0.0</v>
      </c>
      <c r="AP5" s="8">
        <f>ROUND(AL5*'Premissas'!$B$31,2)</f>
        <v>0.0</v>
      </c>
      <c r="AQ5" s="8">
        <f>ROUND(E5*'Ofertas'!$H$6,2)</f>
        <v>0.0</v>
      </c>
      <c r="AR5" s="8">
        <f>ROUND(AL5-AN5-AO5-AP5-AQ5,2)</f>
        <v>0.0</v>
      </c>
      <c r="AS5" s="10">
        <f>F5*'Ofertas'!$C$7</f>
        <v>0.0</v>
      </c>
      <c r="AT5" s="8">
        <f>ROUND(F5*'Ofertas'!$B$7,2)</f>
        <v>0.0</v>
      </c>
      <c r="AU5" s="8">
        <f>AT5</f>
        <v>0.0</v>
      </c>
      <c r="AV5" s="8">
        <f>ROUND(AS5*'Ofertas'!$D$7,2)</f>
        <v>0.0</v>
      </c>
      <c r="AW5" s="8">
        <f>ROUND(AT5*'Premissas'!$B$10,2)</f>
        <v>0.0</v>
      </c>
      <c r="AX5" s="8">
        <f>ROUND(AT5*'Premissas'!$B$31,2)</f>
        <v>0.0</v>
      </c>
      <c r="AY5" s="8">
        <f>ROUND(F5*'Ofertas'!$H$7,2)</f>
        <v>0.0</v>
      </c>
      <c r="AZ5" s="8">
        <f>ROUND(AT5-AV5-AW5-AX5-AY5,2)</f>
        <v>0.0</v>
      </c>
      <c r="BA5" s="10">
        <f>G5*'Ofertas'!$C$8</f>
        <v>0.0</v>
      </c>
      <c r="BB5" s="8">
        <f>ROUND(G5*'Ofertas'!$B$8,2)</f>
        <v>0.0</v>
      </c>
      <c r="BC5" s="8">
        <f>BB5</f>
        <v>0.0</v>
      </c>
      <c r="BD5" s="8">
        <f>ROUND(BA5*'Ofertas'!$D$8,2)</f>
        <v>0.0</v>
      </c>
      <c r="BE5" s="8">
        <f>ROUND(BB5*'Premissas'!$B$10,2)</f>
        <v>0.0</v>
      </c>
      <c r="BF5" s="8">
        <f>ROUND(BB5*'Premissas'!$B$31,2)</f>
        <v>0.0</v>
      </c>
      <c r="BG5" s="8">
        <f>ROUND(G5*'Ofertas'!$H$8,2)</f>
        <v>0.0</v>
      </c>
      <c r="BH5" s="8">
        <f>ROUND(BB5-BD5-BE5-BF5-BG5,2)</f>
        <v>0.0</v>
      </c>
      <c r="BI5" s="10">
        <f>U5+AC5+AK5+AS5+BA5</f>
        <v>0.0</v>
      </c>
      <c r="BJ5" s="11">
        <f>BI5/'Premissas'!$B$30</f>
        <v>0.0</v>
      </c>
      <c r="BK5" s="8">
        <f>IF(A5&lt;=12,'Premissas'!$B$24,'Premissas'!$B$25)</f>
        <v>37000</v>
      </c>
      <c r="BL5" s="8">
        <f>ROUND(J5+V5+AD5+AL5+AT5+BB5,2)</f>
        <v>0.0</v>
      </c>
      <c r="BM5" s="8">
        <f>ROUND(L5+V5+AD5+AL5+AT5+BB5,2)</f>
        <v>0.0</v>
      </c>
      <c r="BN5" s="8">
        <f>ROUND(T5+AB5+AJ5+AR5+AZ5+BH5,2)</f>
        <v>0.0</v>
      </c>
      <c r="BO5" s="8">
        <f>ROUND(O5+W5+AE5+AM5+AU5+BC5,2)</f>
        <v>0.0</v>
      </c>
      <c r="BP5" s="8">
        <f>ROUND(P5+Q5+R5+S5+X5+Y5+Z5+BK5+AF5+AG5+AH5+AI5+AN5+AO5+AP5+AQ5+AV5+AW5+AX5+AY5+BD5+BE5+BF5+BG5,2)</f>
        <v>37000.0</v>
      </c>
      <c r="BQ5" s="8">
        <f>ROUND(BO5-BP5,2)</f>
        <v>-37000.0</v>
      </c>
      <c r="BR5" s="8">
        <f>ROUND(-'Premissas'!$B$23+BQ5,2)</f>
        <v>-137000.0</v>
      </c>
      <c r="BS5" s="8">
        <f>ROUND(BN5-BK5,2)</f>
        <v>-37000.0</v>
      </c>
      <c r="BT5" s="8">
        <f>ROUND(0+N5-O5+V5-W5+AL5-AM5,2)</f>
        <v>0.0</v>
      </c>
      <c r="BU5" s="10">
        <f>IF(BR5&gt;=0,A5,999)</f>
        <v>999</v>
      </c>
      <c r="BV5" s="8">
        <f>ROUND(BR5+200000,2)</f>
        <v>63000.0</v>
      </c>
    </row>
    <row r="6" spans="1:74">
      <c r="A6" s="10">
        <v>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10">
        <f>MAX(0,F6-F5)</f>
        <v>0</v>
      </c>
      <c r="H6" s="10">
        <f>ROUNDUP(B6/'Premissas'!$B$14,0)</f>
        <v>0</v>
      </c>
      <c r="I6" s="8">
        <f>ROUND(B6*'Premissas'!$B$5,2)</f>
        <v>0.0</v>
      </c>
      <c r="J6" s="8">
        <f>ROUND(I6*'Premissas'!$B$6,2)</f>
        <v>0.0</v>
      </c>
      <c r="K6" s="8">
        <f>ROUND(J6*'Premissas'!$B$7,2)</f>
        <v>0.0</v>
      </c>
      <c r="L6" s="8">
        <f>ROUND(J6-K6,2)</f>
        <v>0.0</v>
      </c>
      <c r="M6" s="8">
        <f>ROUND(L6*'Premissas'!$B$8+B6*(1-'Premissas'!$B$7)*'Premissas'!$B$9*'Premissas'!$B$6,2)</f>
        <v>0.0</v>
      </c>
      <c r="N6" s="8">
        <f>ROUND(L6-M6,2)</f>
        <v>0.0</v>
      </c>
      <c r="O6" s="8">
        <f>IF(A6&gt;'Premissas'!$B$20,INDEX($N$5:$N$28,MAX(1,A6-'Premissas'!$B$20)),0)</f>
        <v>0.0</v>
      </c>
      <c r="P6" s="8">
        <f>ROUND(L6*'Premissas'!$B$10,2)</f>
        <v>0.0</v>
      </c>
      <c r="Q6" s="8">
        <f>ROUND(L6*'Premissas'!$B$11,2)</f>
        <v>0.0</v>
      </c>
      <c r="R6" s="8">
        <f>ROUND(B6*'Premissas'!$B$12*'Premissas'!$B$6,2)</f>
        <v>0.0</v>
      </c>
      <c r="S6" s="8">
        <f>ROUND(B6*'Premissas'!$B$13*'Premissas'!$B$6,2)</f>
        <v>0.0</v>
      </c>
      <c r="T6" s="8">
        <f>ROUND(L6-M6-P6-Q6-R6-S6,2)</f>
        <v>0.0</v>
      </c>
      <c r="U6" s="10">
        <f>C6*'Premissas'!$B$16</f>
        <v>0</v>
      </c>
      <c r="V6" s="8">
        <f>ROUND(C6*'Premissas'!$B$15,2)</f>
        <v>0.0</v>
      </c>
      <c r="W6" s="8">
        <f>ROUND(V6*'Premissas'!$B$19+V5*(1-'Premissas'!$B$19),2)</f>
        <v>0.0</v>
      </c>
      <c r="X6" s="8">
        <f>ROUND(U6*'Premissas'!$B$17,2)</f>
        <v>0.0</v>
      </c>
      <c r="Y6" s="8">
        <f>ROUND(V6*'Premissas'!$B$10,2)</f>
        <v>0.0</v>
      </c>
      <c r="Z6" s="8">
        <f>ROUND(W6*'Premissas'!$B$18,2)</f>
        <v>0.0</v>
      </c>
      <c r="AA6" s="8">
        <f>ROUND(V6*'Premissas'!$B$18,2)</f>
        <v>0.0</v>
      </c>
      <c r="AB6" s="8">
        <f>ROUND(V6-X6-Y6-AA6,2)</f>
        <v>0.0</v>
      </c>
      <c r="AC6" s="10">
        <f>D6*'Ofertas'!$C$5</f>
        <v>0.0</v>
      </c>
      <c r="AD6" s="8">
        <f>ROUND(D6*'Ofertas'!$B$5,2)</f>
        <v>0.0</v>
      </c>
      <c r="AE6" s="8">
        <f>AD6</f>
        <v>0.0</v>
      </c>
      <c r="AF6" s="8">
        <f>ROUND(AC6*'Ofertas'!$D$5,2)</f>
        <v>0.0</v>
      </c>
      <c r="AG6" s="8">
        <f>ROUND(AD6*'Premissas'!$B$10,2)</f>
        <v>0.0</v>
      </c>
      <c r="AH6" s="8">
        <f>ROUND(AD6*'Premissas'!$B$31,2)</f>
        <v>0.0</v>
      </c>
      <c r="AI6" s="8">
        <f>ROUND(D6*'Ofertas'!$H$5,2)</f>
        <v>0.0</v>
      </c>
      <c r="AJ6" s="8">
        <f>ROUND(AD6-AF6-AG6-AH6-AI6,2)</f>
        <v>0.0</v>
      </c>
      <c r="AK6" s="10">
        <f>E6*'Ofertas'!$C$6</f>
        <v>0.0</v>
      </c>
      <c r="AL6" s="8">
        <f>ROUND(E6*'Ofertas'!$B$6,2)</f>
        <v>0.0</v>
      </c>
      <c r="AM6" s="8">
        <f>ROUND(AL6*'Premissas'!$B$32+AL5*(1-'Premissas'!$B$32),2)</f>
        <v>0.0</v>
      </c>
      <c r="AN6" s="8">
        <f>ROUND(AK6*'Ofertas'!$D$6,2)</f>
        <v>0.0</v>
      </c>
      <c r="AO6" s="8">
        <f>ROUND(AL6*'Premissas'!$B$10,2)</f>
        <v>0.0</v>
      </c>
      <c r="AP6" s="8">
        <f>ROUND(AL6*'Premissas'!$B$31,2)</f>
        <v>0.0</v>
      </c>
      <c r="AQ6" s="8">
        <f>ROUND(E6*'Ofertas'!$H$6,2)</f>
        <v>0.0</v>
      </c>
      <c r="AR6" s="8">
        <f>ROUND(AL6-AN6-AO6-AP6-AQ6,2)</f>
        <v>0.0</v>
      </c>
      <c r="AS6" s="10">
        <f>F6*'Ofertas'!$C$7</f>
        <v>0.0</v>
      </c>
      <c r="AT6" s="8">
        <f>ROUND(F6*'Ofertas'!$B$7,2)</f>
        <v>0.0</v>
      </c>
      <c r="AU6" s="8">
        <f>AT6</f>
        <v>0.0</v>
      </c>
      <c r="AV6" s="8">
        <f>ROUND(AS6*'Ofertas'!$D$7,2)</f>
        <v>0.0</v>
      </c>
      <c r="AW6" s="8">
        <f>ROUND(AT6*'Premissas'!$B$10,2)</f>
        <v>0.0</v>
      </c>
      <c r="AX6" s="8">
        <f>ROUND(AT6*'Premissas'!$B$31,2)</f>
        <v>0.0</v>
      </c>
      <c r="AY6" s="8">
        <f>ROUND(F6*'Ofertas'!$H$7,2)</f>
        <v>0.0</v>
      </c>
      <c r="AZ6" s="8">
        <f>ROUND(AT6-AV6-AW6-AX6-AY6,2)</f>
        <v>0.0</v>
      </c>
      <c r="BA6" s="10">
        <f>G6*'Ofertas'!$C$8</f>
        <v>0.0</v>
      </c>
      <c r="BB6" s="8">
        <f>ROUND(G6*'Ofertas'!$B$8,2)</f>
        <v>0.0</v>
      </c>
      <c r="BC6" s="8">
        <f>BB6</f>
        <v>0.0</v>
      </c>
      <c r="BD6" s="8">
        <f>ROUND(BA6*'Ofertas'!$D$8,2)</f>
        <v>0.0</v>
      </c>
      <c r="BE6" s="8">
        <f>ROUND(BB6*'Premissas'!$B$10,2)</f>
        <v>0.0</v>
      </c>
      <c r="BF6" s="8">
        <f>ROUND(BB6*'Premissas'!$B$31,2)</f>
        <v>0.0</v>
      </c>
      <c r="BG6" s="8">
        <f>ROUND(G6*'Ofertas'!$H$8,2)</f>
        <v>0.0</v>
      </c>
      <c r="BH6" s="8">
        <f>ROUND(BB6-BD6-BE6-BF6-BG6,2)</f>
        <v>0.0</v>
      </c>
      <c r="BI6" s="10">
        <f>U6+AC6+AK6+AS6+BA6</f>
        <v>0.0</v>
      </c>
      <c r="BJ6" s="11">
        <f>BI6/'Premissas'!$B$30</f>
        <v>0.0</v>
      </c>
      <c r="BK6" s="8">
        <f>IF(A6&lt;=12,'Premissas'!$B$24,'Premissas'!$B$25)</f>
        <v>37000</v>
      </c>
      <c r="BL6" s="8">
        <f>ROUND(J6+V6+AD6+AL6+AT6+BB6,2)</f>
        <v>0.0</v>
      </c>
      <c r="BM6" s="8">
        <f>ROUND(L6+V6+AD6+AL6+AT6+BB6,2)</f>
        <v>0.0</v>
      </c>
      <c r="BN6" s="8">
        <f>ROUND(T6+AB6+AJ6+AR6+AZ6+BH6,2)</f>
        <v>0.0</v>
      </c>
      <c r="BO6" s="8">
        <f>ROUND(O6+W6+AE6+AM6+AU6+BC6,2)</f>
        <v>0.0</v>
      </c>
      <c r="BP6" s="8">
        <f>ROUND(P6+Q6+R6+S6+X6+Y6+Z6+BK6+AF6+AG6+AH6+AI6+AN6+AO6+AP6+AQ6+AV6+AW6+AX6+AY6+BD6+BE6+BF6+BG6,2)</f>
        <v>37000.0</v>
      </c>
      <c r="BQ6" s="8">
        <f>ROUND(BO6-BP6,2)</f>
        <v>-37000.0</v>
      </c>
      <c r="BR6" s="8">
        <f>ROUND(BR5+BQ6,2)</f>
        <v>-174000.0</v>
      </c>
      <c r="BS6" s="8">
        <f>ROUND(BN6-BK6,2)</f>
        <v>-37000.0</v>
      </c>
      <c r="BT6" s="8">
        <f>ROUND(BT5+N6-O6+V6-W6+AL6-AM6,2)</f>
        <v>0.0</v>
      </c>
      <c r="BU6" s="10">
        <f>IF(BR6&gt;=0,A6,999)</f>
        <v>999</v>
      </c>
      <c r="BV6" s="8">
        <f>ROUND(BR6+200000,2)</f>
        <v>26000.0</v>
      </c>
    </row>
    <row r="7" spans="1:74">
      <c r="A7" s="10">
        <v>3</v>
      </c>
      <c r="B7" s="7">
        <v>50</v>
      </c>
      <c r="C7" s="7">
        <v>1</v>
      </c>
      <c r="D7" s="7">
        <v>1</v>
      </c>
      <c r="E7" s="7">
        <v>1</v>
      </c>
      <c r="F7" s="7">
        <v>0</v>
      </c>
      <c r="G7" s="10">
        <f>MAX(0,F7-F6)</f>
        <v>0</v>
      </c>
      <c r="H7" s="10">
        <f>ROUNDUP(B7/'Premissas'!$B$14,0)</f>
        <v>2500</v>
      </c>
      <c r="I7" s="8">
        <f>ROUND(B7*'Premissas'!$B$5,2)</f>
        <v>1450.0</v>
      </c>
      <c r="J7" s="8">
        <f>ROUND(I7*'Premissas'!$B$6,2)</f>
        <v>7250.0</v>
      </c>
      <c r="K7" s="8">
        <f>ROUND(J7*'Premissas'!$B$7,2)</f>
        <v>580.0</v>
      </c>
      <c r="L7" s="8">
        <f>ROUND(J7-K7,2)</f>
        <v>6670.0</v>
      </c>
      <c r="M7" s="8">
        <f>ROUND(L7*'Premissas'!$B$8+B7*(1-'Premissas'!$B$7)*'Premissas'!$B$9*'Premissas'!$B$6,2)</f>
        <v>890.33</v>
      </c>
      <c r="N7" s="8">
        <f>ROUND(L7-M7,2)</f>
        <v>5779.67</v>
      </c>
      <c r="O7" s="8">
        <f>IF(A7&gt;'Premissas'!$B$20,INDEX($N$5:$N$28,MAX(1,A7-'Premissas'!$B$20)),0)</f>
        <v>0.0</v>
      </c>
      <c r="P7" s="8">
        <f>ROUND(L7*'Premissas'!$B$10,2)</f>
        <v>1000.5</v>
      </c>
      <c r="Q7" s="8">
        <f>ROUND(L7*'Premissas'!$B$11,2)</f>
        <v>200.1</v>
      </c>
      <c r="R7" s="8">
        <f>ROUND(B7*'Premissas'!$B$12*'Premissas'!$B$6,2)</f>
        <v>2500.0</v>
      </c>
      <c r="S7" s="8">
        <f>ROUND(B7*'Premissas'!$B$13*'Premissas'!$B$6,2)</f>
        <v>250.0</v>
      </c>
      <c r="T7" s="8">
        <f>ROUND(L7-M7-P7-Q7-R7-S7,2)</f>
        <v>1829.07</v>
      </c>
      <c r="U7" s="10">
        <f>C7*'Premissas'!$B$16</f>
        <v>80</v>
      </c>
      <c r="V7" s="8">
        <f>ROUND(C7*'Premissas'!$B$15,2)</f>
        <v>30000.0</v>
      </c>
      <c r="W7" s="8">
        <f>ROUND(V7*'Premissas'!$B$19+V6*(1-'Premissas'!$B$19),2)</f>
        <v>15000.0</v>
      </c>
      <c r="X7" s="8">
        <f>ROUND(U7*'Premissas'!$B$17,2)</f>
        <v>14400.0</v>
      </c>
      <c r="Y7" s="8">
        <f>ROUND(V7*'Premissas'!$B$10,2)</f>
        <v>4500.0</v>
      </c>
      <c r="Z7" s="8">
        <f>ROUND(W7*'Premissas'!$B$18,2)</f>
        <v>750.0</v>
      </c>
      <c r="AA7" s="8">
        <f>ROUND(V7*'Premissas'!$B$18,2)</f>
        <v>1500.0</v>
      </c>
      <c r="AB7" s="8">
        <f>ROUND(V7-X7-Y7-AA7,2)</f>
        <v>9600.0</v>
      </c>
      <c r="AC7" s="10">
        <f>D7*'Ofertas'!$C$5</f>
        <v>12.0</v>
      </c>
      <c r="AD7" s="8">
        <f>ROUND(D7*'Ofertas'!$B$5,2)</f>
        <v>4500.0</v>
      </c>
      <c r="AE7" s="8">
        <f>AD7</f>
        <v>4500.0</v>
      </c>
      <c r="AF7" s="8">
        <f>ROUND(AC7*'Ofertas'!$D$5,2)</f>
        <v>1440.0</v>
      </c>
      <c r="AG7" s="8">
        <f>ROUND(AD7*'Premissas'!$B$10,2)</f>
        <v>675.0</v>
      </c>
      <c r="AH7" s="8">
        <f>ROUND(AD7*'Premissas'!$B$31,2)</f>
        <v>225.0</v>
      </c>
      <c r="AI7" s="8">
        <f>ROUND(D7*'Ofertas'!$H$5,2)</f>
        <v>160.0</v>
      </c>
      <c r="AJ7" s="8">
        <f>ROUND(AD7-AF7-AG7-AH7-AI7,2)</f>
        <v>2000.0</v>
      </c>
      <c r="AK7" s="10">
        <f>E7*'Ofertas'!$C$6</f>
        <v>40.0</v>
      </c>
      <c r="AL7" s="8">
        <f>ROUND(E7*'Ofertas'!$B$6,2)</f>
        <v>18000.0</v>
      </c>
      <c r="AM7" s="8">
        <f>ROUND(AL7*'Premissas'!$B$32+AL6*(1-'Premissas'!$B$32),2)</f>
        <v>9000.0</v>
      </c>
      <c r="AN7" s="8">
        <f>ROUND(AK7*'Ofertas'!$D$6,2)</f>
        <v>7200.0</v>
      </c>
      <c r="AO7" s="8">
        <f>ROUND(AL7*'Premissas'!$B$10,2)</f>
        <v>2700.0</v>
      </c>
      <c r="AP7" s="8">
        <f>ROUND(AL7*'Premissas'!$B$31,2)</f>
        <v>900.0</v>
      </c>
      <c r="AQ7" s="8">
        <f>ROUND(E7*'Ofertas'!$H$6,2)</f>
        <v>600.0</v>
      </c>
      <c r="AR7" s="8">
        <f>ROUND(AL7-AN7-AO7-AP7-AQ7,2)</f>
        <v>6600.0</v>
      </c>
      <c r="AS7" s="10">
        <f>F7*'Ofertas'!$C$7</f>
        <v>0.0</v>
      </c>
      <c r="AT7" s="8">
        <f>ROUND(F7*'Ofertas'!$B$7,2)</f>
        <v>0.0</v>
      </c>
      <c r="AU7" s="8">
        <f>AT7</f>
        <v>0.0</v>
      </c>
      <c r="AV7" s="8">
        <f>ROUND(AS7*'Ofertas'!$D$7,2)</f>
        <v>0.0</v>
      </c>
      <c r="AW7" s="8">
        <f>ROUND(AT7*'Premissas'!$B$10,2)</f>
        <v>0.0</v>
      </c>
      <c r="AX7" s="8">
        <f>ROUND(AT7*'Premissas'!$B$31,2)</f>
        <v>0.0</v>
      </c>
      <c r="AY7" s="8">
        <f>ROUND(F7*'Ofertas'!$H$7,2)</f>
        <v>0.0</v>
      </c>
      <c r="AZ7" s="8">
        <f>ROUND(AT7-AV7-AW7-AX7-AY7,2)</f>
        <v>0.0</v>
      </c>
      <c r="BA7" s="10">
        <f>G7*'Ofertas'!$C$8</f>
        <v>0.0</v>
      </c>
      <c r="BB7" s="8">
        <f>ROUND(G7*'Ofertas'!$B$8,2)</f>
        <v>0.0</v>
      </c>
      <c r="BC7" s="8">
        <f>BB7</f>
        <v>0.0</v>
      </c>
      <c r="BD7" s="8">
        <f>ROUND(BA7*'Ofertas'!$D$8,2)</f>
        <v>0.0</v>
      </c>
      <c r="BE7" s="8">
        <f>ROUND(BB7*'Premissas'!$B$10,2)</f>
        <v>0.0</v>
      </c>
      <c r="BF7" s="8">
        <f>ROUND(BB7*'Premissas'!$B$31,2)</f>
        <v>0.0</v>
      </c>
      <c r="BG7" s="8">
        <f>ROUND(G7*'Ofertas'!$H$8,2)</f>
        <v>0.0</v>
      </c>
      <c r="BH7" s="8">
        <f>ROUND(BB7-BD7-BE7-BF7-BG7,2)</f>
        <v>0.0</v>
      </c>
      <c r="BI7" s="10">
        <f>U7+AC7+AK7+AS7+BA7</f>
        <v>132.0</v>
      </c>
      <c r="BJ7" s="11">
        <f>BI7/'Premissas'!$B$30</f>
        <v>0.825</v>
      </c>
      <c r="BK7" s="8">
        <f>IF(A7&lt;=12,'Premissas'!$B$24,'Premissas'!$B$25)</f>
        <v>37000</v>
      </c>
      <c r="BL7" s="8">
        <f>ROUND(J7+V7+AD7+AL7+AT7+BB7,2)</f>
        <v>59750.0</v>
      </c>
      <c r="BM7" s="8">
        <f>ROUND(L7+V7+AD7+AL7+AT7+BB7,2)</f>
        <v>59170.0</v>
      </c>
      <c r="BN7" s="8">
        <f>ROUND(T7+AB7+AJ7+AR7+AZ7+BH7,2)</f>
        <v>20029.07</v>
      </c>
      <c r="BO7" s="8">
        <f>ROUND(O7+W7+AE7+AM7+AU7+BC7,2)</f>
        <v>28500.0</v>
      </c>
      <c r="BP7" s="8">
        <f>ROUND(P7+Q7+R7+S7+X7+Y7+Z7+BK7+AF7+AG7+AH7+AI7+AN7+AO7+AP7+AQ7+AV7+AW7+AX7+AY7+BD7+BE7+BF7+BG7,2)</f>
        <v>74500.6</v>
      </c>
      <c r="BQ7" s="8">
        <f>ROUND(BO7-BP7,2)</f>
        <v>-46000.6</v>
      </c>
      <c r="BR7" s="8">
        <f>ROUND(BR6+BQ7,2)</f>
        <v>-220000.6</v>
      </c>
      <c r="BS7" s="8">
        <f>ROUND(BN7-BK7,2)</f>
        <v>-16970.93</v>
      </c>
      <c r="BT7" s="8">
        <f>ROUND(BT6+N7-O7+V7-W7+AL7-AM7,2)</f>
        <v>29779.67</v>
      </c>
      <c r="BU7" s="10">
        <f>IF(BR7&gt;=0,A7,999)</f>
        <v>999</v>
      </c>
      <c r="BV7" s="8">
        <f>ROUND(BR7+200000,2)</f>
        <v>-20000.6</v>
      </c>
    </row>
    <row r="8" spans="1:74">
      <c r="A8" s="10">
        <v>4</v>
      </c>
      <c r="B8" s="7">
        <v>150</v>
      </c>
      <c r="C8" s="7">
        <v>0</v>
      </c>
      <c r="D8" s="7">
        <v>2</v>
      </c>
      <c r="E8" s="7">
        <v>1</v>
      </c>
      <c r="F8" s="7">
        <v>1</v>
      </c>
      <c r="G8" s="10">
        <f>MAX(0,F8-F7)</f>
        <v>1</v>
      </c>
      <c r="H8" s="10">
        <f>ROUNDUP(B8/'Premissas'!$B$14,0)</f>
        <v>7500</v>
      </c>
      <c r="I8" s="8">
        <f>ROUND(B8*'Premissas'!$B$5,2)</f>
        <v>4350.0</v>
      </c>
      <c r="J8" s="8">
        <f>ROUND(I8*'Premissas'!$B$6,2)</f>
        <v>21750.0</v>
      </c>
      <c r="K8" s="8">
        <f>ROUND(J8*'Premissas'!$B$7,2)</f>
        <v>1740.0</v>
      </c>
      <c r="L8" s="8">
        <f>ROUND(J8-K8,2)</f>
        <v>20010.0</v>
      </c>
      <c r="M8" s="8">
        <f>ROUND(L8*'Premissas'!$B$8+B8*(1-'Premissas'!$B$7)*'Premissas'!$B$9*'Premissas'!$B$6,2)</f>
        <v>2670.99</v>
      </c>
      <c r="N8" s="8">
        <f>ROUND(L8-M8,2)</f>
        <v>17339.01</v>
      </c>
      <c r="O8" s="8">
        <f>IF(A8&gt;'Premissas'!$B$20,INDEX($N$5:$N$28,MAX(1,A8-'Premissas'!$B$20)),0)</f>
        <v>5779.67</v>
      </c>
      <c r="P8" s="8">
        <f>ROUND(L8*'Premissas'!$B$10,2)</f>
        <v>3001.5</v>
      </c>
      <c r="Q8" s="8">
        <f>ROUND(L8*'Premissas'!$B$11,2)</f>
        <v>600.3</v>
      </c>
      <c r="R8" s="8">
        <f>ROUND(B8*'Premissas'!$B$12*'Premissas'!$B$6,2)</f>
        <v>7500.0</v>
      </c>
      <c r="S8" s="8">
        <f>ROUND(B8*'Premissas'!$B$13*'Premissas'!$B$6,2)</f>
        <v>750.0</v>
      </c>
      <c r="T8" s="8">
        <f>ROUND(L8-M8-P8-Q8-R8-S8,2)</f>
        <v>5487.21</v>
      </c>
      <c r="U8" s="10">
        <f>C8*'Premissas'!$B$16</f>
        <v>0</v>
      </c>
      <c r="V8" s="8">
        <f>ROUND(C8*'Premissas'!$B$15,2)</f>
        <v>0.0</v>
      </c>
      <c r="W8" s="8">
        <f>ROUND(V8*'Premissas'!$B$19+V7*(1-'Premissas'!$B$19),2)</f>
        <v>15000.0</v>
      </c>
      <c r="X8" s="8">
        <f>ROUND(U8*'Premissas'!$B$17,2)</f>
        <v>0.0</v>
      </c>
      <c r="Y8" s="8">
        <f>ROUND(V8*'Premissas'!$B$10,2)</f>
        <v>0.0</v>
      </c>
      <c r="Z8" s="8">
        <f>ROUND(W8*'Premissas'!$B$18,2)</f>
        <v>750.0</v>
      </c>
      <c r="AA8" s="8">
        <f>ROUND(V8*'Premissas'!$B$18,2)</f>
        <v>0.0</v>
      </c>
      <c r="AB8" s="8">
        <f>ROUND(V8-X8-Y8-AA8,2)</f>
        <v>0.0</v>
      </c>
      <c r="AC8" s="10">
        <f>D8*'Ofertas'!$C$5</f>
        <v>24.0</v>
      </c>
      <c r="AD8" s="8">
        <f>ROUND(D8*'Ofertas'!$B$5,2)</f>
        <v>9000.0</v>
      </c>
      <c r="AE8" s="8">
        <f>AD8</f>
        <v>9000.0</v>
      </c>
      <c r="AF8" s="8">
        <f>ROUND(AC8*'Ofertas'!$D$5,2)</f>
        <v>2880.0</v>
      </c>
      <c r="AG8" s="8">
        <f>ROUND(AD8*'Premissas'!$B$10,2)</f>
        <v>1350.0</v>
      </c>
      <c r="AH8" s="8">
        <f>ROUND(AD8*'Premissas'!$B$31,2)</f>
        <v>450.0</v>
      </c>
      <c r="AI8" s="8">
        <f>ROUND(D8*'Ofertas'!$H$5,2)</f>
        <v>320.0</v>
      </c>
      <c r="AJ8" s="8">
        <f>ROUND(AD8-AF8-AG8-AH8-AI8,2)</f>
        <v>4000.0</v>
      </c>
      <c r="AK8" s="10">
        <f>E8*'Ofertas'!$C$6</f>
        <v>40.0</v>
      </c>
      <c r="AL8" s="8">
        <f>ROUND(E8*'Ofertas'!$B$6,2)</f>
        <v>18000.0</v>
      </c>
      <c r="AM8" s="8">
        <f>ROUND(AL8*'Premissas'!$B$32+AL7*(1-'Premissas'!$B$32),2)</f>
        <v>18000.0</v>
      </c>
      <c r="AN8" s="8">
        <f>ROUND(AK8*'Ofertas'!$D$6,2)</f>
        <v>7200.0</v>
      </c>
      <c r="AO8" s="8">
        <f>ROUND(AL8*'Premissas'!$B$10,2)</f>
        <v>2700.0</v>
      </c>
      <c r="AP8" s="8">
        <f>ROUND(AL8*'Premissas'!$B$31,2)</f>
        <v>900.0</v>
      </c>
      <c r="AQ8" s="8">
        <f>ROUND(E8*'Ofertas'!$H$6,2)</f>
        <v>600.0</v>
      </c>
      <c r="AR8" s="8">
        <f>ROUND(AL8-AN8-AO8-AP8-AQ8,2)</f>
        <v>6600.0</v>
      </c>
      <c r="AS8" s="10">
        <f>F8*'Ofertas'!$C$7</f>
        <v>8.0</v>
      </c>
      <c r="AT8" s="8">
        <f>ROUND(F8*'Ofertas'!$B$7,2)</f>
        <v>3500.0</v>
      </c>
      <c r="AU8" s="8">
        <f>AT8</f>
        <v>3500.0</v>
      </c>
      <c r="AV8" s="8">
        <f>ROUND(AS8*'Ofertas'!$D$7,2)</f>
        <v>960.0</v>
      </c>
      <c r="AW8" s="8">
        <f>ROUND(AT8*'Premissas'!$B$10,2)</f>
        <v>525.0</v>
      </c>
      <c r="AX8" s="8">
        <f>ROUND(AT8*'Premissas'!$B$31,2)</f>
        <v>175.0</v>
      </c>
      <c r="AY8" s="8">
        <f>ROUND(F8*'Ofertas'!$H$7,2)</f>
        <v>210.0</v>
      </c>
      <c r="AZ8" s="8">
        <f>ROUND(AT8-AV8-AW8-AX8-AY8,2)</f>
        <v>1630.0</v>
      </c>
      <c r="BA8" s="10">
        <f>G8*'Ofertas'!$C$8</f>
        <v>20.0</v>
      </c>
      <c r="BB8" s="8">
        <f>ROUND(G8*'Ofertas'!$B$8,2)</f>
        <v>6000.0</v>
      </c>
      <c r="BC8" s="8">
        <f>BB8</f>
        <v>6000.0</v>
      </c>
      <c r="BD8" s="8">
        <f>ROUND(BA8*'Ofertas'!$D$8,2)</f>
        <v>3600.0</v>
      </c>
      <c r="BE8" s="8">
        <f>ROUND(BB8*'Premissas'!$B$10,2)</f>
        <v>900.0</v>
      </c>
      <c r="BF8" s="8">
        <f>ROUND(BB8*'Premissas'!$B$31,2)</f>
        <v>300.0</v>
      </c>
      <c r="BG8" s="8">
        <f>ROUND(G8*'Ofertas'!$H$8,2)</f>
        <v>200.0</v>
      </c>
      <c r="BH8" s="8">
        <f>ROUND(BB8-BD8-BE8-BF8-BG8,2)</f>
        <v>1000.0</v>
      </c>
      <c r="BI8" s="10">
        <f>U8+AC8+AK8+AS8+BA8</f>
        <v>92.0</v>
      </c>
      <c r="BJ8" s="11">
        <f>BI8/'Premissas'!$B$30</f>
        <v>0.575</v>
      </c>
      <c r="BK8" s="8">
        <f>IF(A8&lt;=12,'Premissas'!$B$24,'Premissas'!$B$25)</f>
        <v>37000</v>
      </c>
      <c r="BL8" s="8">
        <f>ROUND(J8+V8+AD8+AL8+AT8+BB8,2)</f>
        <v>58250.0</v>
      </c>
      <c r="BM8" s="8">
        <f>ROUND(L8+V8+AD8+AL8+AT8+BB8,2)</f>
        <v>56510.0</v>
      </c>
      <c r="BN8" s="8">
        <f>ROUND(T8+AB8+AJ8+AR8+AZ8+BH8,2)</f>
        <v>18717.21</v>
      </c>
      <c r="BO8" s="8">
        <f>ROUND(O8+W8+AE8+AM8+AU8+BC8,2)</f>
        <v>57279.67</v>
      </c>
      <c r="BP8" s="8">
        <f>ROUND(P8+Q8+R8+S8+X8+Y8+Z8+BK8+AF8+AG8+AH8+AI8+AN8+AO8+AP8+AQ8+AV8+AW8+AX8+AY8+BD8+BE8+BF8+BG8,2)</f>
        <v>72871.8</v>
      </c>
      <c r="BQ8" s="8">
        <f>ROUND(BO8-BP8,2)</f>
        <v>-15592.13</v>
      </c>
      <c r="BR8" s="8">
        <f>ROUND(BR7+BQ8,2)</f>
        <v>-235592.73</v>
      </c>
      <c r="BS8" s="8">
        <f>ROUND(BN8-BK8,2)</f>
        <v>-18282.79</v>
      </c>
      <c r="BT8" s="8">
        <f>ROUND(BT7+N8-O8+V8-W8+AL8-AM8,2)</f>
        <v>26339.01</v>
      </c>
      <c r="BU8" s="10">
        <f>IF(BR8&gt;=0,A8,999)</f>
        <v>999</v>
      </c>
      <c r="BV8" s="8">
        <f>ROUND(BR8+200000,2)</f>
        <v>-35592.73</v>
      </c>
    </row>
    <row r="9" spans="1:74">
      <c r="A9" s="10">
        <v>5</v>
      </c>
      <c r="B9" s="7">
        <v>300</v>
      </c>
      <c r="C9" s="7">
        <v>1</v>
      </c>
      <c r="D9" s="7">
        <v>3</v>
      </c>
      <c r="E9" s="7">
        <v>1</v>
      </c>
      <c r="F9" s="7">
        <v>2</v>
      </c>
      <c r="G9" s="10">
        <f>MAX(0,F9-F8)</f>
        <v>1</v>
      </c>
      <c r="H9" s="10">
        <f>ROUNDUP(B9/'Premissas'!$B$14,0)</f>
        <v>15000</v>
      </c>
      <c r="I9" s="8">
        <f>ROUND(B9*'Premissas'!$B$5,2)</f>
        <v>8700.0</v>
      </c>
      <c r="J9" s="8">
        <f>ROUND(I9*'Premissas'!$B$6,2)</f>
        <v>43500.0</v>
      </c>
      <c r="K9" s="8">
        <f>ROUND(J9*'Premissas'!$B$7,2)</f>
        <v>3480.0</v>
      </c>
      <c r="L9" s="8">
        <f>ROUND(J9-K9,2)</f>
        <v>40020.0</v>
      </c>
      <c r="M9" s="8">
        <f>ROUND(L9*'Premissas'!$B$8+B9*(1-'Premissas'!$B$7)*'Premissas'!$B$9*'Premissas'!$B$6,2)</f>
        <v>5341.98</v>
      </c>
      <c r="N9" s="8">
        <f>ROUND(L9-M9,2)</f>
        <v>34678.02</v>
      </c>
      <c r="O9" s="8">
        <f>IF(A9&gt;'Premissas'!$B$20,INDEX($N$5:$N$28,MAX(1,A9-'Premissas'!$B$20)),0)</f>
        <v>17339.01</v>
      </c>
      <c r="P9" s="8">
        <f>ROUND(L9*'Premissas'!$B$10,2)</f>
        <v>6003.0</v>
      </c>
      <c r="Q9" s="8">
        <f>ROUND(L9*'Premissas'!$B$11,2)</f>
        <v>1200.6</v>
      </c>
      <c r="R9" s="8">
        <f>ROUND(B9*'Premissas'!$B$12*'Premissas'!$B$6,2)</f>
        <v>15000.0</v>
      </c>
      <c r="S9" s="8">
        <f>ROUND(B9*'Premissas'!$B$13*'Premissas'!$B$6,2)</f>
        <v>1500.0</v>
      </c>
      <c r="T9" s="8">
        <f>ROUND(L9-M9-P9-Q9-R9-S9,2)</f>
        <v>10974.42</v>
      </c>
      <c r="U9" s="10">
        <f>C9*'Premissas'!$B$16</f>
        <v>80</v>
      </c>
      <c r="V9" s="8">
        <f>ROUND(C9*'Premissas'!$B$15,2)</f>
        <v>30000.0</v>
      </c>
      <c r="W9" s="8">
        <f>ROUND(V9*'Premissas'!$B$19+V8*(1-'Premissas'!$B$19),2)</f>
        <v>15000.0</v>
      </c>
      <c r="X9" s="8">
        <f>ROUND(U9*'Premissas'!$B$17,2)</f>
        <v>14400.0</v>
      </c>
      <c r="Y9" s="8">
        <f>ROUND(V9*'Premissas'!$B$10,2)</f>
        <v>4500.0</v>
      </c>
      <c r="Z9" s="8">
        <f>ROUND(W9*'Premissas'!$B$18,2)</f>
        <v>750.0</v>
      </c>
      <c r="AA9" s="8">
        <f>ROUND(V9*'Premissas'!$B$18,2)</f>
        <v>1500.0</v>
      </c>
      <c r="AB9" s="8">
        <f>ROUND(V9-X9-Y9-AA9,2)</f>
        <v>9600.0</v>
      </c>
      <c r="AC9" s="10">
        <f>D9*'Ofertas'!$C$5</f>
        <v>36.0</v>
      </c>
      <c r="AD9" s="8">
        <f>ROUND(D9*'Ofertas'!$B$5,2)</f>
        <v>13500.0</v>
      </c>
      <c r="AE9" s="8">
        <f>AD9</f>
        <v>13500.0</v>
      </c>
      <c r="AF9" s="8">
        <f>ROUND(AC9*'Ofertas'!$D$5,2)</f>
        <v>4320.0</v>
      </c>
      <c r="AG9" s="8">
        <f>ROUND(AD9*'Premissas'!$B$10,2)</f>
        <v>2025.0</v>
      </c>
      <c r="AH9" s="8">
        <f>ROUND(AD9*'Premissas'!$B$31,2)</f>
        <v>675.0</v>
      </c>
      <c r="AI9" s="8">
        <f>ROUND(D9*'Ofertas'!$H$5,2)</f>
        <v>480.0</v>
      </c>
      <c r="AJ9" s="8">
        <f>ROUND(AD9-AF9-AG9-AH9-AI9,2)</f>
        <v>6000.0</v>
      </c>
      <c r="AK9" s="10">
        <f>E9*'Ofertas'!$C$6</f>
        <v>40.0</v>
      </c>
      <c r="AL9" s="8">
        <f>ROUND(E9*'Ofertas'!$B$6,2)</f>
        <v>18000.0</v>
      </c>
      <c r="AM9" s="8">
        <f>ROUND(AL9*'Premissas'!$B$32+AL8*(1-'Premissas'!$B$32),2)</f>
        <v>18000.0</v>
      </c>
      <c r="AN9" s="8">
        <f>ROUND(AK9*'Ofertas'!$D$6,2)</f>
        <v>7200.0</v>
      </c>
      <c r="AO9" s="8">
        <f>ROUND(AL9*'Premissas'!$B$10,2)</f>
        <v>2700.0</v>
      </c>
      <c r="AP9" s="8">
        <f>ROUND(AL9*'Premissas'!$B$31,2)</f>
        <v>900.0</v>
      </c>
      <c r="AQ9" s="8">
        <f>ROUND(E9*'Ofertas'!$H$6,2)</f>
        <v>600.0</v>
      </c>
      <c r="AR9" s="8">
        <f>ROUND(AL9-AN9-AO9-AP9-AQ9,2)</f>
        <v>6600.0</v>
      </c>
      <c r="AS9" s="10">
        <f>F9*'Ofertas'!$C$7</f>
        <v>16.0</v>
      </c>
      <c r="AT9" s="8">
        <f>ROUND(F9*'Ofertas'!$B$7,2)</f>
        <v>7000.0</v>
      </c>
      <c r="AU9" s="8">
        <f>AT9</f>
        <v>7000.0</v>
      </c>
      <c r="AV9" s="8">
        <f>ROUND(AS9*'Ofertas'!$D$7,2)</f>
        <v>1920.0</v>
      </c>
      <c r="AW9" s="8">
        <f>ROUND(AT9*'Premissas'!$B$10,2)</f>
        <v>1050.0</v>
      </c>
      <c r="AX9" s="8">
        <f>ROUND(AT9*'Premissas'!$B$31,2)</f>
        <v>350.0</v>
      </c>
      <c r="AY9" s="8">
        <f>ROUND(F9*'Ofertas'!$H$7,2)</f>
        <v>420.0</v>
      </c>
      <c r="AZ9" s="8">
        <f>ROUND(AT9-AV9-AW9-AX9-AY9,2)</f>
        <v>3260.0</v>
      </c>
      <c r="BA9" s="10">
        <f>G9*'Ofertas'!$C$8</f>
        <v>20.0</v>
      </c>
      <c r="BB9" s="8">
        <f>ROUND(G9*'Ofertas'!$B$8,2)</f>
        <v>6000.0</v>
      </c>
      <c r="BC9" s="8">
        <f>BB9</f>
        <v>6000.0</v>
      </c>
      <c r="BD9" s="8">
        <f>ROUND(BA9*'Ofertas'!$D$8,2)</f>
        <v>3600.0</v>
      </c>
      <c r="BE9" s="8">
        <f>ROUND(BB9*'Premissas'!$B$10,2)</f>
        <v>900.0</v>
      </c>
      <c r="BF9" s="8">
        <f>ROUND(BB9*'Premissas'!$B$31,2)</f>
        <v>300.0</v>
      </c>
      <c r="BG9" s="8">
        <f>ROUND(G9*'Ofertas'!$H$8,2)</f>
        <v>200.0</v>
      </c>
      <c r="BH9" s="8">
        <f>ROUND(BB9-BD9-BE9-BF9-BG9,2)</f>
        <v>1000.0</v>
      </c>
      <c r="BI9" s="10">
        <f>U9+AC9+AK9+AS9+BA9</f>
        <v>192.0</v>
      </c>
      <c r="BJ9" s="11">
        <f>BI9/'Premissas'!$B$30</f>
        <v>1.2</v>
      </c>
      <c r="BK9" s="8">
        <f>IF(A9&lt;=12,'Premissas'!$B$24,'Premissas'!$B$25)</f>
        <v>37000</v>
      </c>
      <c r="BL9" s="8">
        <f>ROUND(J9+V9+AD9+AL9+AT9+BB9,2)</f>
        <v>118000.0</v>
      </c>
      <c r="BM9" s="8">
        <f>ROUND(L9+V9+AD9+AL9+AT9+BB9,2)</f>
        <v>114520.0</v>
      </c>
      <c r="BN9" s="8">
        <f>ROUND(T9+AB9+AJ9+AR9+AZ9+BH9,2)</f>
        <v>37434.42</v>
      </c>
      <c r="BO9" s="8">
        <f>ROUND(O9+W9+AE9+AM9+AU9+BC9,2)</f>
        <v>76839.01</v>
      </c>
      <c r="BP9" s="8">
        <f>ROUND(P9+Q9+R9+S9+X9+Y9+Z9+BK9+AF9+AG9+AH9+AI9+AN9+AO9+AP9+AQ9+AV9+AW9+AX9+AY9+BD9+BE9+BF9+BG9,2)</f>
        <v>107993.6</v>
      </c>
      <c r="BQ9" s="8">
        <f>ROUND(BO9-BP9,2)</f>
        <v>-31154.59</v>
      </c>
      <c r="BR9" s="8">
        <f>ROUND(BR8+BQ9,2)</f>
        <v>-266747.32</v>
      </c>
      <c r="BS9" s="8">
        <f>ROUND(BN9-BK9,2)</f>
        <v>434.42</v>
      </c>
      <c r="BT9" s="8">
        <f>ROUND(BT8+N9-O9+V9-W9+AL9-AM9,2)</f>
        <v>58678.02</v>
      </c>
      <c r="BU9" s="10">
        <f>IF(BR9&gt;=0,A9,999)</f>
        <v>999</v>
      </c>
      <c r="BV9" s="8">
        <f>ROUND(BR9+200000,2)</f>
        <v>-66747.32</v>
      </c>
    </row>
    <row r="10" spans="1:74">
      <c r="A10" s="10">
        <v>6</v>
      </c>
      <c r="B10" s="7">
        <v>500</v>
      </c>
      <c r="C10" s="7">
        <v>0</v>
      </c>
      <c r="D10" s="7">
        <v>4</v>
      </c>
      <c r="E10" s="7">
        <v>1</v>
      </c>
      <c r="F10" s="7">
        <v>2</v>
      </c>
      <c r="G10" s="10">
        <f>MAX(0,F10-F9)</f>
        <v>0</v>
      </c>
      <c r="H10" s="10">
        <f>ROUNDUP(B10/'Premissas'!$B$14,0)</f>
        <v>25000</v>
      </c>
      <c r="I10" s="8">
        <f>ROUND(B10*'Premissas'!$B$5,2)</f>
        <v>14500.0</v>
      </c>
      <c r="J10" s="8">
        <f>ROUND(I10*'Premissas'!$B$6,2)</f>
        <v>72500.0</v>
      </c>
      <c r="K10" s="8">
        <f>ROUND(J10*'Premissas'!$B$7,2)</f>
        <v>5800.0</v>
      </c>
      <c r="L10" s="8">
        <f>ROUND(J10-K10,2)</f>
        <v>66700.0</v>
      </c>
      <c r="M10" s="8">
        <f>ROUND(L10*'Premissas'!$B$8+B10*(1-'Premissas'!$B$7)*'Premissas'!$B$9*'Premissas'!$B$6,2)</f>
        <v>8903.3</v>
      </c>
      <c r="N10" s="8">
        <f>ROUND(L10-M10,2)</f>
        <v>57796.7</v>
      </c>
      <c r="O10" s="8">
        <f>IF(A10&gt;'Premissas'!$B$20,INDEX($N$5:$N$28,MAX(1,A10-'Premissas'!$B$20)),0)</f>
        <v>34678.02</v>
      </c>
      <c r="P10" s="8">
        <f>ROUND(L10*'Premissas'!$B$10,2)</f>
        <v>10005.0</v>
      </c>
      <c r="Q10" s="8">
        <f>ROUND(L10*'Premissas'!$B$11,2)</f>
        <v>2001.0</v>
      </c>
      <c r="R10" s="8">
        <f>ROUND(B10*'Premissas'!$B$12*'Premissas'!$B$6,2)</f>
        <v>25000.0</v>
      </c>
      <c r="S10" s="8">
        <f>ROUND(B10*'Premissas'!$B$13*'Premissas'!$B$6,2)</f>
        <v>2500.0</v>
      </c>
      <c r="T10" s="8">
        <f>ROUND(L10-M10-P10-Q10-R10-S10,2)</f>
        <v>18290.7</v>
      </c>
      <c r="U10" s="10">
        <f>C10*'Premissas'!$B$16</f>
        <v>0</v>
      </c>
      <c r="V10" s="8">
        <f>ROUND(C10*'Premissas'!$B$15,2)</f>
        <v>0.0</v>
      </c>
      <c r="W10" s="8">
        <f>ROUND(V10*'Premissas'!$B$19+V9*(1-'Premissas'!$B$19),2)</f>
        <v>15000.0</v>
      </c>
      <c r="X10" s="8">
        <f>ROUND(U10*'Premissas'!$B$17,2)</f>
        <v>0.0</v>
      </c>
      <c r="Y10" s="8">
        <f>ROUND(V10*'Premissas'!$B$10,2)</f>
        <v>0.0</v>
      </c>
      <c r="Z10" s="8">
        <f>ROUND(W10*'Premissas'!$B$18,2)</f>
        <v>750.0</v>
      </c>
      <c r="AA10" s="8">
        <f>ROUND(V10*'Premissas'!$B$18,2)</f>
        <v>0.0</v>
      </c>
      <c r="AB10" s="8">
        <f>ROUND(V10-X10-Y10-AA10,2)</f>
        <v>0.0</v>
      </c>
      <c r="AC10" s="10">
        <f>D10*'Ofertas'!$C$5</f>
        <v>48.0</v>
      </c>
      <c r="AD10" s="8">
        <f>ROUND(D10*'Ofertas'!$B$5,2)</f>
        <v>18000.0</v>
      </c>
      <c r="AE10" s="8">
        <f>AD10</f>
        <v>18000.0</v>
      </c>
      <c r="AF10" s="8">
        <f>ROUND(AC10*'Ofertas'!$D$5,2)</f>
        <v>5760.0</v>
      </c>
      <c r="AG10" s="8">
        <f>ROUND(AD10*'Premissas'!$B$10,2)</f>
        <v>2700.0</v>
      </c>
      <c r="AH10" s="8">
        <f>ROUND(AD10*'Premissas'!$B$31,2)</f>
        <v>900.0</v>
      </c>
      <c r="AI10" s="8">
        <f>ROUND(D10*'Ofertas'!$H$5,2)</f>
        <v>640.0</v>
      </c>
      <c r="AJ10" s="8">
        <f>ROUND(AD10-AF10-AG10-AH10-AI10,2)</f>
        <v>8000.0</v>
      </c>
      <c r="AK10" s="10">
        <f>E10*'Ofertas'!$C$6</f>
        <v>40.0</v>
      </c>
      <c r="AL10" s="8">
        <f>ROUND(E10*'Ofertas'!$B$6,2)</f>
        <v>18000.0</v>
      </c>
      <c r="AM10" s="8">
        <f>ROUND(AL10*'Premissas'!$B$32+AL9*(1-'Premissas'!$B$32),2)</f>
        <v>18000.0</v>
      </c>
      <c r="AN10" s="8">
        <f>ROUND(AK10*'Ofertas'!$D$6,2)</f>
        <v>7200.0</v>
      </c>
      <c r="AO10" s="8">
        <f>ROUND(AL10*'Premissas'!$B$10,2)</f>
        <v>2700.0</v>
      </c>
      <c r="AP10" s="8">
        <f>ROUND(AL10*'Premissas'!$B$31,2)</f>
        <v>900.0</v>
      </c>
      <c r="AQ10" s="8">
        <f>ROUND(E10*'Ofertas'!$H$6,2)</f>
        <v>600.0</v>
      </c>
      <c r="AR10" s="8">
        <f>ROUND(AL10-AN10-AO10-AP10-AQ10,2)</f>
        <v>6600.0</v>
      </c>
      <c r="AS10" s="10">
        <f>F10*'Ofertas'!$C$7</f>
        <v>16.0</v>
      </c>
      <c r="AT10" s="8">
        <f>ROUND(F10*'Ofertas'!$B$7,2)</f>
        <v>7000.0</v>
      </c>
      <c r="AU10" s="8">
        <f>AT10</f>
        <v>7000.0</v>
      </c>
      <c r="AV10" s="8">
        <f>ROUND(AS10*'Ofertas'!$D$7,2)</f>
        <v>1920.0</v>
      </c>
      <c r="AW10" s="8">
        <f>ROUND(AT10*'Premissas'!$B$10,2)</f>
        <v>1050.0</v>
      </c>
      <c r="AX10" s="8">
        <f>ROUND(AT10*'Premissas'!$B$31,2)</f>
        <v>350.0</v>
      </c>
      <c r="AY10" s="8">
        <f>ROUND(F10*'Ofertas'!$H$7,2)</f>
        <v>420.0</v>
      </c>
      <c r="AZ10" s="8">
        <f>ROUND(AT10-AV10-AW10-AX10-AY10,2)</f>
        <v>3260.0</v>
      </c>
      <c r="BA10" s="10">
        <f>G10*'Ofertas'!$C$8</f>
        <v>0.0</v>
      </c>
      <c r="BB10" s="8">
        <f>ROUND(G10*'Ofertas'!$B$8,2)</f>
        <v>0.0</v>
      </c>
      <c r="BC10" s="8">
        <f>BB10</f>
        <v>0.0</v>
      </c>
      <c r="BD10" s="8">
        <f>ROUND(BA10*'Ofertas'!$D$8,2)</f>
        <v>0.0</v>
      </c>
      <c r="BE10" s="8">
        <f>ROUND(BB10*'Premissas'!$B$10,2)</f>
        <v>0.0</v>
      </c>
      <c r="BF10" s="8">
        <f>ROUND(BB10*'Premissas'!$B$31,2)</f>
        <v>0.0</v>
      </c>
      <c r="BG10" s="8">
        <f>ROUND(G10*'Ofertas'!$H$8,2)</f>
        <v>0.0</v>
      </c>
      <c r="BH10" s="8">
        <f>ROUND(BB10-BD10-BE10-BF10-BG10,2)</f>
        <v>0.0</v>
      </c>
      <c r="BI10" s="10">
        <f>U10+AC10+AK10+AS10+BA10</f>
        <v>104.0</v>
      </c>
      <c r="BJ10" s="11">
        <f>BI10/'Premissas'!$B$30</f>
        <v>0.65</v>
      </c>
      <c r="BK10" s="8">
        <f>IF(A10&lt;=12,'Premissas'!$B$24,'Premissas'!$B$25)</f>
        <v>37000</v>
      </c>
      <c r="BL10" s="8">
        <f>ROUND(J10+V10+AD10+AL10+AT10+BB10,2)</f>
        <v>115500.0</v>
      </c>
      <c r="BM10" s="8">
        <f>ROUND(L10+V10+AD10+AL10+AT10+BB10,2)</f>
        <v>109700.0</v>
      </c>
      <c r="BN10" s="8">
        <f>ROUND(T10+AB10+AJ10+AR10+AZ10+BH10,2)</f>
        <v>36150.7</v>
      </c>
      <c r="BO10" s="8">
        <f>ROUND(O10+W10+AE10+AM10+AU10+BC10,2)</f>
        <v>92678.02</v>
      </c>
      <c r="BP10" s="8">
        <f>ROUND(P10+Q10+R10+S10+X10+Y10+Z10+BK10+AF10+AG10+AH10+AI10+AN10+AO10+AP10+AQ10+AV10+AW10+AX10+AY10+BD10+BE10+BF10+BG10,2)</f>
        <v>102396.0</v>
      </c>
      <c r="BQ10" s="8">
        <f>ROUND(BO10-BP10,2)</f>
        <v>-9717.98</v>
      </c>
      <c r="BR10" s="8">
        <f>ROUND(BR9+BQ10,2)</f>
        <v>-276465.3</v>
      </c>
      <c r="BS10" s="8">
        <f>ROUND(BN10-BK10,2)</f>
        <v>-849.3</v>
      </c>
      <c r="BT10" s="8">
        <f>ROUND(BT9+N10-O10+V10-W10+AL10-AM10,2)</f>
        <v>66796.7</v>
      </c>
      <c r="BU10" s="10">
        <f>IF(BR10&gt;=0,A10,999)</f>
        <v>999</v>
      </c>
      <c r="BV10" s="8">
        <f>ROUND(BR10+200000,2)</f>
        <v>-76465.3</v>
      </c>
    </row>
    <row r="11" spans="1:74">
      <c r="A11" s="10">
        <v>7</v>
      </c>
      <c r="B11" s="7">
        <v>750</v>
      </c>
      <c r="C11" s="7">
        <v>1</v>
      </c>
      <c r="D11" s="7">
        <v>5</v>
      </c>
      <c r="E11" s="7">
        <v>2</v>
      </c>
      <c r="F11" s="7">
        <v>3</v>
      </c>
      <c r="G11" s="10">
        <f>MAX(0,F11-F10)</f>
        <v>1</v>
      </c>
      <c r="H11" s="10">
        <f>ROUNDUP(B11/'Premissas'!$B$14,0)</f>
        <v>37500</v>
      </c>
      <c r="I11" s="8">
        <f>ROUND(B11*'Premissas'!$B$5,2)</f>
        <v>21750.0</v>
      </c>
      <c r="J11" s="8">
        <f>ROUND(I11*'Premissas'!$B$6,2)</f>
        <v>108750.0</v>
      </c>
      <c r="K11" s="8">
        <f>ROUND(J11*'Premissas'!$B$7,2)</f>
        <v>8700.0</v>
      </c>
      <c r="L11" s="8">
        <f>ROUND(J11-K11,2)</f>
        <v>100050.0</v>
      </c>
      <c r="M11" s="8">
        <f>ROUND(L11*'Premissas'!$B$8+B11*(1-'Premissas'!$B$7)*'Premissas'!$B$9*'Premissas'!$B$6,2)</f>
        <v>13354.95</v>
      </c>
      <c r="N11" s="8">
        <f>ROUND(L11-M11,2)</f>
        <v>86695.05</v>
      </c>
      <c r="O11" s="8">
        <f>IF(A11&gt;'Premissas'!$B$20,INDEX($N$5:$N$28,MAX(1,A11-'Premissas'!$B$20)),0)</f>
        <v>57796.7</v>
      </c>
      <c r="P11" s="8">
        <f>ROUND(L11*'Premissas'!$B$10,2)</f>
        <v>15007.5</v>
      </c>
      <c r="Q11" s="8">
        <f>ROUND(L11*'Premissas'!$B$11,2)</f>
        <v>3001.5</v>
      </c>
      <c r="R11" s="8">
        <f>ROUND(B11*'Premissas'!$B$12*'Premissas'!$B$6,2)</f>
        <v>37500.0</v>
      </c>
      <c r="S11" s="8">
        <f>ROUND(B11*'Premissas'!$B$13*'Premissas'!$B$6,2)</f>
        <v>3750.0</v>
      </c>
      <c r="T11" s="8">
        <f>ROUND(L11-M11-P11-Q11-R11-S11,2)</f>
        <v>27436.05</v>
      </c>
      <c r="U11" s="10">
        <f>C11*'Premissas'!$B$16</f>
        <v>80</v>
      </c>
      <c r="V11" s="8">
        <f>ROUND(C11*'Premissas'!$B$15,2)</f>
        <v>30000.0</v>
      </c>
      <c r="W11" s="8">
        <f>ROUND(V11*'Premissas'!$B$19+V10*(1-'Premissas'!$B$19),2)</f>
        <v>15000.0</v>
      </c>
      <c r="X11" s="8">
        <f>ROUND(U11*'Premissas'!$B$17,2)</f>
        <v>14400.0</v>
      </c>
      <c r="Y11" s="8">
        <f>ROUND(V11*'Premissas'!$B$10,2)</f>
        <v>4500.0</v>
      </c>
      <c r="Z11" s="8">
        <f>ROUND(W11*'Premissas'!$B$18,2)</f>
        <v>750.0</v>
      </c>
      <c r="AA11" s="8">
        <f>ROUND(V11*'Premissas'!$B$18,2)</f>
        <v>1500.0</v>
      </c>
      <c r="AB11" s="8">
        <f>ROUND(V11-X11-Y11-AA11,2)</f>
        <v>9600.0</v>
      </c>
      <c r="AC11" s="10">
        <f>D11*'Ofertas'!$C$5</f>
        <v>60.0</v>
      </c>
      <c r="AD11" s="8">
        <f>ROUND(D11*'Ofertas'!$B$5,2)</f>
        <v>22500.0</v>
      </c>
      <c r="AE11" s="8">
        <f>AD11</f>
        <v>22500.0</v>
      </c>
      <c r="AF11" s="8">
        <f>ROUND(AC11*'Ofertas'!$D$5,2)</f>
        <v>7200.0</v>
      </c>
      <c r="AG11" s="8">
        <f>ROUND(AD11*'Premissas'!$B$10,2)</f>
        <v>3375.0</v>
      </c>
      <c r="AH11" s="8">
        <f>ROUND(AD11*'Premissas'!$B$31,2)</f>
        <v>1125.0</v>
      </c>
      <c r="AI11" s="8">
        <f>ROUND(D11*'Ofertas'!$H$5,2)</f>
        <v>800.0</v>
      </c>
      <c r="AJ11" s="8">
        <f>ROUND(AD11-AF11-AG11-AH11-AI11,2)</f>
        <v>10000.0</v>
      </c>
      <c r="AK11" s="10">
        <f>E11*'Ofertas'!$C$6</f>
        <v>80.0</v>
      </c>
      <c r="AL11" s="8">
        <f>ROUND(E11*'Ofertas'!$B$6,2)</f>
        <v>36000.0</v>
      </c>
      <c r="AM11" s="8">
        <f>ROUND(AL11*'Premissas'!$B$32+AL10*(1-'Premissas'!$B$32),2)</f>
        <v>27000.0</v>
      </c>
      <c r="AN11" s="8">
        <f>ROUND(AK11*'Ofertas'!$D$6,2)</f>
        <v>14400.0</v>
      </c>
      <c r="AO11" s="8">
        <f>ROUND(AL11*'Premissas'!$B$10,2)</f>
        <v>5400.0</v>
      </c>
      <c r="AP11" s="8">
        <f>ROUND(AL11*'Premissas'!$B$31,2)</f>
        <v>1800.0</v>
      </c>
      <c r="AQ11" s="8">
        <f>ROUND(E11*'Ofertas'!$H$6,2)</f>
        <v>1200.0</v>
      </c>
      <c r="AR11" s="8">
        <f>ROUND(AL11-AN11-AO11-AP11-AQ11,2)</f>
        <v>13200.0</v>
      </c>
      <c r="AS11" s="10">
        <f>F11*'Ofertas'!$C$7</f>
        <v>24.0</v>
      </c>
      <c r="AT11" s="8">
        <f>ROUND(F11*'Ofertas'!$B$7,2)</f>
        <v>10500.0</v>
      </c>
      <c r="AU11" s="8">
        <f>AT11</f>
        <v>10500.0</v>
      </c>
      <c r="AV11" s="8">
        <f>ROUND(AS11*'Ofertas'!$D$7,2)</f>
        <v>2880.0</v>
      </c>
      <c r="AW11" s="8">
        <f>ROUND(AT11*'Premissas'!$B$10,2)</f>
        <v>1575.0</v>
      </c>
      <c r="AX11" s="8">
        <f>ROUND(AT11*'Premissas'!$B$31,2)</f>
        <v>525.0</v>
      </c>
      <c r="AY11" s="8">
        <f>ROUND(F11*'Ofertas'!$H$7,2)</f>
        <v>630.0</v>
      </c>
      <c r="AZ11" s="8">
        <f>ROUND(AT11-AV11-AW11-AX11-AY11,2)</f>
        <v>4890.0</v>
      </c>
      <c r="BA11" s="10">
        <f>G11*'Ofertas'!$C$8</f>
        <v>20.0</v>
      </c>
      <c r="BB11" s="8">
        <f>ROUND(G11*'Ofertas'!$B$8,2)</f>
        <v>6000.0</v>
      </c>
      <c r="BC11" s="8">
        <f>BB11</f>
        <v>6000.0</v>
      </c>
      <c r="BD11" s="8">
        <f>ROUND(BA11*'Ofertas'!$D$8,2)</f>
        <v>3600.0</v>
      </c>
      <c r="BE11" s="8">
        <f>ROUND(BB11*'Premissas'!$B$10,2)</f>
        <v>900.0</v>
      </c>
      <c r="BF11" s="8">
        <f>ROUND(BB11*'Premissas'!$B$31,2)</f>
        <v>300.0</v>
      </c>
      <c r="BG11" s="8">
        <f>ROUND(G11*'Ofertas'!$H$8,2)</f>
        <v>200.0</v>
      </c>
      <c r="BH11" s="8">
        <f>ROUND(BB11-BD11-BE11-BF11-BG11,2)</f>
        <v>1000.0</v>
      </c>
      <c r="BI11" s="10">
        <f>U11+AC11+AK11+AS11+BA11</f>
        <v>264.0</v>
      </c>
      <c r="BJ11" s="11">
        <f>BI11/'Premissas'!$B$30</f>
        <v>1.65</v>
      </c>
      <c r="BK11" s="8">
        <f>IF(A11&lt;=12,'Premissas'!$B$24,'Premissas'!$B$25)</f>
        <v>37000</v>
      </c>
      <c r="BL11" s="8">
        <f>ROUND(J11+V11+AD11+AL11+AT11+BB11,2)</f>
        <v>213750.0</v>
      </c>
      <c r="BM11" s="8">
        <f>ROUND(L11+V11+AD11+AL11+AT11+BB11,2)</f>
        <v>205050.0</v>
      </c>
      <c r="BN11" s="8">
        <f>ROUND(T11+AB11+AJ11+AR11+AZ11+BH11,2)</f>
        <v>66126.05</v>
      </c>
      <c r="BO11" s="8">
        <f>ROUND(O11+W11+AE11+AM11+AU11+BC11,2)</f>
        <v>138796.7</v>
      </c>
      <c r="BP11" s="8">
        <f>ROUND(P11+Q11+R11+S11+X11+Y11+Z11+BK11+AF11+AG11+AH11+AI11+AN11+AO11+AP11+AQ11+AV11+AW11+AX11+AY11+BD11+BE11+BF11+BG11,2)</f>
        <v>161819.0</v>
      </c>
      <c r="BQ11" s="8">
        <f>ROUND(BO11-BP11,2)</f>
        <v>-23022.3</v>
      </c>
      <c r="BR11" s="8">
        <f>ROUND(BR10+BQ11,2)</f>
        <v>-299487.6</v>
      </c>
      <c r="BS11" s="8">
        <f>ROUND(BN11-BK11,2)</f>
        <v>29126.05</v>
      </c>
      <c r="BT11" s="8">
        <f>ROUND(BT10+N11-O11+V11-W11+AL11-AM11,2)</f>
        <v>119695.05</v>
      </c>
      <c r="BU11" s="10">
        <f>IF(BR11&gt;=0,A11,999)</f>
        <v>999</v>
      </c>
      <c r="BV11" s="8">
        <f>ROUND(BR11+200000,2)</f>
        <v>-99487.6</v>
      </c>
    </row>
    <row r="12" spans="1:74">
      <c r="A12" s="10">
        <v>8</v>
      </c>
      <c r="B12" s="7">
        <v>1000</v>
      </c>
      <c r="C12" s="7">
        <v>1</v>
      </c>
      <c r="D12" s="7">
        <v>6</v>
      </c>
      <c r="E12" s="7">
        <v>2</v>
      </c>
      <c r="F12" s="7">
        <v>3</v>
      </c>
      <c r="G12" s="10">
        <f>MAX(0,F12-F11)</f>
        <v>0</v>
      </c>
      <c r="H12" s="10">
        <f>ROUNDUP(B12/'Premissas'!$B$14,0)</f>
        <v>50000</v>
      </c>
      <c r="I12" s="8">
        <f>ROUND(B12*'Premissas'!$B$5,2)</f>
        <v>29000.0</v>
      </c>
      <c r="J12" s="8">
        <f>ROUND(I12*'Premissas'!$B$6,2)</f>
        <v>145000.0</v>
      </c>
      <c r="K12" s="8">
        <f>ROUND(J12*'Premissas'!$B$7,2)</f>
        <v>11600.0</v>
      </c>
      <c r="L12" s="8">
        <f>ROUND(J12-K12,2)</f>
        <v>133400.0</v>
      </c>
      <c r="M12" s="8">
        <f>ROUND(L12*'Premissas'!$B$8+B12*(1-'Premissas'!$B$7)*'Premissas'!$B$9*'Premissas'!$B$6,2)</f>
        <v>17806.6</v>
      </c>
      <c r="N12" s="8">
        <f>ROUND(L12-M12,2)</f>
        <v>115593.4</v>
      </c>
      <c r="O12" s="8">
        <f>IF(A12&gt;'Premissas'!$B$20,INDEX($N$5:$N$28,MAX(1,A12-'Premissas'!$B$20)),0)</f>
        <v>86695.05</v>
      </c>
      <c r="P12" s="8">
        <f>ROUND(L12*'Premissas'!$B$10,2)</f>
        <v>20010.0</v>
      </c>
      <c r="Q12" s="8">
        <f>ROUND(L12*'Premissas'!$B$11,2)</f>
        <v>4002.0</v>
      </c>
      <c r="R12" s="8">
        <f>ROUND(B12*'Premissas'!$B$12*'Premissas'!$B$6,2)</f>
        <v>50000.0</v>
      </c>
      <c r="S12" s="8">
        <f>ROUND(B12*'Premissas'!$B$13*'Premissas'!$B$6,2)</f>
        <v>5000.0</v>
      </c>
      <c r="T12" s="8">
        <f>ROUND(L12-M12-P12-Q12-R12-S12,2)</f>
        <v>36581.4</v>
      </c>
      <c r="U12" s="10">
        <f>C12*'Premissas'!$B$16</f>
        <v>80</v>
      </c>
      <c r="V12" s="8">
        <f>ROUND(C12*'Premissas'!$B$15,2)</f>
        <v>30000.0</v>
      </c>
      <c r="W12" s="8">
        <f>ROUND(V12*'Premissas'!$B$19+V11*(1-'Premissas'!$B$19),2)</f>
        <v>30000.0</v>
      </c>
      <c r="X12" s="8">
        <f>ROUND(U12*'Premissas'!$B$17,2)</f>
        <v>14400.0</v>
      </c>
      <c r="Y12" s="8">
        <f>ROUND(V12*'Premissas'!$B$10,2)</f>
        <v>4500.0</v>
      </c>
      <c r="Z12" s="8">
        <f>ROUND(W12*'Premissas'!$B$18,2)</f>
        <v>1500.0</v>
      </c>
      <c r="AA12" s="8">
        <f>ROUND(V12*'Premissas'!$B$18,2)</f>
        <v>1500.0</v>
      </c>
      <c r="AB12" s="8">
        <f>ROUND(V12-X12-Y12-AA12,2)</f>
        <v>9600.0</v>
      </c>
      <c r="AC12" s="10">
        <f>D12*'Ofertas'!$C$5</f>
        <v>72.0</v>
      </c>
      <c r="AD12" s="8">
        <f>ROUND(D12*'Ofertas'!$B$5,2)</f>
        <v>27000.0</v>
      </c>
      <c r="AE12" s="8">
        <f>AD12</f>
        <v>27000.0</v>
      </c>
      <c r="AF12" s="8">
        <f>ROUND(AC12*'Ofertas'!$D$5,2)</f>
        <v>8640.0</v>
      </c>
      <c r="AG12" s="8">
        <f>ROUND(AD12*'Premissas'!$B$10,2)</f>
        <v>4050.0</v>
      </c>
      <c r="AH12" s="8">
        <f>ROUND(AD12*'Premissas'!$B$31,2)</f>
        <v>1350.0</v>
      </c>
      <c r="AI12" s="8">
        <f>ROUND(D12*'Ofertas'!$H$5,2)</f>
        <v>960.0</v>
      </c>
      <c r="AJ12" s="8">
        <f>ROUND(AD12-AF12-AG12-AH12-AI12,2)</f>
        <v>12000.0</v>
      </c>
      <c r="AK12" s="10">
        <f>E12*'Ofertas'!$C$6</f>
        <v>80.0</v>
      </c>
      <c r="AL12" s="8">
        <f>ROUND(E12*'Ofertas'!$B$6,2)</f>
        <v>36000.0</v>
      </c>
      <c r="AM12" s="8">
        <f>ROUND(AL12*'Premissas'!$B$32+AL11*(1-'Premissas'!$B$32),2)</f>
        <v>36000.0</v>
      </c>
      <c r="AN12" s="8">
        <f>ROUND(AK12*'Ofertas'!$D$6,2)</f>
        <v>14400.0</v>
      </c>
      <c r="AO12" s="8">
        <f>ROUND(AL12*'Premissas'!$B$10,2)</f>
        <v>5400.0</v>
      </c>
      <c r="AP12" s="8">
        <f>ROUND(AL12*'Premissas'!$B$31,2)</f>
        <v>1800.0</v>
      </c>
      <c r="AQ12" s="8">
        <f>ROUND(E12*'Ofertas'!$H$6,2)</f>
        <v>1200.0</v>
      </c>
      <c r="AR12" s="8">
        <f>ROUND(AL12-AN12-AO12-AP12-AQ12,2)</f>
        <v>13200.0</v>
      </c>
      <c r="AS12" s="10">
        <f>F12*'Ofertas'!$C$7</f>
        <v>24.0</v>
      </c>
      <c r="AT12" s="8">
        <f>ROUND(F12*'Ofertas'!$B$7,2)</f>
        <v>10500.0</v>
      </c>
      <c r="AU12" s="8">
        <f>AT12</f>
        <v>10500.0</v>
      </c>
      <c r="AV12" s="8">
        <f>ROUND(AS12*'Ofertas'!$D$7,2)</f>
        <v>2880.0</v>
      </c>
      <c r="AW12" s="8">
        <f>ROUND(AT12*'Premissas'!$B$10,2)</f>
        <v>1575.0</v>
      </c>
      <c r="AX12" s="8">
        <f>ROUND(AT12*'Premissas'!$B$31,2)</f>
        <v>525.0</v>
      </c>
      <c r="AY12" s="8">
        <f>ROUND(F12*'Ofertas'!$H$7,2)</f>
        <v>630.0</v>
      </c>
      <c r="AZ12" s="8">
        <f>ROUND(AT12-AV12-AW12-AX12-AY12,2)</f>
        <v>4890.0</v>
      </c>
      <c r="BA12" s="10">
        <f>G12*'Ofertas'!$C$8</f>
        <v>0.0</v>
      </c>
      <c r="BB12" s="8">
        <f>ROUND(G12*'Ofertas'!$B$8,2)</f>
        <v>0.0</v>
      </c>
      <c r="BC12" s="8">
        <f>BB12</f>
        <v>0.0</v>
      </c>
      <c r="BD12" s="8">
        <f>ROUND(BA12*'Ofertas'!$D$8,2)</f>
        <v>0.0</v>
      </c>
      <c r="BE12" s="8">
        <f>ROUND(BB12*'Premissas'!$B$10,2)</f>
        <v>0.0</v>
      </c>
      <c r="BF12" s="8">
        <f>ROUND(BB12*'Premissas'!$B$31,2)</f>
        <v>0.0</v>
      </c>
      <c r="BG12" s="8">
        <f>ROUND(G12*'Ofertas'!$H$8,2)</f>
        <v>0.0</v>
      </c>
      <c r="BH12" s="8">
        <f>ROUND(BB12-BD12-BE12-BF12-BG12,2)</f>
        <v>0.0</v>
      </c>
      <c r="BI12" s="10">
        <f>U12+AC12+AK12+AS12+BA12</f>
        <v>256.0</v>
      </c>
      <c r="BJ12" s="11">
        <f>BI12/'Premissas'!$B$30</f>
        <v>1.6</v>
      </c>
      <c r="BK12" s="8">
        <f>IF(A12&lt;=12,'Premissas'!$B$24,'Premissas'!$B$25)</f>
        <v>37000</v>
      </c>
      <c r="BL12" s="8">
        <f>ROUND(J12+V12+AD12+AL12+AT12+BB12,2)</f>
        <v>248500.0</v>
      </c>
      <c r="BM12" s="8">
        <f>ROUND(L12+V12+AD12+AL12+AT12+BB12,2)</f>
        <v>236900.0</v>
      </c>
      <c r="BN12" s="8">
        <f>ROUND(T12+AB12+AJ12+AR12+AZ12+BH12,2)</f>
        <v>76271.4</v>
      </c>
      <c r="BO12" s="8">
        <f>ROUND(O12+W12+AE12+AM12+AU12+BC12,2)</f>
        <v>190195.05</v>
      </c>
      <c r="BP12" s="8">
        <f>ROUND(P12+Q12+R12+S12+X12+Y12+Z12+BK12+AF12+AG12+AH12+AI12+AN12+AO12+AP12+AQ12+AV12+AW12+AX12+AY12+BD12+BE12+BF12+BG12,2)</f>
        <v>179822.0</v>
      </c>
      <c r="BQ12" s="8">
        <f>ROUND(BO12-BP12,2)</f>
        <v>10373.05</v>
      </c>
      <c r="BR12" s="8">
        <f>ROUND(BR11+BQ12,2)</f>
        <v>-289114.55</v>
      </c>
      <c r="BS12" s="8">
        <f>ROUND(BN12-BK12,2)</f>
        <v>39271.4</v>
      </c>
      <c r="BT12" s="8">
        <f>ROUND(BT11+N12-O12+V12-W12+AL12-AM12,2)</f>
        <v>148593.4</v>
      </c>
      <c r="BU12" s="10">
        <f>IF(BR12&gt;=0,A12,999)</f>
        <v>999</v>
      </c>
      <c r="BV12" s="8">
        <f>ROUND(BR12+200000,2)</f>
        <v>-89114.55</v>
      </c>
    </row>
    <row r="13" spans="1:74">
      <c r="A13" s="10">
        <v>9</v>
      </c>
      <c r="B13" s="7">
        <v>1250</v>
      </c>
      <c r="C13" s="7">
        <v>1</v>
      </c>
      <c r="D13" s="7">
        <v>7</v>
      </c>
      <c r="E13" s="7">
        <v>2</v>
      </c>
      <c r="F13" s="7">
        <v>4</v>
      </c>
      <c r="G13" s="10">
        <f>MAX(0,F13-F12)</f>
        <v>1</v>
      </c>
      <c r="H13" s="10">
        <f>ROUNDUP(B13/'Premissas'!$B$14,0)</f>
        <v>62500</v>
      </c>
      <c r="I13" s="8">
        <f>ROUND(B13*'Premissas'!$B$5,2)</f>
        <v>36250.0</v>
      </c>
      <c r="J13" s="8">
        <f>ROUND(I13*'Premissas'!$B$6,2)</f>
        <v>181250.0</v>
      </c>
      <c r="K13" s="8">
        <f>ROUND(J13*'Premissas'!$B$7,2)</f>
        <v>14500.0</v>
      </c>
      <c r="L13" s="8">
        <f>ROUND(J13-K13,2)</f>
        <v>166750.0</v>
      </c>
      <c r="M13" s="8">
        <f>ROUND(L13*'Premissas'!$B$8+B13*(1-'Premissas'!$B$7)*'Premissas'!$B$9*'Premissas'!$B$6,2)</f>
        <v>22258.25</v>
      </c>
      <c r="N13" s="8">
        <f>ROUND(L13-M13,2)</f>
        <v>144491.75</v>
      </c>
      <c r="O13" s="8">
        <f>IF(A13&gt;'Premissas'!$B$20,INDEX($N$5:$N$28,MAX(1,A13-'Premissas'!$B$20)),0)</f>
        <v>115593.4</v>
      </c>
      <c r="P13" s="8">
        <f>ROUND(L13*'Premissas'!$B$10,2)</f>
        <v>25012.5</v>
      </c>
      <c r="Q13" s="8">
        <f>ROUND(L13*'Premissas'!$B$11,2)</f>
        <v>5002.5</v>
      </c>
      <c r="R13" s="8">
        <f>ROUND(B13*'Premissas'!$B$12*'Premissas'!$B$6,2)</f>
        <v>62500.0</v>
      </c>
      <c r="S13" s="8">
        <f>ROUND(B13*'Premissas'!$B$13*'Premissas'!$B$6,2)</f>
        <v>6250.0</v>
      </c>
      <c r="T13" s="8">
        <f>ROUND(L13-M13-P13-Q13-R13-S13,2)</f>
        <v>45726.75</v>
      </c>
      <c r="U13" s="10">
        <f>C13*'Premissas'!$B$16</f>
        <v>80</v>
      </c>
      <c r="V13" s="8">
        <f>ROUND(C13*'Premissas'!$B$15,2)</f>
        <v>30000.0</v>
      </c>
      <c r="W13" s="8">
        <f>ROUND(V13*'Premissas'!$B$19+V12*(1-'Premissas'!$B$19),2)</f>
        <v>30000.0</v>
      </c>
      <c r="X13" s="8">
        <f>ROUND(U13*'Premissas'!$B$17,2)</f>
        <v>14400.0</v>
      </c>
      <c r="Y13" s="8">
        <f>ROUND(V13*'Premissas'!$B$10,2)</f>
        <v>4500.0</v>
      </c>
      <c r="Z13" s="8">
        <f>ROUND(W13*'Premissas'!$B$18,2)</f>
        <v>1500.0</v>
      </c>
      <c r="AA13" s="8">
        <f>ROUND(V13*'Premissas'!$B$18,2)</f>
        <v>1500.0</v>
      </c>
      <c r="AB13" s="8">
        <f>ROUND(V13-X13-Y13-AA13,2)</f>
        <v>9600.0</v>
      </c>
      <c r="AC13" s="10">
        <f>D13*'Ofertas'!$C$5</f>
        <v>84.0</v>
      </c>
      <c r="AD13" s="8">
        <f>ROUND(D13*'Ofertas'!$B$5,2)</f>
        <v>31500.0</v>
      </c>
      <c r="AE13" s="8">
        <f>AD13</f>
        <v>31500.0</v>
      </c>
      <c r="AF13" s="8">
        <f>ROUND(AC13*'Ofertas'!$D$5,2)</f>
        <v>10080.0</v>
      </c>
      <c r="AG13" s="8">
        <f>ROUND(AD13*'Premissas'!$B$10,2)</f>
        <v>4725.0</v>
      </c>
      <c r="AH13" s="8">
        <f>ROUND(AD13*'Premissas'!$B$31,2)</f>
        <v>1575.0</v>
      </c>
      <c r="AI13" s="8">
        <f>ROUND(D13*'Ofertas'!$H$5,2)</f>
        <v>1120.0</v>
      </c>
      <c r="AJ13" s="8">
        <f>ROUND(AD13-AF13-AG13-AH13-AI13,2)</f>
        <v>14000.0</v>
      </c>
      <c r="AK13" s="10">
        <f>E13*'Ofertas'!$C$6</f>
        <v>80.0</v>
      </c>
      <c r="AL13" s="8">
        <f>ROUND(E13*'Ofertas'!$B$6,2)</f>
        <v>36000.0</v>
      </c>
      <c r="AM13" s="8">
        <f>ROUND(AL13*'Premissas'!$B$32+AL12*(1-'Premissas'!$B$32),2)</f>
        <v>36000.0</v>
      </c>
      <c r="AN13" s="8">
        <f>ROUND(AK13*'Ofertas'!$D$6,2)</f>
        <v>14400.0</v>
      </c>
      <c r="AO13" s="8">
        <f>ROUND(AL13*'Premissas'!$B$10,2)</f>
        <v>5400.0</v>
      </c>
      <c r="AP13" s="8">
        <f>ROUND(AL13*'Premissas'!$B$31,2)</f>
        <v>1800.0</v>
      </c>
      <c r="AQ13" s="8">
        <f>ROUND(E13*'Ofertas'!$H$6,2)</f>
        <v>1200.0</v>
      </c>
      <c r="AR13" s="8">
        <f>ROUND(AL13-AN13-AO13-AP13-AQ13,2)</f>
        <v>13200.0</v>
      </c>
      <c r="AS13" s="10">
        <f>F13*'Ofertas'!$C$7</f>
        <v>32.0</v>
      </c>
      <c r="AT13" s="8">
        <f>ROUND(F13*'Ofertas'!$B$7,2)</f>
        <v>14000.0</v>
      </c>
      <c r="AU13" s="8">
        <f>AT13</f>
        <v>14000.0</v>
      </c>
      <c r="AV13" s="8">
        <f>ROUND(AS13*'Ofertas'!$D$7,2)</f>
        <v>3840.0</v>
      </c>
      <c r="AW13" s="8">
        <f>ROUND(AT13*'Premissas'!$B$10,2)</f>
        <v>2100.0</v>
      </c>
      <c r="AX13" s="8">
        <f>ROUND(AT13*'Premissas'!$B$31,2)</f>
        <v>700.0</v>
      </c>
      <c r="AY13" s="8">
        <f>ROUND(F13*'Ofertas'!$H$7,2)</f>
        <v>840.0</v>
      </c>
      <c r="AZ13" s="8">
        <f>ROUND(AT13-AV13-AW13-AX13-AY13,2)</f>
        <v>6520.0</v>
      </c>
      <c r="BA13" s="10">
        <f>G13*'Ofertas'!$C$8</f>
        <v>20.0</v>
      </c>
      <c r="BB13" s="8">
        <f>ROUND(G13*'Ofertas'!$B$8,2)</f>
        <v>6000.0</v>
      </c>
      <c r="BC13" s="8">
        <f>BB13</f>
        <v>6000.0</v>
      </c>
      <c r="BD13" s="8">
        <f>ROUND(BA13*'Ofertas'!$D$8,2)</f>
        <v>3600.0</v>
      </c>
      <c r="BE13" s="8">
        <f>ROUND(BB13*'Premissas'!$B$10,2)</f>
        <v>900.0</v>
      </c>
      <c r="BF13" s="8">
        <f>ROUND(BB13*'Premissas'!$B$31,2)</f>
        <v>300.0</v>
      </c>
      <c r="BG13" s="8">
        <f>ROUND(G13*'Ofertas'!$H$8,2)</f>
        <v>200.0</v>
      </c>
      <c r="BH13" s="8">
        <f>ROUND(BB13-BD13-BE13-BF13-BG13,2)</f>
        <v>1000.0</v>
      </c>
      <c r="BI13" s="10">
        <f>U13+AC13+AK13+AS13+BA13</f>
        <v>296.0</v>
      </c>
      <c r="BJ13" s="11">
        <f>BI13/'Premissas'!$B$30</f>
        <v>1.85</v>
      </c>
      <c r="BK13" s="8">
        <f>IF(A13&lt;=12,'Premissas'!$B$24,'Premissas'!$B$25)</f>
        <v>37000</v>
      </c>
      <c r="BL13" s="8">
        <f>ROUND(J13+V13+AD13+AL13+AT13+BB13,2)</f>
        <v>298750.0</v>
      </c>
      <c r="BM13" s="8">
        <f>ROUND(L13+V13+AD13+AL13+AT13+BB13,2)</f>
        <v>284250.0</v>
      </c>
      <c r="BN13" s="8">
        <f>ROUND(T13+AB13+AJ13+AR13+AZ13+BH13,2)</f>
        <v>90046.75</v>
      </c>
      <c r="BO13" s="8">
        <f>ROUND(O13+W13+AE13+AM13+AU13+BC13,2)</f>
        <v>233093.4</v>
      </c>
      <c r="BP13" s="8">
        <f>ROUND(P13+Q13+R13+S13+X13+Y13+Z13+BK13+AF13+AG13+AH13+AI13+AN13+AO13+AP13+AQ13+AV13+AW13+AX13+AY13+BD13+BE13+BF13+BG13,2)</f>
        <v>208945.0</v>
      </c>
      <c r="BQ13" s="8">
        <f>ROUND(BO13-BP13,2)</f>
        <v>24148.4</v>
      </c>
      <c r="BR13" s="8">
        <f>ROUND(BR12+BQ13,2)</f>
        <v>-264966.15</v>
      </c>
      <c r="BS13" s="8">
        <f>ROUND(BN13-BK13,2)</f>
        <v>53046.75</v>
      </c>
      <c r="BT13" s="8">
        <f>ROUND(BT12+N13-O13+V13-W13+AL13-AM13,2)</f>
        <v>177491.75</v>
      </c>
      <c r="BU13" s="10">
        <f>IF(BR13&gt;=0,A13,999)</f>
        <v>999</v>
      </c>
      <c r="BV13" s="8">
        <f>ROUND(BR13+200000,2)</f>
        <v>-64966.15</v>
      </c>
    </row>
    <row r="14" spans="1:74">
      <c r="A14" s="10">
        <v>10</v>
      </c>
      <c r="B14" s="7">
        <v>1500</v>
      </c>
      <c r="C14" s="7">
        <v>1</v>
      </c>
      <c r="D14" s="7">
        <v>8</v>
      </c>
      <c r="E14" s="7">
        <v>2</v>
      </c>
      <c r="F14" s="7">
        <v>4</v>
      </c>
      <c r="G14" s="10">
        <f>MAX(0,F14-F13)</f>
        <v>0</v>
      </c>
      <c r="H14" s="10">
        <f>ROUNDUP(B14/'Premissas'!$B$14,0)</f>
        <v>75000</v>
      </c>
      <c r="I14" s="8">
        <f>ROUND(B14*'Premissas'!$B$5,2)</f>
        <v>43500.0</v>
      </c>
      <c r="J14" s="8">
        <f>ROUND(I14*'Premissas'!$B$6,2)</f>
        <v>217500.0</v>
      </c>
      <c r="K14" s="8">
        <f>ROUND(J14*'Premissas'!$B$7,2)</f>
        <v>17400.0</v>
      </c>
      <c r="L14" s="8">
        <f>ROUND(J14-K14,2)</f>
        <v>200100.0</v>
      </c>
      <c r="M14" s="8">
        <f>ROUND(L14*'Premissas'!$B$8+B14*(1-'Premissas'!$B$7)*'Premissas'!$B$9*'Premissas'!$B$6,2)</f>
        <v>26709.9</v>
      </c>
      <c r="N14" s="8">
        <f>ROUND(L14-M14,2)</f>
        <v>173390.1</v>
      </c>
      <c r="O14" s="8">
        <f>IF(A14&gt;'Premissas'!$B$20,INDEX($N$5:$N$28,MAX(1,A14-'Premissas'!$B$20)),0)</f>
        <v>144491.75</v>
      </c>
      <c r="P14" s="8">
        <f>ROUND(L14*'Premissas'!$B$10,2)</f>
        <v>30015.0</v>
      </c>
      <c r="Q14" s="8">
        <f>ROUND(L14*'Premissas'!$B$11,2)</f>
        <v>6003.0</v>
      </c>
      <c r="R14" s="8">
        <f>ROUND(B14*'Premissas'!$B$12*'Premissas'!$B$6,2)</f>
        <v>75000.0</v>
      </c>
      <c r="S14" s="8">
        <f>ROUND(B14*'Premissas'!$B$13*'Premissas'!$B$6,2)</f>
        <v>7500.0</v>
      </c>
      <c r="T14" s="8">
        <f>ROUND(L14-M14-P14-Q14-R14-S14,2)</f>
        <v>54872.1</v>
      </c>
      <c r="U14" s="10">
        <f>C14*'Premissas'!$B$16</f>
        <v>80</v>
      </c>
      <c r="V14" s="8">
        <f>ROUND(C14*'Premissas'!$B$15,2)</f>
        <v>30000.0</v>
      </c>
      <c r="W14" s="8">
        <f>ROUND(V14*'Premissas'!$B$19+V13*(1-'Premissas'!$B$19),2)</f>
        <v>30000.0</v>
      </c>
      <c r="X14" s="8">
        <f>ROUND(U14*'Premissas'!$B$17,2)</f>
        <v>14400.0</v>
      </c>
      <c r="Y14" s="8">
        <f>ROUND(V14*'Premissas'!$B$10,2)</f>
        <v>4500.0</v>
      </c>
      <c r="Z14" s="8">
        <f>ROUND(W14*'Premissas'!$B$18,2)</f>
        <v>1500.0</v>
      </c>
      <c r="AA14" s="8">
        <f>ROUND(V14*'Premissas'!$B$18,2)</f>
        <v>1500.0</v>
      </c>
      <c r="AB14" s="8">
        <f>ROUND(V14-X14-Y14-AA14,2)</f>
        <v>9600.0</v>
      </c>
      <c r="AC14" s="10">
        <f>D14*'Ofertas'!$C$5</f>
        <v>96.0</v>
      </c>
      <c r="AD14" s="8">
        <f>ROUND(D14*'Ofertas'!$B$5,2)</f>
        <v>36000.0</v>
      </c>
      <c r="AE14" s="8">
        <f>AD14</f>
        <v>36000.0</v>
      </c>
      <c r="AF14" s="8">
        <f>ROUND(AC14*'Ofertas'!$D$5,2)</f>
        <v>11520.0</v>
      </c>
      <c r="AG14" s="8">
        <f>ROUND(AD14*'Premissas'!$B$10,2)</f>
        <v>5400.0</v>
      </c>
      <c r="AH14" s="8">
        <f>ROUND(AD14*'Premissas'!$B$31,2)</f>
        <v>1800.0</v>
      </c>
      <c r="AI14" s="8">
        <f>ROUND(D14*'Ofertas'!$H$5,2)</f>
        <v>1280.0</v>
      </c>
      <c r="AJ14" s="8">
        <f>ROUND(AD14-AF14-AG14-AH14-AI14,2)</f>
        <v>16000.0</v>
      </c>
      <c r="AK14" s="10">
        <f>E14*'Ofertas'!$C$6</f>
        <v>80.0</v>
      </c>
      <c r="AL14" s="8">
        <f>ROUND(E14*'Ofertas'!$B$6,2)</f>
        <v>36000.0</v>
      </c>
      <c r="AM14" s="8">
        <f>ROUND(AL14*'Premissas'!$B$32+AL13*(1-'Premissas'!$B$32),2)</f>
        <v>36000.0</v>
      </c>
      <c r="AN14" s="8">
        <f>ROUND(AK14*'Ofertas'!$D$6,2)</f>
        <v>14400.0</v>
      </c>
      <c r="AO14" s="8">
        <f>ROUND(AL14*'Premissas'!$B$10,2)</f>
        <v>5400.0</v>
      </c>
      <c r="AP14" s="8">
        <f>ROUND(AL14*'Premissas'!$B$31,2)</f>
        <v>1800.0</v>
      </c>
      <c r="AQ14" s="8">
        <f>ROUND(E14*'Ofertas'!$H$6,2)</f>
        <v>1200.0</v>
      </c>
      <c r="AR14" s="8">
        <f>ROUND(AL14-AN14-AO14-AP14-AQ14,2)</f>
        <v>13200.0</v>
      </c>
      <c r="AS14" s="10">
        <f>F14*'Ofertas'!$C$7</f>
        <v>32.0</v>
      </c>
      <c r="AT14" s="8">
        <f>ROUND(F14*'Ofertas'!$B$7,2)</f>
        <v>14000.0</v>
      </c>
      <c r="AU14" s="8">
        <f>AT14</f>
        <v>14000.0</v>
      </c>
      <c r="AV14" s="8">
        <f>ROUND(AS14*'Ofertas'!$D$7,2)</f>
        <v>3840.0</v>
      </c>
      <c r="AW14" s="8">
        <f>ROUND(AT14*'Premissas'!$B$10,2)</f>
        <v>2100.0</v>
      </c>
      <c r="AX14" s="8">
        <f>ROUND(AT14*'Premissas'!$B$31,2)</f>
        <v>700.0</v>
      </c>
      <c r="AY14" s="8">
        <f>ROUND(F14*'Ofertas'!$H$7,2)</f>
        <v>840.0</v>
      </c>
      <c r="AZ14" s="8">
        <f>ROUND(AT14-AV14-AW14-AX14-AY14,2)</f>
        <v>6520.0</v>
      </c>
      <c r="BA14" s="10">
        <f>G14*'Ofertas'!$C$8</f>
        <v>0.0</v>
      </c>
      <c r="BB14" s="8">
        <f>ROUND(G14*'Ofertas'!$B$8,2)</f>
        <v>0.0</v>
      </c>
      <c r="BC14" s="8">
        <f>BB14</f>
        <v>0.0</v>
      </c>
      <c r="BD14" s="8">
        <f>ROUND(BA14*'Ofertas'!$D$8,2)</f>
        <v>0.0</v>
      </c>
      <c r="BE14" s="8">
        <f>ROUND(BB14*'Premissas'!$B$10,2)</f>
        <v>0.0</v>
      </c>
      <c r="BF14" s="8">
        <f>ROUND(BB14*'Premissas'!$B$31,2)</f>
        <v>0.0</v>
      </c>
      <c r="BG14" s="8">
        <f>ROUND(G14*'Ofertas'!$H$8,2)</f>
        <v>0.0</v>
      </c>
      <c r="BH14" s="8">
        <f>ROUND(BB14-BD14-BE14-BF14-BG14,2)</f>
        <v>0.0</v>
      </c>
      <c r="BI14" s="10">
        <f>U14+AC14+AK14+AS14+BA14</f>
        <v>288.0</v>
      </c>
      <c r="BJ14" s="11">
        <f>BI14/'Premissas'!$B$30</f>
        <v>1.8</v>
      </c>
      <c r="BK14" s="8">
        <f>IF(A14&lt;=12,'Premissas'!$B$24,'Premissas'!$B$25)</f>
        <v>37000</v>
      </c>
      <c r="BL14" s="8">
        <f>ROUND(J14+V14+AD14+AL14+AT14+BB14,2)</f>
        <v>333500.0</v>
      </c>
      <c r="BM14" s="8">
        <f>ROUND(L14+V14+AD14+AL14+AT14+BB14,2)</f>
        <v>316100.0</v>
      </c>
      <c r="BN14" s="8">
        <f>ROUND(T14+AB14+AJ14+AR14+AZ14+BH14,2)</f>
        <v>100192.1</v>
      </c>
      <c r="BO14" s="8">
        <f>ROUND(O14+W14+AE14+AM14+AU14+BC14,2)</f>
        <v>260491.75</v>
      </c>
      <c r="BP14" s="8">
        <f>ROUND(P14+Q14+R14+S14+X14+Y14+Z14+BK14+AF14+AG14+AH14+AI14+AN14+AO14+AP14+AQ14+AV14+AW14+AX14+AY14+BD14+BE14+BF14+BG14,2)</f>
        <v>226198.0</v>
      </c>
      <c r="BQ14" s="8">
        <f>ROUND(BO14-BP14,2)</f>
        <v>34293.75</v>
      </c>
      <c r="BR14" s="8">
        <f>ROUND(BR13+BQ14,2)</f>
        <v>-230672.4</v>
      </c>
      <c r="BS14" s="8">
        <f>ROUND(BN14-BK14,2)</f>
        <v>63192.1</v>
      </c>
      <c r="BT14" s="8">
        <f>ROUND(BT13+N14-O14+V14-W14+AL14-AM14,2)</f>
        <v>206390.1</v>
      </c>
      <c r="BU14" s="10">
        <f>IF(BR14&gt;=0,A14,999)</f>
        <v>999</v>
      </c>
      <c r="BV14" s="8">
        <f>ROUND(BR14+200000,2)</f>
        <v>-30672.4</v>
      </c>
    </row>
    <row r="15" spans="1:74">
      <c r="A15" s="10">
        <v>11</v>
      </c>
      <c r="B15" s="7">
        <v>1750</v>
      </c>
      <c r="C15" s="7">
        <v>1</v>
      </c>
      <c r="D15" s="7">
        <v>8</v>
      </c>
      <c r="E15" s="7">
        <v>2</v>
      </c>
      <c r="F15" s="7">
        <v>4</v>
      </c>
      <c r="G15" s="10">
        <f>MAX(0,F15-F14)</f>
        <v>0</v>
      </c>
      <c r="H15" s="10">
        <f>ROUNDUP(B15/'Premissas'!$B$14,0)</f>
        <v>87500</v>
      </c>
      <c r="I15" s="8">
        <f>ROUND(B15*'Premissas'!$B$5,2)</f>
        <v>50750.0</v>
      </c>
      <c r="J15" s="8">
        <f>ROUND(I15*'Premissas'!$B$6,2)</f>
        <v>253750.0</v>
      </c>
      <c r="K15" s="8">
        <f>ROUND(J15*'Premissas'!$B$7,2)</f>
        <v>20300.0</v>
      </c>
      <c r="L15" s="8">
        <f>ROUND(J15-K15,2)</f>
        <v>233450.0</v>
      </c>
      <c r="M15" s="8">
        <f>ROUND(L15*'Premissas'!$B$8+B15*(1-'Premissas'!$B$7)*'Premissas'!$B$9*'Premissas'!$B$6,2)</f>
        <v>31161.55</v>
      </c>
      <c r="N15" s="8">
        <f>ROUND(L15-M15,2)</f>
        <v>202288.45</v>
      </c>
      <c r="O15" s="8">
        <f>IF(A15&gt;'Premissas'!$B$20,INDEX($N$5:$N$28,MAX(1,A15-'Premissas'!$B$20)),0)</f>
        <v>173390.1</v>
      </c>
      <c r="P15" s="8">
        <f>ROUND(L15*'Premissas'!$B$10,2)</f>
        <v>35017.5</v>
      </c>
      <c r="Q15" s="8">
        <f>ROUND(L15*'Premissas'!$B$11,2)</f>
        <v>7003.5</v>
      </c>
      <c r="R15" s="8">
        <f>ROUND(B15*'Premissas'!$B$12*'Premissas'!$B$6,2)</f>
        <v>87500.0</v>
      </c>
      <c r="S15" s="8">
        <f>ROUND(B15*'Premissas'!$B$13*'Premissas'!$B$6,2)</f>
        <v>8750.0</v>
      </c>
      <c r="T15" s="8">
        <f>ROUND(L15-M15-P15-Q15-R15-S15,2)</f>
        <v>64017.45</v>
      </c>
      <c r="U15" s="10">
        <f>C15*'Premissas'!$B$16</f>
        <v>80</v>
      </c>
      <c r="V15" s="8">
        <f>ROUND(C15*'Premissas'!$B$15,2)</f>
        <v>30000.0</v>
      </c>
      <c r="W15" s="8">
        <f>ROUND(V15*'Premissas'!$B$19+V14*(1-'Premissas'!$B$19),2)</f>
        <v>30000.0</v>
      </c>
      <c r="X15" s="8">
        <f>ROUND(U15*'Premissas'!$B$17,2)</f>
        <v>14400.0</v>
      </c>
      <c r="Y15" s="8">
        <f>ROUND(V15*'Premissas'!$B$10,2)</f>
        <v>4500.0</v>
      </c>
      <c r="Z15" s="8">
        <f>ROUND(W15*'Premissas'!$B$18,2)</f>
        <v>1500.0</v>
      </c>
      <c r="AA15" s="8">
        <f>ROUND(V15*'Premissas'!$B$18,2)</f>
        <v>1500.0</v>
      </c>
      <c r="AB15" s="8">
        <f>ROUND(V15-X15-Y15-AA15,2)</f>
        <v>9600.0</v>
      </c>
      <c r="AC15" s="10">
        <f>D15*'Ofertas'!$C$5</f>
        <v>96.0</v>
      </c>
      <c r="AD15" s="8">
        <f>ROUND(D15*'Ofertas'!$B$5,2)</f>
        <v>36000.0</v>
      </c>
      <c r="AE15" s="8">
        <f>AD15</f>
        <v>36000.0</v>
      </c>
      <c r="AF15" s="8">
        <f>ROUND(AC15*'Ofertas'!$D$5,2)</f>
        <v>11520.0</v>
      </c>
      <c r="AG15" s="8">
        <f>ROUND(AD15*'Premissas'!$B$10,2)</f>
        <v>5400.0</v>
      </c>
      <c r="AH15" s="8">
        <f>ROUND(AD15*'Premissas'!$B$31,2)</f>
        <v>1800.0</v>
      </c>
      <c r="AI15" s="8">
        <f>ROUND(D15*'Ofertas'!$H$5,2)</f>
        <v>1280.0</v>
      </c>
      <c r="AJ15" s="8">
        <f>ROUND(AD15-AF15-AG15-AH15-AI15,2)</f>
        <v>16000.0</v>
      </c>
      <c r="AK15" s="10">
        <f>E15*'Ofertas'!$C$6</f>
        <v>80.0</v>
      </c>
      <c r="AL15" s="8">
        <f>ROUND(E15*'Ofertas'!$B$6,2)</f>
        <v>36000.0</v>
      </c>
      <c r="AM15" s="8">
        <f>ROUND(AL15*'Premissas'!$B$32+AL14*(1-'Premissas'!$B$32),2)</f>
        <v>36000.0</v>
      </c>
      <c r="AN15" s="8">
        <f>ROUND(AK15*'Ofertas'!$D$6,2)</f>
        <v>14400.0</v>
      </c>
      <c r="AO15" s="8">
        <f>ROUND(AL15*'Premissas'!$B$10,2)</f>
        <v>5400.0</v>
      </c>
      <c r="AP15" s="8">
        <f>ROUND(AL15*'Premissas'!$B$31,2)</f>
        <v>1800.0</v>
      </c>
      <c r="AQ15" s="8">
        <f>ROUND(E15*'Ofertas'!$H$6,2)</f>
        <v>1200.0</v>
      </c>
      <c r="AR15" s="8">
        <f>ROUND(AL15-AN15-AO15-AP15-AQ15,2)</f>
        <v>13200.0</v>
      </c>
      <c r="AS15" s="10">
        <f>F15*'Ofertas'!$C$7</f>
        <v>32.0</v>
      </c>
      <c r="AT15" s="8">
        <f>ROUND(F15*'Ofertas'!$B$7,2)</f>
        <v>14000.0</v>
      </c>
      <c r="AU15" s="8">
        <f>AT15</f>
        <v>14000.0</v>
      </c>
      <c r="AV15" s="8">
        <f>ROUND(AS15*'Ofertas'!$D$7,2)</f>
        <v>3840.0</v>
      </c>
      <c r="AW15" s="8">
        <f>ROUND(AT15*'Premissas'!$B$10,2)</f>
        <v>2100.0</v>
      </c>
      <c r="AX15" s="8">
        <f>ROUND(AT15*'Premissas'!$B$31,2)</f>
        <v>700.0</v>
      </c>
      <c r="AY15" s="8">
        <f>ROUND(F15*'Ofertas'!$H$7,2)</f>
        <v>840.0</v>
      </c>
      <c r="AZ15" s="8">
        <f>ROUND(AT15-AV15-AW15-AX15-AY15,2)</f>
        <v>6520.0</v>
      </c>
      <c r="BA15" s="10">
        <f>G15*'Ofertas'!$C$8</f>
        <v>0.0</v>
      </c>
      <c r="BB15" s="8">
        <f>ROUND(G15*'Ofertas'!$B$8,2)</f>
        <v>0.0</v>
      </c>
      <c r="BC15" s="8">
        <f>BB15</f>
        <v>0.0</v>
      </c>
      <c r="BD15" s="8">
        <f>ROUND(BA15*'Ofertas'!$D$8,2)</f>
        <v>0.0</v>
      </c>
      <c r="BE15" s="8">
        <f>ROUND(BB15*'Premissas'!$B$10,2)</f>
        <v>0.0</v>
      </c>
      <c r="BF15" s="8">
        <f>ROUND(BB15*'Premissas'!$B$31,2)</f>
        <v>0.0</v>
      </c>
      <c r="BG15" s="8">
        <f>ROUND(G15*'Ofertas'!$H$8,2)</f>
        <v>0.0</v>
      </c>
      <c r="BH15" s="8">
        <f>ROUND(BB15-BD15-BE15-BF15-BG15,2)</f>
        <v>0.0</v>
      </c>
      <c r="BI15" s="10">
        <f>U15+AC15+AK15+AS15+BA15</f>
        <v>288.0</v>
      </c>
      <c r="BJ15" s="11">
        <f>BI15/'Premissas'!$B$30</f>
        <v>1.8</v>
      </c>
      <c r="BK15" s="8">
        <f>IF(A15&lt;=12,'Premissas'!$B$24,'Premissas'!$B$25)</f>
        <v>37000</v>
      </c>
      <c r="BL15" s="8">
        <f>ROUND(J15+V15+AD15+AL15+AT15+BB15,2)</f>
        <v>369750.0</v>
      </c>
      <c r="BM15" s="8">
        <f>ROUND(L15+V15+AD15+AL15+AT15+BB15,2)</f>
        <v>349450.0</v>
      </c>
      <c r="BN15" s="8">
        <f>ROUND(T15+AB15+AJ15+AR15+AZ15+BH15,2)</f>
        <v>109337.45</v>
      </c>
      <c r="BO15" s="8">
        <f>ROUND(O15+W15+AE15+AM15+AU15+BC15,2)</f>
        <v>289390.1</v>
      </c>
      <c r="BP15" s="8">
        <f>ROUND(P15+Q15+R15+S15+X15+Y15+Z15+BK15+AF15+AG15+AH15+AI15+AN15+AO15+AP15+AQ15+AV15+AW15+AX15+AY15+BD15+BE15+BF15+BG15,2)</f>
        <v>245951.0</v>
      </c>
      <c r="BQ15" s="8">
        <f>ROUND(BO15-BP15,2)</f>
        <v>43439.1</v>
      </c>
      <c r="BR15" s="8">
        <f>ROUND(BR14+BQ15,2)</f>
        <v>-187233.3</v>
      </c>
      <c r="BS15" s="8">
        <f>ROUND(BN15-BK15,2)</f>
        <v>72337.45</v>
      </c>
      <c r="BT15" s="8">
        <f>ROUND(BT14+N15-O15+V15-W15+AL15-AM15,2)</f>
        <v>235288.45</v>
      </c>
      <c r="BU15" s="10">
        <f>IF(BR15&gt;=0,A15,999)</f>
        <v>999</v>
      </c>
      <c r="BV15" s="8">
        <f>ROUND(BR15+200000,2)</f>
        <v>12766.7</v>
      </c>
    </row>
    <row r="16" spans="1:74">
      <c r="A16" s="10">
        <v>12</v>
      </c>
      <c r="B16" s="7">
        <v>2000</v>
      </c>
      <c r="C16" s="7">
        <v>1</v>
      </c>
      <c r="D16" s="7">
        <v>8</v>
      </c>
      <c r="E16" s="7">
        <v>2</v>
      </c>
      <c r="F16" s="7">
        <v>4</v>
      </c>
      <c r="G16" s="10">
        <f>MAX(0,F16-F15)</f>
        <v>0</v>
      </c>
      <c r="H16" s="10">
        <f>ROUNDUP(B16/'Premissas'!$B$14,0)</f>
        <v>100000</v>
      </c>
      <c r="I16" s="8">
        <f>ROUND(B16*'Premissas'!$B$5,2)</f>
        <v>58000.0</v>
      </c>
      <c r="J16" s="8">
        <f>ROUND(I16*'Premissas'!$B$6,2)</f>
        <v>290000.0</v>
      </c>
      <c r="K16" s="8">
        <f>ROUND(J16*'Premissas'!$B$7,2)</f>
        <v>23200.0</v>
      </c>
      <c r="L16" s="8">
        <f>ROUND(J16-K16,2)</f>
        <v>266800.0</v>
      </c>
      <c r="M16" s="8">
        <f>ROUND(L16*'Premissas'!$B$8+B16*(1-'Premissas'!$B$7)*'Premissas'!$B$9*'Premissas'!$B$6,2)</f>
        <v>35613.2</v>
      </c>
      <c r="N16" s="8">
        <f>ROUND(L16-M16,2)</f>
        <v>231186.8</v>
      </c>
      <c r="O16" s="8">
        <f>IF(A16&gt;'Premissas'!$B$20,INDEX($N$5:$N$28,MAX(1,A16-'Premissas'!$B$20)),0)</f>
        <v>202288.45</v>
      </c>
      <c r="P16" s="8">
        <f>ROUND(L16*'Premissas'!$B$10,2)</f>
        <v>40020.0</v>
      </c>
      <c r="Q16" s="8">
        <f>ROUND(L16*'Premissas'!$B$11,2)</f>
        <v>8004.0</v>
      </c>
      <c r="R16" s="8">
        <f>ROUND(B16*'Premissas'!$B$12*'Premissas'!$B$6,2)</f>
        <v>100000.0</v>
      </c>
      <c r="S16" s="8">
        <f>ROUND(B16*'Premissas'!$B$13*'Premissas'!$B$6,2)</f>
        <v>10000.0</v>
      </c>
      <c r="T16" s="8">
        <f>ROUND(L16-M16-P16-Q16-R16-S16,2)</f>
        <v>73162.8</v>
      </c>
      <c r="U16" s="10">
        <f>C16*'Premissas'!$B$16</f>
        <v>80</v>
      </c>
      <c r="V16" s="8">
        <f>ROUND(C16*'Premissas'!$B$15,2)</f>
        <v>30000.0</v>
      </c>
      <c r="W16" s="8">
        <f>ROUND(V16*'Premissas'!$B$19+V15*(1-'Premissas'!$B$19),2)</f>
        <v>30000.0</v>
      </c>
      <c r="X16" s="8">
        <f>ROUND(U16*'Premissas'!$B$17,2)</f>
        <v>14400.0</v>
      </c>
      <c r="Y16" s="8">
        <f>ROUND(V16*'Premissas'!$B$10,2)</f>
        <v>4500.0</v>
      </c>
      <c r="Z16" s="8">
        <f>ROUND(W16*'Premissas'!$B$18,2)</f>
        <v>1500.0</v>
      </c>
      <c r="AA16" s="8">
        <f>ROUND(V16*'Premissas'!$B$18,2)</f>
        <v>1500.0</v>
      </c>
      <c r="AB16" s="8">
        <f>ROUND(V16-X16-Y16-AA16,2)</f>
        <v>9600.0</v>
      </c>
      <c r="AC16" s="10">
        <f>D16*'Ofertas'!$C$5</f>
        <v>96.0</v>
      </c>
      <c r="AD16" s="8">
        <f>ROUND(D16*'Ofertas'!$B$5,2)</f>
        <v>36000.0</v>
      </c>
      <c r="AE16" s="8">
        <f>AD16</f>
        <v>36000.0</v>
      </c>
      <c r="AF16" s="8">
        <f>ROUND(AC16*'Ofertas'!$D$5,2)</f>
        <v>11520.0</v>
      </c>
      <c r="AG16" s="8">
        <f>ROUND(AD16*'Premissas'!$B$10,2)</f>
        <v>5400.0</v>
      </c>
      <c r="AH16" s="8">
        <f>ROUND(AD16*'Premissas'!$B$31,2)</f>
        <v>1800.0</v>
      </c>
      <c r="AI16" s="8">
        <f>ROUND(D16*'Ofertas'!$H$5,2)</f>
        <v>1280.0</v>
      </c>
      <c r="AJ16" s="8">
        <f>ROUND(AD16-AF16-AG16-AH16-AI16,2)</f>
        <v>16000.0</v>
      </c>
      <c r="AK16" s="10">
        <f>E16*'Ofertas'!$C$6</f>
        <v>80.0</v>
      </c>
      <c r="AL16" s="8">
        <f>ROUND(E16*'Ofertas'!$B$6,2)</f>
        <v>36000.0</v>
      </c>
      <c r="AM16" s="8">
        <f>ROUND(AL16*'Premissas'!$B$32+AL15*(1-'Premissas'!$B$32),2)</f>
        <v>36000.0</v>
      </c>
      <c r="AN16" s="8">
        <f>ROUND(AK16*'Ofertas'!$D$6,2)</f>
        <v>14400.0</v>
      </c>
      <c r="AO16" s="8">
        <f>ROUND(AL16*'Premissas'!$B$10,2)</f>
        <v>5400.0</v>
      </c>
      <c r="AP16" s="8">
        <f>ROUND(AL16*'Premissas'!$B$31,2)</f>
        <v>1800.0</v>
      </c>
      <c r="AQ16" s="8">
        <f>ROUND(E16*'Ofertas'!$H$6,2)</f>
        <v>1200.0</v>
      </c>
      <c r="AR16" s="8">
        <f>ROUND(AL16-AN16-AO16-AP16-AQ16,2)</f>
        <v>13200.0</v>
      </c>
      <c r="AS16" s="10">
        <f>F16*'Ofertas'!$C$7</f>
        <v>32.0</v>
      </c>
      <c r="AT16" s="8">
        <f>ROUND(F16*'Ofertas'!$B$7,2)</f>
        <v>14000.0</v>
      </c>
      <c r="AU16" s="8">
        <f>AT16</f>
        <v>14000.0</v>
      </c>
      <c r="AV16" s="8">
        <f>ROUND(AS16*'Ofertas'!$D$7,2)</f>
        <v>3840.0</v>
      </c>
      <c r="AW16" s="8">
        <f>ROUND(AT16*'Premissas'!$B$10,2)</f>
        <v>2100.0</v>
      </c>
      <c r="AX16" s="8">
        <f>ROUND(AT16*'Premissas'!$B$31,2)</f>
        <v>700.0</v>
      </c>
      <c r="AY16" s="8">
        <f>ROUND(F16*'Ofertas'!$H$7,2)</f>
        <v>840.0</v>
      </c>
      <c r="AZ16" s="8">
        <f>ROUND(AT16-AV16-AW16-AX16-AY16,2)</f>
        <v>6520.0</v>
      </c>
      <c r="BA16" s="10">
        <f>G16*'Ofertas'!$C$8</f>
        <v>0.0</v>
      </c>
      <c r="BB16" s="8">
        <f>ROUND(G16*'Ofertas'!$B$8,2)</f>
        <v>0.0</v>
      </c>
      <c r="BC16" s="8">
        <f>BB16</f>
        <v>0.0</v>
      </c>
      <c r="BD16" s="8">
        <f>ROUND(BA16*'Ofertas'!$D$8,2)</f>
        <v>0.0</v>
      </c>
      <c r="BE16" s="8">
        <f>ROUND(BB16*'Premissas'!$B$10,2)</f>
        <v>0.0</v>
      </c>
      <c r="BF16" s="8">
        <f>ROUND(BB16*'Premissas'!$B$31,2)</f>
        <v>0.0</v>
      </c>
      <c r="BG16" s="8">
        <f>ROUND(G16*'Ofertas'!$H$8,2)</f>
        <v>0.0</v>
      </c>
      <c r="BH16" s="8">
        <f>ROUND(BB16-BD16-BE16-BF16-BG16,2)</f>
        <v>0.0</v>
      </c>
      <c r="BI16" s="10">
        <f>U16+AC16+AK16+AS16+BA16</f>
        <v>288.0</v>
      </c>
      <c r="BJ16" s="11">
        <f>BI16/'Premissas'!$B$30</f>
        <v>1.8</v>
      </c>
      <c r="BK16" s="8">
        <f>IF(A16&lt;=12,'Premissas'!$B$24,'Premissas'!$B$25)</f>
        <v>37000</v>
      </c>
      <c r="BL16" s="8">
        <f>ROUND(J16+V16+AD16+AL16+AT16+BB16,2)</f>
        <v>406000.0</v>
      </c>
      <c r="BM16" s="8">
        <f>ROUND(L16+V16+AD16+AL16+AT16+BB16,2)</f>
        <v>382800.0</v>
      </c>
      <c r="BN16" s="8">
        <f>ROUND(T16+AB16+AJ16+AR16+AZ16+BH16,2)</f>
        <v>118482.8</v>
      </c>
      <c r="BO16" s="8">
        <f>ROUND(O16+W16+AE16+AM16+AU16+BC16,2)</f>
        <v>318288.45</v>
      </c>
      <c r="BP16" s="8">
        <f>ROUND(P16+Q16+R16+S16+X16+Y16+Z16+BK16+AF16+AG16+AH16+AI16+AN16+AO16+AP16+AQ16+AV16+AW16+AX16+AY16+BD16+BE16+BF16+BG16,2)</f>
        <v>265704.0</v>
      </c>
      <c r="BQ16" s="8">
        <f>ROUND(BO16-BP16,2)</f>
        <v>52584.45</v>
      </c>
      <c r="BR16" s="8">
        <f>ROUND(BR15+BQ16,2)</f>
        <v>-134648.85</v>
      </c>
      <c r="BS16" s="8">
        <f>ROUND(BN16-BK16,2)</f>
        <v>81482.8</v>
      </c>
      <c r="BT16" s="8">
        <f>ROUND(BT15+N16-O16+V16-W16+AL16-AM16,2)</f>
        <v>264186.8</v>
      </c>
      <c r="BU16" s="10">
        <f>IF(BR16&gt;=0,A16,999)</f>
        <v>999</v>
      </c>
      <c r="BV16" s="8">
        <f>ROUND(BR16+200000,2)</f>
        <v>65351.15</v>
      </c>
    </row>
    <row r="17" spans="1:74">
      <c r="A17" s="10">
        <v>13</v>
      </c>
      <c r="B17" s="7">
        <v>2200</v>
      </c>
      <c r="C17" s="7">
        <v>2</v>
      </c>
      <c r="D17" s="7">
        <v>10</v>
      </c>
      <c r="E17" s="7">
        <v>3</v>
      </c>
      <c r="F17" s="7">
        <v>6</v>
      </c>
      <c r="G17" s="10">
        <f>MAX(0,F17-F16)</f>
        <v>2</v>
      </c>
      <c r="H17" s="10">
        <f>ROUNDUP(B17/'Premissas'!$B$14,0)</f>
        <v>110000</v>
      </c>
      <c r="I17" s="8">
        <f>ROUND(B17*'Premissas'!$B$5,2)</f>
        <v>63800.0</v>
      </c>
      <c r="J17" s="8">
        <f>ROUND(I17*'Premissas'!$B$6,2)</f>
        <v>319000.0</v>
      </c>
      <c r="K17" s="8">
        <f>ROUND(J17*'Premissas'!$B$7,2)</f>
        <v>25520.0</v>
      </c>
      <c r="L17" s="8">
        <f>ROUND(J17-K17,2)</f>
        <v>293480.0</v>
      </c>
      <c r="M17" s="8">
        <f>ROUND(L17*'Premissas'!$B$8+B17*(1-'Premissas'!$B$7)*'Premissas'!$B$9*'Premissas'!$B$6,2)</f>
        <v>39174.52</v>
      </c>
      <c r="N17" s="8">
        <f>ROUND(L17-M17,2)</f>
        <v>254305.48</v>
      </c>
      <c r="O17" s="8">
        <f>IF(A17&gt;'Premissas'!$B$20,INDEX($N$5:$N$28,MAX(1,A17-'Premissas'!$B$20)),0)</f>
        <v>231186.8</v>
      </c>
      <c r="P17" s="8">
        <f>ROUND(L17*'Premissas'!$B$10,2)</f>
        <v>44022.0</v>
      </c>
      <c r="Q17" s="8">
        <f>ROUND(L17*'Premissas'!$B$11,2)</f>
        <v>8804.4</v>
      </c>
      <c r="R17" s="8">
        <f>ROUND(B17*'Premissas'!$B$12*'Premissas'!$B$6,2)</f>
        <v>110000.0</v>
      </c>
      <c r="S17" s="8">
        <f>ROUND(B17*'Premissas'!$B$13*'Premissas'!$B$6,2)</f>
        <v>11000.0</v>
      </c>
      <c r="T17" s="8">
        <f>ROUND(L17-M17-P17-Q17-R17-S17,2)</f>
        <v>80479.08</v>
      </c>
      <c r="U17" s="10">
        <f>C17*'Premissas'!$B$16</f>
        <v>160</v>
      </c>
      <c r="V17" s="8">
        <f>ROUND(C17*'Premissas'!$B$15,2)</f>
        <v>60000.0</v>
      </c>
      <c r="W17" s="8">
        <f>ROUND(V17*'Premissas'!$B$19+V16*(1-'Premissas'!$B$19),2)</f>
        <v>45000.0</v>
      </c>
      <c r="X17" s="8">
        <f>ROUND(U17*'Premissas'!$B$17,2)</f>
        <v>28800.0</v>
      </c>
      <c r="Y17" s="8">
        <f>ROUND(V17*'Premissas'!$B$10,2)</f>
        <v>9000.0</v>
      </c>
      <c r="Z17" s="8">
        <f>ROUND(W17*'Premissas'!$B$18,2)</f>
        <v>2250.0</v>
      </c>
      <c r="AA17" s="8">
        <f>ROUND(V17*'Premissas'!$B$18,2)</f>
        <v>3000.0</v>
      </c>
      <c r="AB17" s="8">
        <f>ROUND(V17-X17-Y17-AA17,2)</f>
        <v>19200.0</v>
      </c>
      <c r="AC17" s="10">
        <f>D17*'Ofertas'!$C$5</f>
        <v>120.0</v>
      </c>
      <c r="AD17" s="8">
        <f>ROUND(D17*'Ofertas'!$B$5,2)</f>
        <v>45000.0</v>
      </c>
      <c r="AE17" s="8">
        <f>AD17</f>
        <v>45000.0</v>
      </c>
      <c r="AF17" s="8">
        <f>ROUND(AC17*'Ofertas'!$D$5,2)</f>
        <v>14400.0</v>
      </c>
      <c r="AG17" s="8">
        <f>ROUND(AD17*'Premissas'!$B$10,2)</f>
        <v>6750.0</v>
      </c>
      <c r="AH17" s="8">
        <f>ROUND(AD17*'Premissas'!$B$31,2)</f>
        <v>2250.0</v>
      </c>
      <c r="AI17" s="8">
        <f>ROUND(D17*'Ofertas'!$H$5,2)</f>
        <v>1600.0</v>
      </c>
      <c r="AJ17" s="8">
        <f>ROUND(AD17-AF17-AG17-AH17-AI17,2)</f>
        <v>20000.0</v>
      </c>
      <c r="AK17" s="10">
        <f>E17*'Ofertas'!$C$6</f>
        <v>120.0</v>
      </c>
      <c r="AL17" s="8">
        <f>ROUND(E17*'Ofertas'!$B$6,2)</f>
        <v>54000.0</v>
      </c>
      <c r="AM17" s="8">
        <f>ROUND(AL17*'Premissas'!$B$32+AL16*(1-'Premissas'!$B$32),2)</f>
        <v>45000.0</v>
      </c>
      <c r="AN17" s="8">
        <f>ROUND(AK17*'Ofertas'!$D$6,2)</f>
        <v>21600.0</v>
      </c>
      <c r="AO17" s="8">
        <f>ROUND(AL17*'Premissas'!$B$10,2)</f>
        <v>8100.0</v>
      </c>
      <c r="AP17" s="8">
        <f>ROUND(AL17*'Premissas'!$B$31,2)</f>
        <v>2700.0</v>
      </c>
      <c r="AQ17" s="8">
        <f>ROUND(E17*'Ofertas'!$H$6,2)</f>
        <v>1800.0</v>
      </c>
      <c r="AR17" s="8">
        <f>ROUND(AL17-AN17-AO17-AP17-AQ17,2)</f>
        <v>19800.0</v>
      </c>
      <c r="AS17" s="10">
        <f>F17*'Ofertas'!$C$7</f>
        <v>48.0</v>
      </c>
      <c r="AT17" s="8">
        <f>ROUND(F17*'Ofertas'!$B$7,2)</f>
        <v>21000.0</v>
      </c>
      <c r="AU17" s="8">
        <f>AT17</f>
        <v>21000.0</v>
      </c>
      <c r="AV17" s="8">
        <f>ROUND(AS17*'Ofertas'!$D$7,2)</f>
        <v>5760.0</v>
      </c>
      <c r="AW17" s="8">
        <f>ROUND(AT17*'Premissas'!$B$10,2)</f>
        <v>3150.0</v>
      </c>
      <c r="AX17" s="8">
        <f>ROUND(AT17*'Premissas'!$B$31,2)</f>
        <v>1050.0</v>
      </c>
      <c r="AY17" s="8">
        <f>ROUND(F17*'Ofertas'!$H$7,2)</f>
        <v>1260.0</v>
      </c>
      <c r="AZ17" s="8">
        <f>ROUND(AT17-AV17-AW17-AX17-AY17,2)</f>
        <v>9780.0</v>
      </c>
      <c r="BA17" s="10">
        <f>G17*'Ofertas'!$C$8</f>
        <v>40.0</v>
      </c>
      <c r="BB17" s="8">
        <f>ROUND(G17*'Ofertas'!$B$8,2)</f>
        <v>12000.0</v>
      </c>
      <c r="BC17" s="8">
        <f>BB17</f>
        <v>12000.0</v>
      </c>
      <c r="BD17" s="8">
        <f>ROUND(BA17*'Ofertas'!$D$8,2)</f>
        <v>7200.0</v>
      </c>
      <c r="BE17" s="8">
        <f>ROUND(BB17*'Premissas'!$B$10,2)</f>
        <v>1800.0</v>
      </c>
      <c r="BF17" s="8">
        <f>ROUND(BB17*'Premissas'!$B$31,2)</f>
        <v>600.0</v>
      </c>
      <c r="BG17" s="8">
        <f>ROUND(G17*'Ofertas'!$H$8,2)</f>
        <v>400.0</v>
      </c>
      <c r="BH17" s="8">
        <f>ROUND(BB17-BD17-BE17-BF17-BG17,2)</f>
        <v>2000.0</v>
      </c>
      <c r="BI17" s="10">
        <f>U17+AC17+AK17+AS17+BA17</f>
        <v>488.0</v>
      </c>
      <c r="BJ17" s="11">
        <f>BI17/'Premissas'!$B$30</f>
        <v>3.05</v>
      </c>
      <c r="BK17" s="8">
        <f>IF(A17&lt;=12,'Premissas'!$B$24,'Premissas'!$B$25)</f>
        <v>42000</v>
      </c>
      <c r="BL17" s="8">
        <f>ROUND(J17+V17+AD17+AL17+AT17+BB17,2)</f>
        <v>511000.0</v>
      </c>
      <c r="BM17" s="8">
        <f>ROUND(L17+V17+AD17+AL17+AT17+BB17,2)</f>
        <v>485480.0</v>
      </c>
      <c r="BN17" s="8">
        <f>ROUND(T17+AB17+AJ17+AR17+AZ17+BH17,2)</f>
        <v>151259.08</v>
      </c>
      <c r="BO17" s="8">
        <f>ROUND(O17+W17+AE17+AM17+AU17+BC17,2)</f>
        <v>399186.8</v>
      </c>
      <c r="BP17" s="8">
        <f>ROUND(P17+Q17+R17+S17+X17+Y17+Z17+BK17+AF17+AG17+AH17+AI17+AN17+AO17+AP17+AQ17+AV17+AW17+AX17+AY17+BD17+BE17+BF17+BG17,2)</f>
        <v>336296.4</v>
      </c>
      <c r="BQ17" s="8">
        <f>ROUND(BO17-BP17,2)</f>
        <v>62890.4</v>
      </c>
      <c r="BR17" s="8">
        <f>ROUND(BR16+BQ17,2)</f>
        <v>-71758.45</v>
      </c>
      <c r="BS17" s="8">
        <f>ROUND(BN17-BK17,2)</f>
        <v>109259.08</v>
      </c>
      <c r="BT17" s="8">
        <f>ROUND(BT16+N17-O17+V17-W17+AL17-AM17,2)</f>
        <v>311305.48</v>
      </c>
      <c r="BU17" s="10">
        <f>IF(BR17&gt;=0,A17,999)</f>
        <v>999</v>
      </c>
      <c r="BV17" s="8">
        <f>ROUND(BR17+200000,2)</f>
        <v>128241.55</v>
      </c>
    </row>
    <row r="18" spans="1:74">
      <c r="A18" s="10">
        <v>14</v>
      </c>
      <c r="B18" s="7">
        <v>2400</v>
      </c>
      <c r="C18" s="7">
        <v>2</v>
      </c>
      <c r="D18" s="7">
        <v>10</v>
      </c>
      <c r="E18" s="7">
        <v>3</v>
      </c>
      <c r="F18" s="7">
        <v>6</v>
      </c>
      <c r="G18" s="10">
        <f>MAX(0,F18-F17)</f>
        <v>0</v>
      </c>
      <c r="H18" s="10">
        <f>ROUNDUP(B18/'Premissas'!$B$14,0)</f>
        <v>120000</v>
      </c>
      <c r="I18" s="8">
        <f>ROUND(B18*'Premissas'!$B$5,2)</f>
        <v>69600.0</v>
      </c>
      <c r="J18" s="8">
        <f>ROUND(I18*'Premissas'!$B$6,2)</f>
        <v>348000.0</v>
      </c>
      <c r="K18" s="8">
        <f>ROUND(J18*'Premissas'!$B$7,2)</f>
        <v>27840.0</v>
      </c>
      <c r="L18" s="8">
        <f>ROUND(J18-K18,2)</f>
        <v>320160.0</v>
      </c>
      <c r="M18" s="8">
        <f>ROUND(L18*'Premissas'!$B$8+B18*(1-'Premissas'!$B$7)*'Premissas'!$B$9*'Premissas'!$B$6,2)</f>
        <v>42735.84</v>
      </c>
      <c r="N18" s="8">
        <f>ROUND(L18-M18,2)</f>
        <v>277424.16</v>
      </c>
      <c r="O18" s="8">
        <f>IF(A18&gt;'Premissas'!$B$20,INDEX($N$5:$N$28,MAX(1,A18-'Premissas'!$B$20)),0)</f>
        <v>254305.48</v>
      </c>
      <c r="P18" s="8">
        <f>ROUND(L18*'Premissas'!$B$10,2)</f>
        <v>48024.0</v>
      </c>
      <c r="Q18" s="8">
        <f>ROUND(L18*'Premissas'!$B$11,2)</f>
        <v>9604.8</v>
      </c>
      <c r="R18" s="8">
        <f>ROUND(B18*'Premissas'!$B$12*'Premissas'!$B$6,2)</f>
        <v>120000.0</v>
      </c>
      <c r="S18" s="8">
        <f>ROUND(B18*'Premissas'!$B$13*'Premissas'!$B$6,2)</f>
        <v>12000.0</v>
      </c>
      <c r="T18" s="8">
        <f>ROUND(L18-M18-P18-Q18-R18-S18,2)</f>
        <v>87795.36</v>
      </c>
      <c r="U18" s="10">
        <f>C18*'Premissas'!$B$16</f>
        <v>160</v>
      </c>
      <c r="V18" s="8">
        <f>ROUND(C18*'Premissas'!$B$15,2)</f>
        <v>60000.0</v>
      </c>
      <c r="W18" s="8">
        <f>ROUND(V18*'Premissas'!$B$19+V17*(1-'Premissas'!$B$19),2)</f>
        <v>60000.0</v>
      </c>
      <c r="X18" s="8">
        <f>ROUND(U18*'Premissas'!$B$17,2)</f>
        <v>28800.0</v>
      </c>
      <c r="Y18" s="8">
        <f>ROUND(V18*'Premissas'!$B$10,2)</f>
        <v>9000.0</v>
      </c>
      <c r="Z18" s="8">
        <f>ROUND(W18*'Premissas'!$B$18,2)</f>
        <v>3000.0</v>
      </c>
      <c r="AA18" s="8">
        <f>ROUND(V18*'Premissas'!$B$18,2)</f>
        <v>3000.0</v>
      </c>
      <c r="AB18" s="8">
        <f>ROUND(V18-X18-Y18-AA18,2)</f>
        <v>19200.0</v>
      </c>
      <c r="AC18" s="10">
        <f>D18*'Ofertas'!$C$5</f>
        <v>120.0</v>
      </c>
      <c r="AD18" s="8">
        <f>ROUND(D18*'Ofertas'!$B$5,2)</f>
        <v>45000.0</v>
      </c>
      <c r="AE18" s="8">
        <f>AD18</f>
        <v>45000.0</v>
      </c>
      <c r="AF18" s="8">
        <f>ROUND(AC18*'Ofertas'!$D$5,2)</f>
        <v>14400.0</v>
      </c>
      <c r="AG18" s="8">
        <f>ROUND(AD18*'Premissas'!$B$10,2)</f>
        <v>6750.0</v>
      </c>
      <c r="AH18" s="8">
        <f>ROUND(AD18*'Premissas'!$B$31,2)</f>
        <v>2250.0</v>
      </c>
      <c r="AI18" s="8">
        <f>ROUND(D18*'Ofertas'!$H$5,2)</f>
        <v>1600.0</v>
      </c>
      <c r="AJ18" s="8">
        <f>ROUND(AD18-AF18-AG18-AH18-AI18,2)</f>
        <v>20000.0</v>
      </c>
      <c r="AK18" s="10">
        <f>E18*'Ofertas'!$C$6</f>
        <v>120.0</v>
      </c>
      <c r="AL18" s="8">
        <f>ROUND(E18*'Ofertas'!$B$6,2)</f>
        <v>54000.0</v>
      </c>
      <c r="AM18" s="8">
        <f>ROUND(AL18*'Premissas'!$B$32+AL17*(1-'Premissas'!$B$32),2)</f>
        <v>54000.0</v>
      </c>
      <c r="AN18" s="8">
        <f>ROUND(AK18*'Ofertas'!$D$6,2)</f>
        <v>21600.0</v>
      </c>
      <c r="AO18" s="8">
        <f>ROUND(AL18*'Premissas'!$B$10,2)</f>
        <v>8100.0</v>
      </c>
      <c r="AP18" s="8">
        <f>ROUND(AL18*'Premissas'!$B$31,2)</f>
        <v>2700.0</v>
      </c>
      <c r="AQ18" s="8">
        <f>ROUND(E18*'Ofertas'!$H$6,2)</f>
        <v>1800.0</v>
      </c>
      <c r="AR18" s="8">
        <f>ROUND(AL18-AN18-AO18-AP18-AQ18,2)</f>
        <v>19800.0</v>
      </c>
      <c r="AS18" s="10">
        <f>F18*'Ofertas'!$C$7</f>
        <v>48.0</v>
      </c>
      <c r="AT18" s="8">
        <f>ROUND(F18*'Ofertas'!$B$7,2)</f>
        <v>21000.0</v>
      </c>
      <c r="AU18" s="8">
        <f>AT18</f>
        <v>21000.0</v>
      </c>
      <c r="AV18" s="8">
        <f>ROUND(AS18*'Ofertas'!$D$7,2)</f>
        <v>5760.0</v>
      </c>
      <c r="AW18" s="8">
        <f>ROUND(AT18*'Premissas'!$B$10,2)</f>
        <v>3150.0</v>
      </c>
      <c r="AX18" s="8">
        <f>ROUND(AT18*'Premissas'!$B$31,2)</f>
        <v>1050.0</v>
      </c>
      <c r="AY18" s="8">
        <f>ROUND(F18*'Ofertas'!$H$7,2)</f>
        <v>1260.0</v>
      </c>
      <c r="AZ18" s="8">
        <f>ROUND(AT18-AV18-AW18-AX18-AY18,2)</f>
        <v>9780.0</v>
      </c>
      <c r="BA18" s="10">
        <f>G18*'Ofertas'!$C$8</f>
        <v>0.0</v>
      </c>
      <c r="BB18" s="8">
        <f>ROUND(G18*'Ofertas'!$B$8,2)</f>
        <v>0.0</v>
      </c>
      <c r="BC18" s="8">
        <f>BB18</f>
        <v>0.0</v>
      </c>
      <c r="BD18" s="8">
        <f>ROUND(BA18*'Ofertas'!$D$8,2)</f>
        <v>0.0</v>
      </c>
      <c r="BE18" s="8">
        <f>ROUND(BB18*'Premissas'!$B$10,2)</f>
        <v>0.0</v>
      </c>
      <c r="BF18" s="8">
        <f>ROUND(BB18*'Premissas'!$B$31,2)</f>
        <v>0.0</v>
      </c>
      <c r="BG18" s="8">
        <f>ROUND(G18*'Ofertas'!$H$8,2)</f>
        <v>0.0</v>
      </c>
      <c r="BH18" s="8">
        <f>ROUND(BB18-BD18-BE18-BF18-BG18,2)</f>
        <v>0.0</v>
      </c>
      <c r="BI18" s="10">
        <f>U18+AC18+AK18+AS18+BA18</f>
        <v>448.0</v>
      </c>
      <c r="BJ18" s="11">
        <f>BI18/'Premissas'!$B$30</f>
        <v>2.8</v>
      </c>
      <c r="BK18" s="8">
        <f>IF(A18&lt;=12,'Premissas'!$B$24,'Premissas'!$B$25)</f>
        <v>42000</v>
      </c>
      <c r="BL18" s="8">
        <f>ROUND(J18+V18+AD18+AL18+AT18+BB18,2)</f>
        <v>528000.0</v>
      </c>
      <c r="BM18" s="8">
        <f>ROUND(L18+V18+AD18+AL18+AT18+BB18,2)</f>
        <v>500160.0</v>
      </c>
      <c r="BN18" s="8">
        <f>ROUND(T18+AB18+AJ18+AR18+AZ18+BH18,2)</f>
        <v>156575.36</v>
      </c>
      <c r="BO18" s="8">
        <f>ROUND(O18+W18+AE18+AM18+AU18+BC18,2)</f>
        <v>434305.48</v>
      </c>
      <c r="BP18" s="8">
        <f>ROUND(P18+Q18+R18+S18+X18+Y18+Z18+BK18+AF18+AG18+AH18+AI18+AN18+AO18+AP18+AQ18+AV18+AW18+AX18+AY18+BD18+BE18+BF18+BG18,2)</f>
        <v>342848.8</v>
      </c>
      <c r="BQ18" s="8">
        <f>ROUND(BO18-BP18,2)</f>
        <v>91456.68</v>
      </c>
      <c r="BR18" s="8">
        <f>ROUND(BR17+BQ18,2)</f>
        <v>19698.23</v>
      </c>
      <c r="BS18" s="8">
        <f>ROUND(BN18-BK18,2)</f>
        <v>114575.36</v>
      </c>
      <c r="BT18" s="8">
        <f>ROUND(BT17+N18-O18+V18-W18+AL18-AM18,2)</f>
        <v>334424.16</v>
      </c>
      <c r="BU18" s="10">
        <f>IF(BR18&gt;=0,A18,999)</f>
        <v>14</v>
      </c>
      <c r="BV18" s="8">
        <f>ROUND(BR18+200000,2)</f>
        <v>219698.23</v>
      </c>
    </row>
    <row r="19" spans="1:74">
      <c r="A19" s="10">
        <v>15</v>
      </c>
      <c r="B19" s="7">
        <v>2600</v>
      </c>
      <c r="C19" s="7">
        <v>2</v>
      </c>
      <c r="D19" s="7">
        <v>10</v>
      </c>
      <c r="E19" s="7">
        <v>3</v>
      </c>
      <c r="F19" s="7">
        <v>6</v>
      </c>
      <c r="G19" s="10">
        <f>MAX(0,F19-F18)</f>
        <v>0</v>
      </c>
      <c r="H19" s="10">
        <f>ROUNDUP(B19/'Premissas'!$B$14,0)</f>
        <v>130000</v>
      </c>
      <c r="I19" s="8">
        <f>ROUND(B19*'Premissas'!$B$5,2)</f>
        <v>75400.0</v>
      </c>
      <c r="J19" s="8">
        <f>ROUND(I19*'Premissas'!$B$6,2)</f>
        <v>377000.0</v>
      </c>
      <c r="K19" s="8">
        <f>ROUND(J19*'Premissas'!$B$7,2)</f>
        <v>30160.0</v>
      </c>
      <c r="L19" s="8">
        <f>ROUND(J19-K19,2)</f>
        <v>346840.0</v>
      </c>
      <c r="M19" s="8">
        <f>ROUND(L19*'Premissas'!$B$8+B19*(1-'Premissas'!$B$7)*'Premissas'!$B$9*'Premissas'!$B$6,2)</f>
        <v>46297.16</v>
      </c>
      <c r="N19" s="8">
        <f>ROUND(L19-M19,2)</f>
        <v>300542.84</v>
      </c>
      <c r="O19" s="8">
        <f>IF(A19&gt;'Premissas'!$B$20,INDEX($N$5:$N$28,MAX(1,A19-'Premissas'!$B$20)),0)</f>
        <v>277424.16</v>
      </c>
      <c r="P19" s="8">
        <f>ROUND(L19*'Premissas'!$B$10,2)</f>
        <v>52026.0</v>
      </c>
      <c r="Q19" s="8">
        <f>ROUND(L19*'Premissas'!$B$11,2)</f>
        <v>10405.2</v>
      </c>
      <c r="R19" s="8">
        <f>ROUND(B19*'Premissas'!$B$12*'Premissas'!$B$6,2)</f>
        <v>130000.0</v>
      </c>
      <c r="S19" s="8">
        <f>ROUND(B19*'Premissas'!$B$13*'Premissas'!$B$6,2)</f>
        <v>13000.0</v>
      </c>
      <c r="T19" s="8">
        <f>ROUND(L19-M19-P19-Q19-R19-S19,2)</f>
        <v>95111.64</v>
      </c>
      <c r="U19" s="10">
        <f>C19*'Premissas'!$B$16</f>
        <v>160</v>
      </c>
      <c r="V19" s="8">
        <f>ROUND(C19*'Premissas'!$B$15,2)</f>
        <v>60000.0</v>
      </c>
      <c r="W19" s="8">
        <f>ROUND(V19*'Premissas'!$B$19+V18*(1-'Premissas'!$B$19),2)</f>
        <v>60000.0</v>
      </c>
      <c r="X19" s="8">
        <f>ROUND(U19*'Premissas'!$B$17,2)</f>
        <v>28800.0</v>
      </c>
      <c r="Y19" s="8">
        <f>ROUND(V19*'Premissas'!$B$10,2)</f>
        <v>9000.0</v>
      </c>
      <c r="Z19" s="8">
        <f>ROUND(W19*'Premissas'!$B$18,2)</f>
        <v>3000.0</v>
      </c>
      <c r="AA19" s="8">
        <f>ROUND(V19*'Premissas'!$B$18,2)</f>
        <v>3000.0</v>
      </c>
      <c r="AB19" s="8">
        <f>ROUND(V19-X19-Y19-AA19,2)</f>
        <v>19200.0</v>
      </c>
      <c r="AC19" s="10">
        <f>D19*'Ofertas'!$C$5</f>
        <v>120.0</v>
      </c>
      <c r="AD19" s="8">
        <f>ROUND(D19*'Ofertas'!$B$5,2)</f>
        <v>45000.0</v>
      </c>
      <c r="AE19" s="8">
        <f>AD19</f>
        <v>45000.0</v>
      </c>
      <c r="AF19" s="8">
        <f>ROUND(AC19*'Ofertas'!$D$5,2)</f>
        <v>14400.0</v>
      </c>
      <c r="AG19" s="8">
        <f>ROUND(AD19*'Premissas'!$B$10,2)</f>
        <v>6750.0</v>
      </c>
      <c r="AH19" s="8">
        <f>ROUND(AD19*'Premissas'!$B$31,2)</f>
        <v>2250.0</v>
      </c>
      <c r="AI19" s="8">
        <f>ROUND(D19*'Ofertas'!$H$5,2)</f>
        <v>1600.0</v>
      </c>
      <c r="AJ19" s="8">
        <f>ROUND(AD19-AF19-AG19-AH19-AI19,2)</f>
        <v>20000.0</v>
      </c>
      <c r="AK19" s="10">
        <f>E19*'Ofertas'!$C$6</f>
        <v>120.0</v>
      </c>
      <c r="AL19" s="8">
        <f>ROUND(E19*'Ofertas'!$B$6,2)</f>
        <v>54000.0</v>
      </c>
      <c r="AM19" s="8">
        <f>ROUND(AL19*'Premissas'!$B$32+AL18*(1-'Premissas'!$B$32),2)</f>
        <v>54000.0</v>
      </c>
      <c r="AN19" s="8">
        <f>ROUND(AK19*'Ofertas'!$D$6,2)</f>
        <v>21600.0</v>
      </c>
      <c r="AO19" s="8">
        <f>ROUND(AL19*'Premissas'!$B$10,2)</f>
        <v>8100.0</v>
      </c>
      <c r="AP19" s="8">
        <f>ROUND(AL19*'Premissas'!$B$31,2)</f>
        <v>2700.0</v>
      </c>
      <c r="AQ19" s="8">
        <f>ROUND(E19*'Ofertas'!$H$6,2)</f>
        <v>1800.0</v>
      </c>
      <c r="AR19" s="8">
        <f>ROUND(AL19-AN19-AO19-AP19-AQ19,2)</f>
        <v>19800.0</v>
      </c>
      <c r="AS19" s="10">
        <f>F19*'Ofertas'!$C$7</f>
        <v>48.0</v>
      </c>
      <c r="AT19" s="8">
        <f>ROUND(F19*'Ofertas'!$B$7,2)</f>
        <v>21000.0</v>
      </c>
      <c r="AU19" s="8">
        <f>AT19</f>
        <v>21000.0</v>
      </c>
      <c r="AV19" s="8">
        <f>ROUND(AS19*'Ofertas'!$D$7,2)</f>
        <v>5760.0</v>
      </c>
      <c r="AW19" s="8">
        <f>ROUND(AT19*'Premissas'!$B$10,2)</f>
        <v>3150.0</v>
      </c>
      <c r="AX19" s="8">
        <f>ROUND(AT19*'Premissas'!$B$31,2)</f>
        <v>1050.0</v>
      </c>
      <c r="AY19" s="8">
        <f>ROUND(F19*'Ofertas'!$H$7,2)</f>
        <v>1260.0</v>
      </c>
      <c r="AZ19" s="8">
        <f>ROUND(AT19-AV19-AW19-AX19-AY19,2)</f>
        <v>9780.0</v>
      </c>
      <c r="BA19" s="10">
        <f>G19*'Ofertas'!$C$8</f>
        <v>0.0</v>
      </c>
      <c r="BB19" s="8">
        <f>ROUND(G19*'Ofertas'!$B$8,2)</f>
        <v>0.0</v>
      </c>
      <c r="BC19" s="8">
        <f>BB19</f>
        <v>0.0</v>
      </c>
      <c r="BD19" s="8">
        <f>ROUND(BA19*'Ofertas'!$D$8,2)</f>
        <v>0.0</v>
      </c>
      <c r="BE19" s="8">
        <f>ROUND(BB19*'Premissas'!$B$10,2)</f>
        <v>0.0</v>
      </c>
      <c r="BF19" s="8">
        <f>ROUND(BB19*'Premissas'!$B$31,2)</f>
        <v>0.0</v>
      </c>
      <c r="BG19" s="8">
        <f>ROUND(G19*'Ofertas'!$H$8,2)</f>
        <v>0.0</v>
      </c>
      <c r="BH19" s="8">
        <f>ROUND(BB19-BD19-BE19-BF19-BG19,2)</f>
        <v>0.0</v>
      </c>
      <c r="BI19" s="10">
        <f>U19+AC19+AK19+AS19+BA19</f>
        <v>448.0</v>
      </c>
      <c r="BJ19" s="11">
        <f>BI19/'Premissas'!$B$30</f>
        <v>2.8</v>
      </c>
      <c r="BK19" s="8">
        <f>IF(A19&lt;=12,'Premissas'!$B$24,'Premissas'!$B$25)</f>
        <v>42000</v>
      </c>
      <c r="BL19" s="8">
        <f>ROUND(J19+V19+AD19+AL19+AT19+BB19,2)</f>
        <v>557000.0</v>
      </c>
      <c r="BM19" s="8">
        <f>ROUND(L19+V19+AD19+AL19+AT19+BB19,2)</f>
        <v>526840.0</v>
      </c>
      <c r="BN19" s="8">
        <f>ROUND(T19+AB19+AJ19+AR19+AZ19+BH19,2)</f>
        <v>163891.64</v>
      </c>
      <c r="BO19" s="8">
        <f>ROUND(O19+W19+AE19+AM19+AU19+BC19,2)</f>
        <v>457424.16</v>
      </c>
      <c r="BP19" s="8">
        <f>ROUND(P19+Q19+R19+S19+X19+Y19+Z19+BK19+AF19+AG19+AH19+AI19+AN19+AO19+AP19+AQ19+AV19+AW19+AX19+AY19+BD19+BE19+BF19+BG19,2)</f>
        <v>358651.2</v>
      </c>
      <c r="BQ19" s="8">
        <f>ROUND(BO19-BP19,2)</f>
        <v>98772.96</v>
      </c>
      <c r="BR19" s="8">
        <f>ROUND(BR18+BQ19,2)</f>
        <v>118471.19</v>
      </c>
      <c r="BS19" s="8">
        <f>ROUND(BN19-BK19,2)</f>
        <v>121891.64</v>
      </c>
      <c r="BT19" s="8">
        <f>ROUND(BT18+N19-O19+V19-W19+AL19-AM19,2)</f>
        <v>357542.84</v>
      </c>
      <c r="BU19" s="10">
        <f>IF(BR19&gt;=0,A19,999)</f>
        <v>15</v>
      </c>
      <c r="BV19" s="8">
        <f>ROUND(BR19+200000,2)</f>
        <v>318471.19</v>
      </c>
    </row>
    <row r="20" spans="1:74">
      <c r="A20" s="10">
        <v>16</v>
      </c>
      <c r="B20" s="7">
        <v>2800</v>
      </c>
      <c r="C20" s="7">
        <v>2</v>
      </c>
      <c r="D20" s="7">
        <v>10</v>
      </c>
      <c r="E20" s="7">
        <v>3</v>
      </c>
      <c r="F20" s="7">
        <v>6</v>
      </c>
      <c r="G20" s="10">
        <f>MAX(0,F20-F19)</f>
        <v>0</v>
      </c>
      <c r="H20" s="10">
        <f>ROUNDUP(B20/'Premissas'!$B$14,0)</f>
        <v>140000</v>
      </c>
      <c r="I20" s="8">
        <f>ROUND(B20*'Premissas'!$B$5,2)</f>
        <v>81200.0</v>
      </c>
      <c r="J20" s="8">
        <f>ROUND(I20*'Premissas'!$B$6,2)</f>
        <v>406000.0</v>
      </c>
      <c r="K20" s="8">
        <f>ROUND(J20*'Premissas'!$B$7,2)</f>
        <v>32480.0</v>
      </c>
      <c r="L20" s="8">
        <f>ROUND(J20-K20,2)</f>
        <v>373520.0</v>
      </c>
      <c r="M20" s="8">
        <f>ROUND(L20*'Premissas'!$B$8+B20*(1-'Premissas'!$B$7)*'Premissas'!$B$9*'Premissas'!$B$6,2)</f>
        <v>49858.48</v>
      </c>
      <c r="N20" s="8">
        <f>ROUND(L20-M20,2)</f>
        <v>323661.52</v>
      </c>
      <c r="O20" s="8">
        <f>IF(A20&gt;'Premissas'!$B$20,INDEX($N$5:$N$28,MAX(1,A20-'Premissas'!$B$20)),0)</f>
        <v>300542.84</v>
      </c>
      <c r="P20" s="8">
        <f>ROUND(L20*'Premissas'!$B$10,2)</f>
        <v>56028.0</v>
      </c>
      <c r="Q20" s="8">
        <f>ROUND(L20*'Premissas'!$B$11,2)</f>
        <v>11205.6</v>
      </c>
      <c r="R20" s="8">
        <f>ROUND(B20*'Premissas'!$B$12*'Premissas'!$B$6,2)</f>
        <v>140000.0</v>
      </c>
      <c r="S20" s="8">
        <f>ROUND(B20*'Premissas'!$B$13*'Premissas'!$B$6,2)</f>
        <v>14000.0</v>
      </c>
      <c r="T20" s="8">
        <f>ROUND(L20-M20-P20-Q20-R20-S20,2)</f>
        <v>102427.92</v>
      </c>
      <c r="U20" s="10">
        <f>C20*'Premissas'!$B$16</f>
        <v>160</v>
      </c>
      <c r="V20" s="8">
        <f>ROUND(C20*'Premissas'!$B$15,2)</f>
        <v>60000.0</v>
      </c>
      <c r="W20" s="8">
        <f>ROUND(V20*'Premissas'!$B$19+V19*(1-'Premissas'!$B$19),2)</f>
        <v>60000.0</v>
      </c>
      <c r="X20" s="8">
        <f>ROUND(U20*'Premissas'!$B$17,2)</f>
        <v>28800.0</v>
      </c>
      <c r="Y20" s="8">
        <f>ROUND(V20*'Premissas'!$B$10,2)</f>
        <v>9000.0</v>
      </c>
      <c r="Z20" s="8">
        <f>ROUND(W20*'Premissas'!$B$18,2)</f>
        <v>3000.0</v>
      </c>
      <c r="AA20" s="8">
        <f>ROUND(V20*'Premissas'!$B$18,2)</f>
        <v>3000.0</v>
      </c>
      <c r="AB20" s="8">
        <f>ROUND(V20-X20-Y20-AA20,2)</f>
        <v>19200.0</v>
      </c>
      <c r="AC20" s="10">
        <f>D20*'Ofertas'!$C$5</f>
        <v>120.0</v>
      </c>
      <c r="AD20" s="8">
        <f>ROUND(D20*'Ofertas'!$B$5,2)</f>
        <v>45000.0</v>
      </c>
      <c r="AE20" s="8">
        <f>AD20</f>
        <v>45000.0</v>
      </c>
      <c r="AF20" s="8">
        <f>ROUND(AC20*'Ofertas'!$D$5,2)</f>
        <v>14400.0</v>
      </c>
      <c r="AG20" s="8">
        <f>ROUND(AD20*'Premissas'!$B$10,2)</f>
        <v>6750.0</v>
      </c>
      <c r="AH20" s="8">
        <f>ROUND(AD20*'Premissas'!$B$31,2)</f>
        <v>2250.0</v>
      </c>
      <c r="AI20" s="8">
        <f>ROUND(D20*'Ofertas'!$H$5,2)</f>
        <v>1600.0</v>
      </c>
      <c r="AJ20" s="8">
        <f>ROUND(AD20-AF20-AG20-AH20-AI20,2)</f>
        <v>20000.0</v>
      </c>
      <c r="AK20" s="10">
        <f>E20*'Ofertas'!$C$6</f>
        <v>120.0</v>
      </c>
      <c r="AL20" s="8">
        <f>ROUND(E20*'Ofertas'!$B$6,2)</f>
        <v>54000.0</v>
      </c>
      <c r="AM20" s="8">
        <f>ROUND(AL20*'Premissas'!$B$32+AL19*(1-'Premissas'!$B$32),2)</f>
        <v>54000.0</v>
      </c>
      <c r="AN20" s="8">
        <f>ROUND(AK20*'Ofertas'!$D$6,2)</f>
        <v>21600.0</v>
      </c>
      <c r="AO20" s="8">
        <f>ROUND(AL20*'Premissas'!$B$10,2)</f>
        <v>8100.0</v>
      </c>
      <c r="AP20" s="8">
        <f>ROUND(AL20*'Premissas'!$B$31,2)</f>
        <v>2700.0</v>
      </c>
      <c r="AQ20" s="8">
        <f>ROUND(E20*'Ofertas'!$H$6,2)</f>
        <v>1800.0</v>
      </c>
      <c r="AR20" s="8">
        <f>ROUND(AL20-AN20-AO20-AP20-AQ20,2)</f>
        <v>19800.0</v>
      </c>
      <c r="AS20" s="10">
        <f>F20*'Ofertas'!$C$7</f>
        <v>48.0</v>
      </c>
      <c r="AT20" s="8">
        <f>ROUND(F20*'Ofertas'!$B$7,2)</f>
        <v>21000.0</v>
      </c>
      <c r="AU20" s="8">
        <f>AT20</f>
        <v>21000.0</v>
      </c>
      <c r="AV20" s="8">
        <f>ROUND(AS20*'Ofertas'!$D$7,2)</f>
        <v>5760.0</v>
      </c>
      <c r="AW20" s="8">
        <f>ROUND(AT20*'Premissas'!$B$10,2)</f>
        <v>3150.0</v>
      </c>
      <c r="AX20" s="8">
        <f>ROUND(AT20*'Premissas'!$B$31,2)</f>
        <v>1050.0</v>
      </c>
      <c r="AY20" s="8">
        <f>ROUND(F20*'Ofertas'!$H$7,2)</f>
        <v>1260.0</v>
      </c>
      <c r="AZ20" s="8">
        <f>ROUND(AT20-AV20-AW20-AX20-AY20,2)</f>
        <v>9780.0</v>
      </c>
      <c r="BA20" s="10">
        <f>G20*'Ofertas'!$C$8</f>
        <v>0.0</v>
      </c>
      <c r="BB20" s="8">
        <f>ROUND(G20*'Ofertas'!$B$8,2)</f>
        <v>0.0</v>
      </c>
      <c r="BC20" s="8">
        <f>BB20</f>
        <v>0.0</v>
      </c>
      <c r="BD20" s="8">
        <f>ROUND(BA20*'Ofertas'!$D$8,2)</f>
        <v>0.0</v>
      </c>
      <c r="BE20" s="8">
        <f>ROUND(BB20*'Premissas'!$B$10,2)</f>
        <v>0.0</v>
      </c>
      <c r="BF20" s="8">
        <f>ROUND(BB20*'Premissas'!$B$31,2)</f>
        <v>0.0</v>
      </c>
      <c r="BG20" s="8">
        <f>ROUND(G20*'Ofertas'!$H$8,2)</f>
        <v>0.0</v>
      </c>
      <c r="BH20" s="8">
        <f>ROUND(BB20-BD20-BE20-BF20-BG20,2)</f>
        <v>0.0</v>
      </c>
      <c r="BI20" s="10">
        <f>U20+AC20+AK20+AS20+BA20</f>
        <v>448.0</v>
      </c>
      <c r="BJ20" s="11">
        <f>BI20/'Premissas'!$B$30</f>
        <v>2.8</v>
      </c>
      <c r="BK20" s="8">
        <f>IF(A20&lt;=12,'Premissas'!$B$24,'Premissas'!$B$25)</f>
        <v>42000</v>
      </c>
      <c r="BL20" s="8">
        <f>ROUND(J20+V20+AD20+AL20+AT20+BB20,2)</f>
        <v>586000.0</v>
      </c>
      <c r="BM20" s="8">
        <f>ROUND(L20+V20+AD20+AL20+AT20+BB20,2)</f>
        <v>553520.0</v>
      </c>
      <c r="BN20" s="8">
        <f>ROUND(T20+AB20+AJ20+AR20+AZ20+BH20,2)</f>
        <v>171207.92</v>
      </c>
      <c r="BO20" s="8">
        <f>ROUND(O20+W20+AE20+AM20+AU20+BC20,2)</f>
        <v>480542.84</v>
      </c>
      <c r="BP20" s="8">
        <f>ROUND(P20+Q20+R20+S20+X20+Y20+Z20+BK20+AF20+AG20+AH20+AI20+AN20+AO20+AP20+AQ20+AV20+AW20+AX20+AY20+BD20+BE20+BF20+BG20,2)</f>
        <v>374453.6</v>
      </c>
      <c r="BQ20" s="8">
        <f>ROUND(BO20-BP20,2)</f>
        <v>106089.24</v>
      </c>
      <c r="BR20" s="8">
        <f>ROUND(BR19+BQ20,2)</f>
        <v>224560.43</v>
      </c>
      <c r="BS20" s="8">
        <f>ROUND(BN20-BK20,2)</f>
        <v>129207.92</v>
      </c>
      <c r="BT20" s="8">
        <f>ROUND(BT19+N20-O20+V20-W20+AL20-AM20,2)</f>
        <v>380661.52</v>
      </c>
      <c r="BU20" s="10">
        <f>IF(BR20&gt;=0,A20,999)</f>
        <v>16</v>
      </c>
      <c r="BV20" s="8">
        <f>ROUND(BR20+200000,2)</f>
        <v>424560.43</v>
      </c>
    </row>
    <row r="21" spans="1:74">
      <c r="A21" s="10">
        <v>17</v>
      </c>
      <c r="B21" s="7">
        <v>3000</v>
      </c>
      <c r="C21" s="7">
        <v>2</v>
      </c>
      <c r="D21" s="7">
        <v>10</v>
      </c>
      <c r="E21" s="7">
        <v>3</v>
      </c>
      <c r="F21" s="7">
        <v>6</v>
      </c>
      <c r="G21" s="10">
        <f>MAX(0,F21-F20)</f>
        <v>0</v>
      </c>
      <c r="H21" s="10">
        <f>ROUNDUP(B21/'Premissas'!$B$14,0)</f>
        <v>150000</v>
      </c>
      <c r="I21" s="8">
        <f>ROUND(B21*'Premissas'!$B$5,2)</f>
        <v>87000.0</v>
      </c>
      <c r="J21" s="8">
        <f>ROUND(I21*'Premissas'!$B$6,2)</f>
        <v>435000.0</v>
      </c>
      <c r="K21" s="8">
        <f>ROUND(J21*'Premissas'!$B$7,2)</f>
        <v>34800.0</v>
      </c>
      <c r="L21" s="8">
        <f>ROUND(J21-K21,2)</f>
        <v>400200.0</v>
      </c>
      <c r="M21" s="8">
        <f>ROUND(L21*'Premissas'!$B$8+B21*(1-'Premissas'!$B$7)*'Premissas'!$B$9*'Premissas'!$B$6,2)</f>
        <v>53419.8</v>
      </c>
      <c r="N21" s="8">
        <f>ROUND(L21-M21,2)</f>
        <v>346780.2</v>
      </c>
      <c r="O21" s="8">
        <f>IF(A21&gt;'Premissas'!$B$20,INDEX($N$5:$N$28,MAX(1,A21-'Premissas'!$B$20)),0)</f>
        <v>323661.52</v>
      </c>
      <c r="P21" s="8">
        <f>ROUND(L21*'Premissas'!$B$10,2)</f>
        <v>60030.0</v>
      </c>
      <c r="Q21" s="8">
        <f>ROUND(L21*'Premissas'!$B$11,2)</f>
        <v>12006.0</v>
      </c>
      <c r="R21" s="8">
        <f>ROUND(B21*'Premissas'!$B$12*'Premissas'!$B$6,2)</f>
        <v>150000.0</v>
      </c>
      <c r="S21" s="8">
        <f>ROUND(B21*'Premissas'!$B$13*'Premissas'!$B$6,2)</f>
        <v>15000.0</v>
      </c>
      <c r="T21" s="8">
        <f>ROUND(L21-M21-P21-Q21-R21-S21,2)</f>
        <v>109744.2</v>
      </c>
      <c r="U21" s="10">
        <f>C21*'Premissas'!$B$16</f>
        <v>160</v>
      </c>
      <c r="V21" s="8">
        <f>ROUND(C21*'Premissas'!$B$15,2)</f>
        <v>60000.0</v>
      </c>
      <c r="W21" s="8">
        <f>ROUND(V21*'Premissas'!$B$19+V20*(1-'Premissas'!$B$19),2)</f>
        <v>60000.0</v>
      </c>
      <c r="X21" s="8">
        <f>ROUND(U21*'Premissas'!$B$17,2)</f>
        <v>28800.0</v>
      </c>
      <c r="Y21" s="8">
        <f>ROUND(V21*'Premissas'!$B$10,2)</f>
        <v>9000.0</v>
      </c>
      <c r="Z21" s="8">
        <f>ROUND(W21*'Premissas'!$B$18,2)</f>
        <v>3000.0</v>
      </c>
      <c r="AA21" s="8">
        <f>ROUND(V21*'Premissas'!$B$18,2)</f>
        <v>3000.0</v>
      </c>
      <c r="AB21" s="8">
        <f>ROUND(V21-X21-Y21-AA21,2)</f>
        <v>19200.0</v>
      </c>
      <c r="AC21" s="10">
        <f>D21*'Ofertas'!$C$5</f>
        <v>120.0</v>
      </c>
      <c r="AD21" s="8">
        <f>ROUND(D21*'Ofertas'!$B$5,2)</f>
        <v>45000.0</v>
      </c>
      <c r="AE21" s="8">
        <f>AD21</f>
        <v>45000.0</v>
      </c>
      <c r="AF21" s="8">
        <f>ROUND(AC21*'Ofertas'!$D$5,2)</f>
        <v>14400.0</v>
      </c>
      <c r="AG21" s="8">
        <f>ROUND(AD21*'Premissas'!$B$10,2)</f>
        <v>6750.0</v>
      </c>
      <c r="AH21" s="8">
        <f>ROUND(AD21*'Premissas'!$B$31,2)</f>
        <v>2250.0</v>
      </c>
      <c r="AI21" s="8">
        <f>ROUND(D21*'Ofertas'!$H$5,2)</f>
        <v>1600.0</v>
      </c>
      <c r="AJ21" s="8">
        <f>ROUND(AD21-AF21-AG21-AH21-AI21,2)</f>
        <v>20000.0</v>
      </c>
      <c r="AK21" s="10">
        <f>E21*'Ofertas'!$C$6</f>
        <v>120.0</v>
      </c>
      <c r="AL21" s="8">
        <f>ROUND(E21*'Ofertas'!$B$6,2)</f>
        <v>54000.0</v>
      </c>
      <c r="AM21" s="8">
        <f>ROUND(AL21*'Premissas'!$B$32+AL20*(1-'Premissas'!$B$32),2)</f>
        <v>54000.0</v>
      </c>
      <c r="AN21" s="8">
        <f>ROUND(AK21*'Ofertas'!$D$6,2)</f>
        <v>21600.0</v>
      </c>
      <c r="AO21" s="8">
        <f>ROUND(AL21*'Premissas'!$B$10,2)</f>
        <v>8100.0</v>
      </c>
      <c r="AP21" s="8">
        <f>ROUND(AL21*'Premissas'!$B$31,2)</f>
        <v>2700.0</v>
      </c>
      <c r="AQ21" s="8">
        <f>ROUND(E21*'Ofertas'!$H$6,2)</f>
        <v>1800.0</v>
      </c>
      <c r="AR21" s="8">
        <f>ROUND(AL21-AN21-AO21-AP21-AQ21,2)</f>
        <v>19800.0</v>
      </c>
      <c r="AS21" s="10">
        <f>F21*'Ofertas'!$C$7</f>
        <v>48.0</v>
      </c>
      <c r="AT21" s="8">
        <f>ROUND(F21*'Ofertas'!$B$7,2)</f>
        <v>21000.0</v>
      </c>
      <c r="AU21" s="8">
        <f>AT21</f>
        <v>21000.0</v>
      </c>
      <c r="AV21" s="8">
        <f>ROUND(AS21*'Ofertas'!$D$7,2)</f>
        <v>5760.0</v>
      </c>
      <c r="AW21" s="8">
        <f>ROUND(AT21*'Premissas'!$B$10,2)</f>
        <v>3150.0</v>
      </c>
      <c r="AX21" s="8">
        <f>ROUND(AT21*'Premissas'!$B$31,2)</f>
        <v>1050.0</v>
      </c>
      <c r="AY21" s="8">
        <f>ROUND(F21*'Ofertas'!$H$7,2)</f>
        <v>1260.0</v>
      </c>
      <c r="AZ21" s="8">
        <f>ROUND(AT21-AV21-AW21-AX21-AY21,2)</f>
        <v>9780.0</v>
      </c>
      <c r="BA21" s="10">
        <f>G21*'Ofertas'!$C$8</f>
        <v>0.0</v>
      </c>
      <c r="BB21" s="8">
        <f>ROUND(G21*'Ofertas'!$B$8,2)</f>
        <v>0.0</v>
      </c>
      <c r="BC21" s="8">
        <f>BB21</f>
        <v>0.0</v>
      </c>
      <c r="BD21" s="8">
        <f>ROUND(BA21*'Ofertas'!$D$8,2)</f>
        <v>0.0</v>
      </c>
      <c r="BE21" s="8">
        <f>ROUND(BB21*'Premissas'!$B$10,2)</f>
        <v>0.0</v>
      </c>
      <c r="BF21" s="8">
        <f>ROUND(BB21*'Premissas'!$B$31,2)</f>
        <v>0.0</v>
      </c>
      <c r="BG21" s="8">
        <f>ROUND(G21*'Ofertas'!$H$8,2)</f>
        <v>0.0</v>
      </c>
      <c r="BH21" s="8">
        <f>ROUND(BB21-BD21-BE21-BF21-BG21,2)</f>
        <v>0.0</v>
      </c>
      <c r="BI21" s="10">
        <f>U21+AC21+AK21+AS21+BA21</f>
        <v>448.0</v>
      </c>
      <c r="BJ21" s="11">
        <f>BI21/'Premissas'!$B$30</f>
        <v>2.8</v>
      </c>
      <c r="BK21" s="8">
        <f>IF(A21&lt;=12,'Premissas'!$B$24,'Premissas'!$B$25)</f>
        <v>42000</v>
      </c>
      <c r="BL21" s="8">
        <f>ROUND(J21+V21+AD21+AL21+AT21+BB21,2)</f>
        <v>615000.0</v>
      </c>
      <c r="BM21" s="8">
        <f>ROUND(L21+V21+AD21+AL21+AT21+BB21,2)</f>
        <v>580200.0</v>
      </c>
      <c r="BN21" s="8">
        <f>ROUND(T21+AB21+AJ21+AR21+AZ21+BH21,2)</f>
        <v>178524.2</v>
      </c>
      <c r="BO21" s="8">
        <f>ROUND(O21+W21+AE21+AM21+AU21+BC21,2)</f>
        <v>503661.52</v>
      </c>
      <c r="BP21" s="8">
        <f>ROUND(P21+Q21+R21+S21+X21+Y21+Z21+BK21+AF21+AG21+AH21+AI21+AN21+AO21+AP21+AQ21+AV21+AW21+AX21+AY21+BD21+BE21+BF21+BG21,2)</f>
        <v>390256.0</v>
      </c>
      <c r="BQ21" s="8">
        <f>ROUND(BO21-BP21,2)</f>
        <v>113405.52</v>
      </c>
      <c r="BR21" s="8">
        <f>ROUND(BR20+BQ21,2)</f>
        <v>337965.95</v>
      </c>
      <c r="BS21" s="8">
        <f>ROUND(BN21-BK21,2)</f>
        <v>136524.2</v>
      </c>
      <c r="BT21" s="8">
        <f>ROUND(BT20+N21-O21+V21-W21+AL21-AM21,2)</f>
        <v>403780.2</v>
      </c>
      <c r="BU21" s="10">
        <f>IF(BR21&gt;=0,A21,999)</f>
        <v>17</v>
      </c>
      <c r="BV21" s="8">
        <f>ROUND(BR21+200000,2)</f>
        <v>537965.95</v>
      </c>
    </row>
    <row r="22" spans="1:74">
      <c r="A22" s="10">
        <v>18</v>
      </c>
      <c r="B22" s="7">
        <v>3000</v>
      </c>
      <c r="C22" s="7">
        <v>2</v>
      </c>
      <c r="D22" s="7">
        <v>10</v>
      </c>
      <c r="E22" s="7">
        <v>3</v>
      </c>
      <c r="F22" s="7">
        <v>6</v>
      </c>
      <c r="G22" s="10">
        <f>MAX(0,F22-F21)</f>
        <v>0</v>
      </c>
      <c r="H22" s="10">
        <f>ROUNDUP(B22/'Premissas'!$B$14,0)</f>
        <v>150000</v>
      </c>
      <c r="I22" s="8">
        <f>ROUND(B22*'Premissas'!$B$5,2)</f>
        <v>87000.0</v>
      </c>
      <c r="J22" s="8">
        <f>ROUND(I22*'Premissas'!$B$6,2)</f>
        <v>435000.0</v>
      </c>
      <c r="K22" s="8">
        <f>ROUND(J22*'Premissas'!$B$7,2)</f>
        <v>34800.0</v>
      </c>
      <c r="L22" s="8">
        <f>ROUND(J22-K22,2)</f>
        <v>400200.0</v>
      </c>
      <c r="M22" s="8">
        <f>ROUND(L22*'Premissas'!$B$8+B22*(1-'Premissas'!$B$7)*'Premissas'!$B$9*'Premissas'!$B$6,2)</f>
        <v>53419.8</v>
      </c>
      <c r="N22" s="8">
        <f>ROUND(L22-M22,2)</f>
        <v>346780.2</v>
      </c>
      <c r="O22" s="8">
        <f>IF(A22&gt;'Premissas'!$B$20,INDEX($N$5:$N$28,MAX(1,A22-'Premissas'!$B$20)),0)</f>
        <v>346780.2</v>
      </c>
      <c r="P22" s="8">
        <f>ROUND(L22*'Premissas'!$B$10,2)</f>
        <v>60030.0</v>
      </c>
      <c r="Q22" s="8">
        <f>ROUND(L22*'Premissas'!$B$11,2)</f>
        <v>12006.0</v>
      </c>
      <c r="R22" s="8">
        <f>ROUND(B22*'Premissas'!$B$12*'Premissas'!$B$6,2)</f>
        <v>150000.0</v>
      </c>
      <c r="S22" s="8">
        <f>ROUND(B22*'Premissas'!$B$13*'Premissas'!$B$6,2)</f>
        <v>15000.0</v>
      </c>
      <c r="T22" s="8">
        <f>ROUND(L22-M22-P22-Q22-R22-S22,2)</f>
        <v>109744.2</v>
      </c>
      <c r="U22" s="10">
        <f>C22*'Premissas'!$B$16</f>
        <v>160</v>
      </c>
      <c r="V22" s="8">
        <f>ROUND(C22*'Premissas'!$B$15,2)</f>
        <v>60000.0</v>
      </c>
      <c r="W22" s="8">
        <f>ROUND(V22*'Premissas'!$B$19+V21*(1-'Premissas'!$B$19),2)</f>
        <v>60000.0</v>
      </c>
      <c r="X22" s="8">
        <f>ROUND(U22*'Premissas'!$B$17,2)</f>
        <v>28800.0</v>
      </c>
      <c r="Y22" s="8">
        <f>ROUND(V22*'Premissas'!$B$10,2)</f>
        <v>9000.0</v>
      </c>
      <c r="Z22" s="8">
        <f>ROUND(W22*'Premissas'!$B$18,2)</f>
        <v>3000.0</v>
      </c>
      <c r="AA22" s="8">
        <f>ROUND(V22*'Premissas'!$B$18,2)</f>
        <v>3000.0</v>
      </c>
      <c r="AB22" s="8">
        <f>ROUND(V22-X22-Y22-AA22,2)</f>
        <v>19200.0</v>
      </c>
      <c r="AC22" s="10">
        <f>D22*'Ofertas'!$C$5</f>
        <v>120.0</v>
      </c>
      <c r="AD22" s="8">
        <f>ROUND(D22*'Ofertas'!$B$5,2)</f>
        <v>45000.0</v>
      </c>
      <c r="AE22" s="8">
        <f>AD22</f>
        <v>45000.0</v>
      </c>
      <c r="AF22" s="8">
        <f>ROUND(AC22*'Ofertas'!$D$5,2)</f>
        <v>14400.0</v>
      </c>
      <c r="AG22" s="8">
        <f>ROUND(AD22*'Premissas'!$B$10,2)</f>
        <v>6750.0</v>
      </c>
      <c r="AH22" s="8">
        <f>ROUND(AD22*'Premissas'!$B$31,2)</f>
        <v>2250.0</v>
      </c>
      <c r="AI22" s="8">
        <f>ROUND(D22*'Ofertas'!$H$5,2)</f>
        <v>1600.0</v>
      </c>
      <c r="AJ22" s="8">
        <f>ROUND(AD22-AF22-AG22-AH22-AI22,2)</f>
        <v>20000.0</v>
      </c>
      <c r="AK22" s="10">
        <f>E22*'Ofertas'!$C$6</f>
        <v>120.0</v>
      </c>
      <c r="AL22" s="8">
        <f>ROUND(E22*'Ofertas'!$B$6,2)</f>
        <v>54000.0</v>
      </c>
      <c r="AM22" s="8">
        <f>ROUND(AL22*'Premissas'!$B$32+AL21*(1-'Premissas'!$B$32),2)</f>
        <v>54000.0</v>
      </c>
      <c r="AN22" s="8">
        <f>ROUND(AK22*'Ofertas'!$D$6,2)</f>
        <v>21600.0</v>
      </c>
      <c r="AO22" s="8">
        <f>ROUND(AL22*'Premissas'!$B$10,2)</f>
        <v>8100.0</v>
      </c>
      <c r="AP22" s="8">
        <f>ROUND(AL22*'Premissas'!$B$31,2)</f>
        <v>2700.0</v>
      </c>
      <c r="AQ22" s="8">
        <f>ROUND(E22*'Ofertas'!$H$6,2)</f>
        <v>1800.0</v>
      </c>
      <c r="AR22" s="8">
        <f>ROUND(AL22-AN22-AO22-AP22-AQ22,2)</f>
        <v>19800.0</v>
      </c>
      <c r="AS22" s="10">
        <f>F22*'Ofertas'!$C$7</f>
        <v>48.0</v>
      </c>
      <c r="AT22" s="8">
        <f>ROUND(F22*'Ofertas'!$B$7,2)</f>
        <v>21000.0</v>
      </c>
      <c r="AU22" s="8">
        <f>AT22</f>
        <v>21000.0</v>
      </c>
      <c r="AV22" s="8">
        <f>ROUND(AS22*'Ofertas'!$D$7,2)</f>
        <v>5760.0</v>
      </c>
      <c r="AW22" s="8">
        <f>ROUND(AT22*'Premissas'!$B$10,2)</f>
        <v>3150.0</v>
      </c>
      <c r="AX22" s="8">
        <f>ROUND(AT22*'Premissas'!$B$31,2)</f>
        <v>1050.0</v>
      </c>
      <c r="AY22" s="8">
        <f>ROUND(F22*'Ofertas'!$H$7,2)</f>
        <v>1260.0</v>
      </c>
      <c r="AZ22" s="8">
        <f>ROUND(AT22-AV22-AW22-AX22-AY22,2)</f>
        <v>9780.0</v>
      </c>
      <c r="BA22" s="10">
        <f>G22*'Ofertas'!$C$8</f>
        <v>0.0</v>
      </c>
      <c r="BB22" s="8">
        <f>ROUND(G22*'Ofertas'!$B$8,2)</f>
        <v>0.0</v>
      </c>
      <c r="BC22" s="8">
        <f>BB22</f>
        <v>0.0</v>
      </c>
      <c r="BD22" s="8">
        <f>ROUND(BA22*'Ofertas'!$D$8,2)</f>
        <v>0.0</v>
      </c>
      <c r="BE22" s="8">
        <f>ROUND(BB22*'Premissas'!$B$10,2)</f>
        <v>0.0</v>
      </c>
      <c r="BF22" s="8">
        <f>ROUND(BB22*'Premissas'!$B$31,2)</f>
        <v>0.0</v>
      </c>
      <c r="BG22" s="8">
        <f>ROUND(G22*'Ofertas'!$H$8,2)</f>
        <v>0.0</v>
      </c>
      <c r="BH22" s="8">
        <f>ROUND(BB22-BD22-BE22-BF22-BG22,2)</f>
        <v>0.0</v>
      </c>
      <c r="BI22" s="10">
        <f>U22+AC22+AK22+AS22+BA22</f>
        <v>448.0</v>
      </c>
      <c r="BJ22" s="11">
        <f>BI22/'Premissas'!$B$30</f>
        <v>2.8</v>
      </c>
      <c r="BK22" s="8">
        <f>IF(A22&lt;=12,'Premissas'!$B$24,'Premissas'!$B$25)</f>
        <v>42000</v>
      </c>
      <c r="BL22" s="8">
        <f>ROUND(J22+V22+AD22+AL22+AT22+BB22,2)</f>
        <v>615000.0</v>
      </c>
      <c r="BM22" s="8">
        <f>ROUND(L22+V22+AD22+AL22+AT22+BB22,2)</f>
        <v>580200.0</v>
      </c>
      <c r="BN22" s="8">
        <f>ROUND(T22+AB22+AJ22+AR22+AZ22+BH22,2)</f>
        <v>178524.2</v>
      </c>
      <c r="BO22" s="8">
        <f>ROUND(O22+W22+AE22+AM22+AU22+BC22,2)</f>
        <v>526780.2</v>
      </c>
      <c r="BP22" s="8">
        <f>ROUND(P22+Q22+R22+S22+X22+Y22+Z22+BK22+AF22+AG22+AH22+AI22+AN22+AO22+AP22+AQ22+AV22+AW22+AX22+AY22+BD22+BE22+BF22+BG22,2)</f>
        <v>390256.0</v>
      </c>
      <c r="BQ22" s="8">
        <f>ROUND(BO22-BP22,2)</f>
        <v>136524.2</v>
      </c>
      <c r="BR22" s="8">
        <f>ROUND(BR21+BQ22,2)</f>
        <v>474490.15</v>
      </c>
      <c r="BS22" s="8">
        <f>ROUND(BN22-BK22,2)</f>
        <v>136524.2</v>
      </c>
      <c r="BT22" s="8">
        <f>ROUND(BT21+N22-O22+V22-W22+AL22-AM22,2)</f>
        <v>403780.2</v>
      </c>
      <c r="BU22" s="10">
        <f>IF(BR22&gt;=0,A22,999)</f>
        <v>18</v>
      </c>
      <c r="BV22" s="8">
        <f>ROUND(BR22+200000,2)</f>
        <v>674490.15</v>
      </c>
    </row>
    <row r="23" spans="1:74">
      <c r="A23" s="10">
        <v>19</v>
      </c>
      <c r="B23" s="7">
        <v>3000</v>
      </c>
      <c r="C23" s="7">
        <v>2</v>
      </c>
      <c r="D23" s="7">
        <v>10</v>
      </c>
      <c r="E23" s="7">
        <v>3</v>
      </c>
      <c r="F23" s="7">
        <v>6</v>
      </c>
      <c r="G23" s="10">
        <f>MAX(0,F23-F22)</f>
        <v>0</v>
      </c>
      <c r="H23" s="10">
        <f>ROUNDUP(B23/'Premissas'!$B$14,0)</f>
        <v>150000</v>
      </c>
      <c r="I23" s="8">
        <f>ROUND(B23*'Premissas'!$B$5,2)</f>
        <v>87000.0</v>
      </c>
      <c r="J23" s="8">
        <f>ROUND(I23*'Premissas'!$B$6,2)</f>
        <v>435000.0</v>
      </c>
      <c r="K23" s="8">
        <f>ROUND(J23*'Premissas'!$B$7,2)</f>
        <v>34800.0</v>
      </c>
      <c r="L23" s="8">
        <f>ROUND(J23-K23,2)</f>
        <v>400200.0</v>
      </c>
      <c r="M23" s="8">
        <f>ROUND(L23*'Premissas'!$B$8+B23*(1-'Premissas'!$B$7)*'Premissas'!$B$9*'Premissas'!$B$6,2)</f>
        <v>53419.8</v>
      </c>
      <c r="N23" s="8">
        <f>ROUND(L23-M23,2)</f>
        <v>346780.2</v>
      </c>
      <c r="O23" s="8">
        <f>IF(A23&gt;'Premissas'!$B$20,INDEX($N$5:$N$28,MAX(1,A23-'Premissas'!$B$20)),0)</f>
        <v>346780.2</v>
      </c>
      <c r="P23" s="8">
        <f>ROUND(L23*'Premissas'!$B$10,2)</f>
        <v>60030.0</v>
      </c>
      <c r="Q23" s="8">
        <f>ROUND(L23*'Premissas'!$B$11,2)</f>
        <v>12006.0</v>
      </c>
      <c r="R23" s="8">
        <f>ROUND(B23*'Premissas'!$B$12*'Premissas'!$B$6,2)</f>
        <v>150000.0</v>
      </c>
      <c r="S23" s="8">
        <f>ROUND(B23*'Premissas'!$B$13*'Premissas'!$B$6,2)</f>
        <v>15000.0</v>
      </c>
      <c r="T23" s="8">
        <f>ROUND(L23-M23-P23-Q23-R23-S23,2)</f>
        <v>109744.2</v>
      </c>
      <c r="U23" s="10">
        <f>C23*'Premissas'!$B$16</f>
        <v>160</v>
      </c>
      <c r="V23" s="8">
        <f>ROUND(C23*'Premissas'!$B$15,2)</f>
        <v>60000.0</v>
      </c>
      <c r="W23" s="8">
        <f>ROUND(V23*'Premissas'!$B$19+V22*(1-'Premissas'!$B$19),2)</f>
        <v>60000.0</v>
      </c>
      <c r="X23" s="8">
        <f>ROUND(U23*'Premissas'!$B$17,2)</f>
        <v>28800.0</v>
      </c>
      <c r="Y23" s="8">
        <f>ROUND(V23*'Premissas'!$B$10,2)</f>
        <v>9000.0</v>
      </c>
      <c r="Z23" s="8">
        <f>ROUND(W23*'Premissas'!$B$18,2)</f>
        <v>3000.0</v>
      </c>
      <c r="AA23" s="8">
        <f>ROUND(V23*'Premissas'!$B$18,2)</f>
        <v>3000.0</v>
      </c>
      <c r="AB23" s="8">
        <f>ROUND(V23-X23-Y23-AA23,2)</f>
        <v>19200.0</v>
      </c>
      <c r="AC23" s="10">
        <f>D23*'Ofertas'!$C$5</f>
        <v>120.0</v>
      </c>
      <c r="AD23" s="8">
        <f>ROUND(D23*'Ofertas'!$B$5,2)</f>
        <v>45000.0</v>
      </c>
      <c r="AE23" s="8">
        <f>AD23</f>
        <v>45000.0</v>
      </c>
      <c r="AF23" s="8">
        <f>ROUND(AC23*'Ofertas'!$D$5,2)</f>
        <v>14400.0</v>
      </c>
      <c r="AG23" s="8">
        <f>ROUND(AD23*'Premissas'!$B$10,2)</f>
        <v>6750.0</v>
      </c>
      <c r="AH23" s="8">
        <f>ROUND(AD23*'Premissas'!$B$31,2)</f>
        <v>2250.0</v>
      </c>
      <c r="AI23" s="8">
        <f>ROUND(D23*'Ofertas'!$H$5,2)</f>
        <v>1600.0</v>
      </c>
      <c r="AJ23" s="8">
        <f>ROUND(AD23-AF23-AG23-AH23-AI23,2)</f>
        <v>20000.0</v>
      </c>
      <c r="AK23" s="10">
        <f>E23*'Ofertas'!$C$6</f>
        <v>120.0</v>
      </c>
      <c r="AL23" s="8">
        <f>ROUND(E23*'Ofertas'!$B$6,2)</f>
        <v>54000.0</v>
      </c>
      <c r="AM23" s="8">
        <f>ROUND(AL23*'Premissas'!$B$32+AL22*(1-'Premissas'!$B$32),2)</f>
        <v>54000.0</v>
      </c>
      <c r="AN23" s="8">
        <f>ROUND(AK23*'Ofertas'!$D$6,2)</f>
        <v>21600.0</v>
      </c>
      <c r="AO23" s="8">
        <f>ROUND(AL23*'Premissas'!$B$10,2)</f>
        <v>8100.0</v>
      </c>
      <c r="AP23" s="8">
        <f>ROUND(AL23*'Premissas'!$B$31,2)</f>
        <v>2700.0</v>
      </c>
      <c r="AQ23" s="8">
        <f>ROUND(E23*'Ofertas'!$H$6,2)</f>
        <v>1800.0</v>
      </c>
      <c r="AR23" s="8">
        <f>ROUND(AL23-AN23-AO23-AP23-AQ23,2)</f>
        <v>19800.0</v>
      </c>
      <c r="AS23" s="10">
        <f>F23*'Ofertas'!$C$7</f>
        <v>48.0</v>
      </c>
      <c r="AT23" s="8">
        <f>ROUND(F23*'Ofertas'!$B$7,2)</f>
        <v>21000.0</v>
      </c>
      <c r="AU23" s="8">
        <f>AT23</f>
        <v>21000.0</v>
      </c>
      <c r="AV23" s="8">
        <f>ROUND(AS23*'Ofertas'!$D$7,2)</f>
        <v>5760.0</v>
      </c>
      <c r="AW23" s="8">
        <f>ROUND(AT23*'Premissas'!$B$10,2)</f>
        <v>3150.0</v>
      </c>
      <c r="AX23" s="8">
        <f>ROUND(AT23*'Premissas'!$B$31,2)</f>
        <v>1050.0</v>
      </c>
      <c r="AY23" s="8">
        <f>ROUND(F23*'Ofertas'!$H$7,2)</f>
        <v>1260.0</v>
      </c>
      <c r="AZ23" s="8">
        <f>ROUND(AT23-AV23-AW23-AX23-AY23,2)</f>
        <v>9780.0</v>
      </c>
      <c r="BA23" s="10">
        <f>G23*'Ofertas'!$C$8</f>
        <v>0.0</v>
      </c>
      <c r="BB23" s="8">
        <f>ROUND(G23*'Ofertas'!$B$8,2)</f>
        <v>0.0</v>
      </c>
      <c r="BC23" s="8">
        <f>BB23</f>
        <v>0.0</v>
      </c>
      <c r="BD23" s="8">
        <f>ROUND(BA23*'Ofertas'!$D$8,2)</f>
        <v>0.0</v>
      </c>
      <c r="BE23" s="8">
        <f>ROUND(BB23*'Premissas'!$B$10,2)</f>
        <v>0.0</v>
      </c>
      <c r="BF23" s="8">
        <f>ROUND(BB23*'Premissas'!$B$31,2)</f>
        <v>0.0</v>
      </c>
      <c r="BG23" s="8">
        <f>ROUND(G23*'Ofertas'!$H$8,2)</f>
        <v>0.0</v>
      </c>
      <c r="BH23" s="8">
        <f>ROUND(BB23-BD23-BE23-BF23-BG23,2)</f>
        <v>0.0</v>
      </c>
      <c r="BI23" s="10">
        <f>U23+AC23+AK23+AS23+BA23</f>
        <v>448.0</v>
      </c>
      <c r="BJ23" s="11">
        <f>BI23/'Premissas'!$B$30</f>
        <v>2.8</v>
      </c>
      <c r="BK23" s="8">
        <f>IF(A23&lt;=12,'Premissas'!$B$24,'Premissas'!$B$25)</f>
        <v>42000</v>
      </c>
      <c r="BL23" s="8">
        <f>ROUND(J23+V23+AD23+AL23+AT23+BB23,2)</f>
        <v>615000.0</v>
      </c>
      <c r="BM23" s="8">
        <f>ROUND(L23+V23+AD23+AL23+AT23+BB23,2)</f>
        <v>580200.0</v>
      </c>
      <c r="BN23" s="8">
        <f>ROUND(T23+AB23+AJ23+AR23+AZ23+BH23,2)</f>
        <v>178524.2</v>
      </c>
      <c r="BO23" s="8">
        <f>ROUND(O23+W23+AE23+AM23+AU23+BC23,2)</f>
        <v>526780.2</v>
      </c>
      <c r="BP23" s="8">
        <f>ROUND(P23+Q23+R23+S23+X23+Y23+Z23+BK23+AF23+AG23+AH23+AI23+AN23+AO23+AP23+AQ23+AV23+AW23+AX23+AY23+BD23+BE23+BF23+BG23,2)</f>
        <v>390256.0</v>
      </c>
      <c r="BQ23" s="8">
        <f>ROUND(BO23-BP23,2)</f>
        <v>136524.2</v>
      </c>
      <c r="BR23" s="8">
        <f>ROUND(BR22+BQ23,2)</f>
        <v>611014.35</v>
      </c>
      <c r="BS23" s="8">
        <f>ROUND(BN23-BK23,2)</f>
        <v>136524.2</v>
      </c>
      <c r="BT23" s="8">
        <f>ROUND(BT22+N23-O23+V23-W23+AL23-AM23,2)</f>
        <v>403780.2</v>
      </c>
      <c r="BU23" s="10">
        <f>IF(BR23&gt;=0,A23,999)</f>
        <v>19</v>
      </c>
      <c r="BV23" s="8">
        <f>ROUND(BR23+200000,2)</f>
        <v>811014.35</v>
      </c>
    </row>
    <row r="24" spans="1:74">
      <c r="A24" s="10">
        <v>20</v>
      </c>
      <c r="B24" s="7">
        <v>3000</v>
      </c>
      <c r="C24" s="7">
        <v>2</v>
      </c>
      <c r="D24" s="7">
        <v>10</v>
      </c>
      <c r="E24" s="7">
        <v>3</v>
      </c>
      <c r="F24" s="7">
        <v>6</v>
      </c>
      <c r="G24" s="10">
        <f>MAX(0,F24-F23)</f>
        <v>0</v>
      </c>
      <c r="H24" s="10">
        <f>ROUNDUP(B24/'Premissas'!$B$14,0)</f>
        <v>150000</v>
      </c>
      <c r="I24" s="8">
        <f>ROUND(B24*'Premissas'!$B$5,2)</f>
        <v>87000.0</v>
      </c>
      <c r="J24" s="8">
        <f>ROUND(I24*'Premissas'!$B$6,2)</f>
        <v>435000.0</v>
      </c>
      <c r="K24" s="8">
        <f>ROUND(J24*'Premissas'!$B$7,2)</f>
        <v>34800.0</v>
      </c>
      <c r="L24" s="8">
        <f>ROUND(J24-K24,2)</f>
        <v>400200.0</v>
      </c>
      <c r="M24" s="8">
        <f>ROUND(L24*'Premissas'!$B$8+B24*(1-'Premissas'!$B$7)*'Premissas'!$B$9*'Premissas'!$B$6,2)</f>
        <v>53419.8</v>
      </c>
      <c r="N24" s="8">
        <f>ROUND(L24-M24,2)</f>
        <v>346780.2</v>
      </c>
      <c r="O24" s="8">
        <f>IF(A24&gt;'Premissas'!$B$20,INDEX($N$5:$N$28,MAX(1,A24-'Premissas'!$B$20)),0)</f>
        <v>346780.2</v>
      </c>
      <c r="P24" s="8">
        <f>ROUND(L24*'Premissas'!$B$10,2)</f>
        <v>60030.0</v>
      </c>
      <c r="Q24" s="8">
        <f>ROUND(L24*'Premissas'!$B$11,2)</f>
        <v>12006.0</v>
      </c>
      <c r="R24" s="8">
        <f>ROUND(B24*'Premissas'!$B$12*'Premissas'!$B$6,2)</f>
        <v>150000.0</v>
      </c>
      <c r="S24" s="8">
        <f>ROUND(B24*'Premissas'!$B$13*'Premissas'!$B$6,2)</f>
        <v>15000.0</v>
      </c>
      <c r="T24" s="8">
        <f>ROUND(L24-M24-P24-Q24-R24-S24,2)</f>
        <v>109744.2</v>
      </c>
      <c r="U24" s="10">
        <f>C24*'Premissas'!$B$16</f>
        <v>160</v>
      </c>
      <c r="V24" s="8">
        <f>ROUND(C24*'Premissas'!$B$15,2)</f>
        <v>60000.0</v>
      </c>
      <c r="W24" s="8">
        <f>ROUND(V24*'Premissas'!$B$19+V23*(1-'Premissas'!$B$19),2)</f>
        <v>60000.0</v>
      </c>
      <c r="X24" s="8">
        <f>ROUND(U24*'Premissas'!$B$17,2)</f>
        <v>28800.0</v>
      </c>
      <c r="Y24" s="8">
        <f>ROUND(V24*'Premissas'!$B$10,2)</f>
        <v>9000.0</v>
      </c>
      <c r="Z24" s="8">
        <f>ROUND(W24*'Premissas'!$B$18,2)</f>
        <v>3000.0</v>
      </c>
      <c r="AA24" s="8">
        <f>ROUND(V24*'Premissas'!$B$18,2)</f>
        <v>3000.0</v>
      </c>
      <c r="AB24" s="8">
        <f>ROUND(V24-X24-Y24-AA24,2)</f>
        <v>19200.0</v>
      </c>
      <c r="AC24" s="10">
        <f>D24*'Ofertas'!$C$5</f>
        <v>120.0</v>
      </c>
      <c r="AD24" s="8">
        <f>ROUND(D24*'Ofertas'!$B$5,2)</f>
        <v>45000.0</v>
      </c>
      <c r="AE24" s="8">
        <f>AD24</f>
        <v>45000.0</v>
      </c>
      <c r="AF24" s="8">
        <f>ROUND(AC24*'Ofertas'!$D$5,2)</f>
        <v>14400.0</v>
      </c>
      <c r="AG24" s="8">
        <f>ROUND(AD24*'Premissas'!$B$10,2)</f>
        <v>6750.0</v>
      </c>
      <c r="AH24" s="8">
        <f>ROUND(AD24*'Premissas'!$B$31,2)</f>
        <v>2250.0</v>
      </c>
      <c r="AI24" s="8">
        <f>ROUND(D24*'Ofertas'!$H$5,2)</f>
        <v>1600.0</v>
      </c>
      <c r="AJ24" s="8">
        <f>ROUND(AD24-AF24-AG24-AH24-AI24,2)</f>
        <v>20000.0</v>
      </c>
      <c r="AK24" s="10">
        <f>E24*'Ofertas'!$C$6</f>
        <v>120.0</v>
      </c>
      <c r="AL24" s="8">
        <f>ROUND(E24*'Ofertas'!$B$6,2)</f>
        <v>54000.0</v>
      </c>
      <c r="AM24" s="8">
        <f>ROUND(AL24*'Premissas'!$B$32+AL23*(1-'Premissas'!$B$32),2)</f>
        <v>54000.0</v>
      </c>
      <c r="AN24" s="8">
        <f>ROUND(AK24*'Ofertas'!$D$6,2)</f>
        <v>21600.0</v>
      </c>
      <c r="AO24" s="8">
        <f>ROUND(AL24*'Premissas'!$B$10,2)</f>
        <v>8100.0</v>
      </c>
      <c r="AP24" s="8">
        <f>ROUND(AL24*'Premissas'!$B$31,2)</f>
        <v>2700.0</v>
      </c>
      <c r="AQ24" s="8">
        <f>ROUND(E24*'Ofertas'!$H$6,2)</f>
        <v>1800.0</v>
      </c>
      <c r="AR24" s="8">
        <f>ROUND(AL24-AN24-AO24-AP24-AQ24,2)</f>
        <v>19800.0</v>
      </c>
      <c r="AS24" s="10">
        <f>F24*'Ofertas'!$C$7</f>
        <v>48.0</v>
      </c>
      <c r="AT24" s="8">
        <f>ROUND(F24*'Ofertas'!$B$7,2)</f>
        <v>21000.0</v>
      </c>
      <c r="AU24" s="8">
        <f>AT24</f>
        <v>21000.0</v>
      </c>
      <c r="AV24" s="8">
        <f>ROUND(AS24*'Ofertas'!$D$7,2)</f>
        <v>5760.0</v>
      </c>
      <c r="AW24" s="8">
        <f>ROUND(AT24*'Premissas'!$B$10,2)</f>
        <v>3150.0</v>
      </c>
      <c r="AX24" s="8">
        <f>ROUND(AT24*'Premissas'!$B$31,2)</f>
        <v>1050.0</v>
      </c>
      <c r="AY24" s="8">
        <f>ROUND(F24*'Ofertas'!$H$7,2)</f>
        <v>1260.0</v>
      </c>
      <c r="AZ24" s="8">
        <f>ROUND(AT24-AV24-AW24-AX24-AY24,2)</f>
        <v>9780.0</v>
      </c>
      <c r="BA24" s="10">
        <f>G24*'Ofertas'!$C$8</f>
        <v>0.0</v>
      </c>
      <c r="BB24" s="8">
        <f>ROUND(G24*'Ofertas'!$B$8,2)</f>
        <v>0.0</v>
      </c>
      <c r="BC24" s="8">
        <f>BB24</f>
        <v>0.0</v>
      </c>
      <c r="BD24" s="8">
        <f>ROUND(BA24*'Ofertas'!$D$8,2)</f>
        <v>0.0</v>
      </c>
      <c r="BE24" s="8">
        <f>ROUND(BB24*'Premissas'!$B$10,2)</f>
        <v>0.0</v>
      </c>
      <c r="BF24" s="8">
        <f>ROUND(BB24*'Premissas'!$B$31,2)</f>
        <v>0.0</v>
      </c>
      <c r="BG24" s="8">
        <f>ROUND(G24*'Ofertas'!$H$8,2)</f>
        <v>0.0</v>
      </c>
      <c r="BH24" s="8">
        <f>ROUND(BB24-BD24-BE24-BF24-BG24,2)</f>
        <v>0.0</v>
      </c>
      <c r="BI24" s="10">
        <f>U24+AC24+AK24+AS24+BA24</f>
        <v>448.0</v>
      </c>
      <c r="BJ24" s="11">
        <f>BI24/'Premissas'!$B$30</f>
        <v>2.8</v>
      </c>
      <c r="BK24" s="8">
        <f>IF(A24&lt;=12,'Premissas'!$B$24,'Premissas'!$B$25)</f>
        <v>42000</v>
      </c>
      <c r="BL24" s="8">
        <f>ROUND(J24+V24+AD24+AL24+AT24+BB24,2)</f>
        <v>615000.0</v>
      </c>
      <c r="BM24" s="8">
        <f>ROUND(L24+V24+AD24+AL24+AT24+BB24,2)</f>
        <v>580200.0</v>
      </c>
      <c r="BN24" s="8">
        <f>ROUND(T24+AB24+AJ24+AR24+AZ24+BH24,2)</f>
        <v>178524.2</v>
      </c>
      <c r="BO24" s="8">
        <f>ROUND(O24+W24+AE24+AM24+AU24+BC24,2)</f>
        <v>526780.2</v>
      </c>
      <c r="BP24" s="8">
        <f>ROUND(P24+Q24+R24+S24+X24+Y24+Z24+BK24+AF24+AG24+AH24+AI24+AN24+AO24+AP24+AQ24+AV24+AW24+AX24+AY24+BD24+BE24+BF24+BG24,2)</f>
        <v>390256.0</v>
      </c>
      <c r="BQ24" s="8">
        <f>ROUND(BO24-BP24,2)</f>
        <v>136524.2</v>
      </c>
      <c r="BR24" s="8">
        <f>ROUND(BR23+BQ24,2)</f>
        <v>747538.55</v>
      </c>
      <c r="BS24" s="8">
        <f>ROUND(BN24-BK24,2)</f>
        <v>136524.2</v>
      </c>
      <c r="BT24" s="8">
        <f>ROUND(BT23+N24-O24+V24-W24+AL24-AM24,2)</f>
        <v>403780.2</v>
      </c>
      <c r="BU24" s="10">
        <f>IF(BR24&gt;=0,A24,999)</f>
        <v>20</v>
      </c>
      <c r="BV24" s="8">
        <f>ROUND(BR24+200000,2)</f>
        <v>947538.55</v>
      </c>
    </row>
    <row r="25" spans="1:74">
      <c r="A25" s="10">
        <v>21</v>
      </c>
      <c r="B25" s="7">
        <v>3000</v>
      </c>
      <c r="C25" s="7">
        <v>2</v>
      </c>
      <c r="D25" s="7">
        <v>10</v>
      </c>
      <c r="E25" s="7">
        <v>3</v>
      </c>
      <c r="F25" s="7">
        <v>6</v>
      </c>
      <c r="G25" s="10">
        <f>MAX(0,F25-F24)</f>
        <v>0</v>
      </c>
      <c r="H25" s="10">
        <f>ROUNDUP(B25/'Premissas'!$B$14,0)</f>
        <v>150000</v>
      </c>
      <c r="I25" s="8">
        <f>ROUND(B25*'Premissas'!$B$5,2)</f>
        <v>87000.0</v>
      </c>
      <c r="J25" s="8">
        <f>ROUND(I25*'Premissas'!$B$6,2)</f>
        <v>435000.0</v>
      </c>
      <c r="K25" s="8">
        <f>ROUND(J25*'Premissas'!$B$7,2)</f>
        <v>34800.0</v>
      </c>
      <c r="L25" s="8">
        <f>ROUND(J25-K25,2)</f>
        <v>400200.0</v>
      </c>
      <c r="M25" s="8">
        <f>ROUND(L25*'Premissas'!$B$8+B25*(1-'Premissas'!$B$7)*'Premissas'!$B$9*'Premissas'!$B$6,2)</f>
        <v>53419.8</v>
      </c>
      <c r="N25" s="8">
        <f>ROUND(L25-M25,2)</f>
        <v>346780.2</v>
      </c>
      <c r="O25" s="8">
        <f>IF(A25&gt;'Premissas'!$B$20,INDEX($N$5:$N$28,MAX(1,A25-'Premissas'!$B$20)),0)</f>
        <v>346780.2</v>
      </c>
      <c r="P25" s="8">
        <f>ROUND(L25*'Premissas'!$B$10,2)</f>
        <v>60030.0</v>
      </c>
      <c r="Q25" s="8">
        <f>ROUND(L25*'Premissas'!$B$11,2)</f>
        <v>12006.0</v>
      </c>
      <c r="R25" s="8">
        <f>ROUND(B25*'Premissas'!$B$12*'Premissas'!$B$6,2)</f>
        <v>150000.0</v>
      </c>
      <c r="S25" s="8">
        <f>ROUND(B25*'Premissas'!$B$13*'Premissas'!$B$6,2)</f>
        <v>15000.0</v>
      </c>
      <c r="T25" s="8">
        <f>ROUND(L25-M25-P25-Q25-R25-S25,2)</f>
        <v>109744.2</v>
      </c>
      <c r="U25" s="10">
        <f>C25*'Premissas'!$B$16</f>
        <v>160</v>
      </c>
      <c r="V25" s="8">
        <f>ROUND(C25*'Premissas'!$B$15,2)</f>
        <v>60000.0</v>
      </c>
      <c r="W25" s="8">
        <f>ROUND(V25*'Premissas'!$B$19+V24*(1-'Premissas'!$B$19),2)</f>
        <v>60000.0</v>
      </c>
      <c r="X25" s="8">
        <f>ROUND(U25*'Premissas'!$B$17,2)</f>
        <v>28800.0</v>
      </c>
      <c r="Y25" s="8">
        <f>ROUND(V25*'Premissas'!$B$10,2)</f>
        <v>9000.0</v>
      </c>
      <c r="Z25" s="8">
        <f>ROUND(W25*'Premissas'!$B$18,2)</f>
        <v>3000.0</v>
      </c>
      <c r="AA25" s="8">
        <f>ROUND(V25*'Premissas'!$B$18,2)</f>
        <v>3000.0</v>
      </c>
      <c r="AB25" s="8">
        <f>ROUND(V25-X25-Y25-AA25,2)</f>
        <v>19200.0</v>
      </c>
      <c r="AC25" s="10">
        <f>D25*'Ofertas'!$C$5</f>
        <v>120.0</v>
      </c>
      <c r="AD25" s="8">
        <f>ROUND(D25*'Ofertas'!$B$5,2)</f>
        <v>45000.0</v>
      </c>
      <c r="AE25" s="8">
        <f>AD25</f>
        <v>45000.0</v>
      </c>
      <c r="AF25" s="8">
        <f>ROUND(AC25*'Ofertas'!$D$5,2)</f>
        <v>14400.0</v>
      </c>
      <c r="AG25" s="8">
        <f>ROUND(AD25*'Premissas'!$B$10,2)</f>
        <v>6750.0</v>
      </c>
      <c r="AH25" s="8">
        <f>ROUND(AD25*'Premissas'!$B$31,2)</f>
        <v>2250.0</v>
      </c>
      <c r="AI25" s="8">
        <f>ROUND(D25*'Ofertas'!$H$5,2)</f>
        <v>1600.0</v>
      </c>
      <c r="AJ25" s="8">
        <f>ROUND(AD25-AF25-AG25-AH25-AI25,2)</f>
        <v>20000.0</v>
      </c>
      <c r="AK25" s="10">
        <f>E25*'Ofertas'!$C$6</f>
        <v>120.0</v>
      </c>
      <c r="AL25" s="8">
        <f>ROUND(E25*'Ofertas'!$B$6,2)</f>
        <v>54000.0</v>
      </c>
      <c r="AM25" s="8">
        <f>ROUND(AL25*'Premissas'!$B$32+AL24*(1-'Premissas'!$B$32),2)</f>
        <v>54000.0</v>
      </c>
      <c r="AN25" s="8">
        <f>ROUND(AK25*'Ofertas'!$D$6,2)</f>
        <v>21600.0</v>
      </c>
      <c r="AO25" s="8">
        <f>ROUND(AL25*'Premissas'!$B$10,2)</f>
        <v>8100.0</v>
      </c>
      <c r="AP25" s="8">
        <f>ROUND(AL25*'Premissas'!$B$31,2)</f>
        <v>2700.0</v>
      </c>
      <c r="AQ25" s="8">
        <f>ROUND(E25*'Ofertas'!$H$6,2)</f>
        <v>1800.0</v>
      </c>
      <c r="AR25" s="8">
        <f>ROUND(AL25-AN25-AO25-AP25-AQ25,2)</f>
        <v>19800.0</v>
      </c>
      <c r="AS25" s="10">
        <f>F25*'Ofertas'!$C$7</f>
        <v>48.0</v>
      </c>
      <c r="AT25" s="8">
        <f>ROUND(F25*'Ofertas'!$B$7,2)</f>
        <v>21000.0</v>
      </c>
      <c r="AU25" s="8">
        <f>AT25</f>
        <v>21000.0</v>
      </c>
      <c r="AV25" s="8">
        <f>ROUND(AS25*'Ofertas'!$D$7,2)</f>
        <v>5760.0</v>
      </c>
      <c r="AW25" s="8">
        <f>ROUND(AT25*'Premissas'!$B$10,2)</f>
        <v>3150.0</v>
      </c>
      <c r="AX25" s="8">
        <f>ROUND(AT25*'Premissas'!$B$31,2)</f>
        <v>1050.0</v>
      </c>
      <c r="AY25" s="8">
        <f>ROUND(F25*'Ofertas'!$H$7,2)</f>
        <v>1260.0</v>
      </c>
      <c r="AZ25" s="8">
        <f>ROUND(AT25-AV25-AW25-AX25-AY25,2)</f>
        <v>9780.0</v>
      </c>
      <c r="BA25" s="10">
        <f>G25*'Ofertas'!$C$8</f>
        <v>0.0</v>
      </c>
      <c r="BB25" s="8">
        <f>ROUND(G25*'Ofertas'!$B$8,2)</f>
        <v>0.0</v>
      </c>
      <c r="BC25" s="8">
        <f>BB25</f>
        <v>0.0</v>
      </c>
      <c r="BD25" s="8">
        <f>ROUND(BA25*'Ofertas'!$D$8,2)</f>
        <v>0.0</v>
      </c>
      <c r="BE25" s="8">
        <f>ROUND(BB25*'Premissas'!$B$10,2)</f>
        <v>0.0</v>
      </c>
      <c r="BF25" s="8">
        <f>ROUND(BB25*'Premissas'!$B$31,2)</f>
        <v>0.0</v>
      </c>
      <c r="BG25" s="8">
        <f>ROUND(G25*'Ofertas'!$H$8,2)</f>
        <v>0.0</v>
      </c>
      <c r="BH25" s="8">
        <f>ROUND(BB25-BD25-BE25-BF25-BG25,2)</f>
        <v>0.0</v>
      </c>
      <c r="BI25" s="10">
        <f>U25+AC25+AK25+AS25+BA25</f>
        <v>448.0</v>
      </c>
      <c r="BJ25" s="11">
        <f>BI25/'Premissas'!$B$30</f>
        <v>2.8</v>
      </c>
      <c r="BK25" s="8">
        <f>IF(A25&lt;=12,'Premissas'!$B$24,'Premissas'!$B$25)</f>
        <v>42000</v>
      </c>
      <c r="BL25" s="8">
        <f>ROUND(J25+V25+AD25+AL25+AT25+BB25,2)</f>
        <v>615000.0</v>
      </c>
      <c r="BM25" s="8">
        <f>ROUND(L25+V25+AD25+AL25+AT25+BB25,2)</f>
        <v>580200.0</v>
      </c>
      <c r="BN25" s="8">
        <f>ROUND(T25+AB25+AJ25+AR25+AZ25+BH25,2)</f>
        <v>178524.2</v>
      </c>
      <c r="BO25" s="8">
        <f>ROUND(O25+W25+AE25+AM25+AU25+BC25,2)</f>
        <v>526780.2</v>
      </c>
      <c r="BP25" s="8">
        <f>ROUND(P25+Q25+R25+S25+X25+Y25+Z25+BK25+AF25+AG25+AH25+AI25+AN25+AO25+AP25+AQ25+AV25+AW25+AX25+AY25+BD25+BE25+BF25+BG25,2)</f>
        <v>390256.0</v>
      </c>
      <c r="BQ25" s="8">
        <f>ROUND(BO25-BP25,2)</f>
        <v>136524.2</v>
      </c>
      <c r="BR25" s="8">
        <f>ROUND(BR24+BQ25,2)</f>
        <v>884062.75</v>
      </c>
      <c r="BS25" s="8">
        <f>ROUND(BN25-BK25,2)</f>
        <v>136524.2</v>
      </c>
      <c r="BT25" s="8">
        <f>ROUND(BT24+N25-O25+V25-W25+AL25-AM25,2)</f>
        <v>403780.2</v>
      </c>
      <c r="BU25" s="10">
        <f>IF(BR25&gt;=0,A25,999)</f>
        <v>21</v>
      </c>
      <c r="BV25" s="8">
        <f>ROUND(BR25+200000,2)</f>
        <v>1084062.75</v>
      </c>
    </row>
    <row r="26" spans="1:74">
      <c r="A26" s="10">
        <v>22</v>
      </c>
      <c r="B26" s="7">
        <v>3000</v>
      </c>
      <c r="C26" s="7">
        <v>2</v>
      </c>
      <c r="D26" s="7">
        <v>10</v>
      </c>
      <c r="E26" s="7">
        <v>3</v>
      </c>
      <c r="F26" s="7">
        <v>6</v>
      </c>
      <c r="G26" s="10">
        <f>MAX(0,F26-F25)</f>
        <v>0</v>
      </c>
      <c r="H26" s="10">
        <f>ROUNDUP(B26/'Premissas'!$B$14,0)</f>
        <v>150000</v>
      </c>
      <c r="I26" s="8">
        <f>ROUND(B26*'Premissas'!$B$5,2)</f>
        <v>87000.0</v>
      </c>
      <c r="J26" s="8">
        <f>ROUND(I26*'Premissas'!$B$6,2)</f>
        <v>435000.0</v>
      </c>
      <c r="K26" s="8">
        <f>ROUND(J26*'Premissas'!$B$7,2)</f>
        <v>34800.0</v>
      </c>
      <c r="L26" s="8">
        <f>ROUND(J26-K26,2)</f>
        <v>400200.0</v>
      </c>
      <c r="M26" s="8">
        <f>ROUND(L26*'Premissas'!$B$8+B26*(1-'Premissas'!$B$7)*'Premissas'!$B$9*'Premissas'!$B$6,2)</f>
        <v>53419.8</v>
      </c>
      <c r="N26" s="8">
        <f>ROUND(L26-M26,2)</f>
        <v>346780.2</v>
      </c>
      <c r="O26" s="8">
        <f>IF(A26&gt;'Premissas'!$B$20,INDEX($N$5:$N$28,MAX(1,A26-'Premissas'!$B$20)),0)</f>
        <v>346780.2</v>
      </c>
      <c r="P26" s="8">
        <f>ROUND(L26*'Premissas'!$B$10,2)</f>
        <v>60030.0</v>
      </c>
      <c r="Q26" s="8">
        <f>ROUND(L26*'Premissas'!$B$11,2)</f>
        <v>12006.0</v>
      </c>
      <c r="R26" s="8">
        <f>ROUND(B26*'Premissas'!$B$12*'Premissas'!$B$6,2)</f>
        <v>150000.0</v>
      </c>
      <c r="S26" s="8">
        <f>ROUND(B26*'Premissas'!$B$13*'Premissas'!$B$6,2)</f>
        <v>15000.0</v>
      </c>
      <c r="T26" s="8">
        <f>ROUND(L26-M26-P26-Q26-R26-S26,2)</f>
        <v>109744.2</v>
      </c>
      <c r="U26" s="10">
        <f>C26*'Premissas'!$B$16</f>
        <v>160</v>
      </c>
      <c r="V26" s="8">
        <f>ROUND(C26*'Premissas'!$B$15,2)</f>
        <v>60000.0</v>
      </c>
      <c r="W26" s="8">
        <f>ROUND(V26*'Premissas'!$B$19+V25*(1-'Premissas'!$B$19),2)</f>
        <v>60000.0</v>
      </c>
      <c r="X26" s="8">
        <f>ROUND(U26*'Premissas'!$B$17,2)</f>
        <v>28800.0</v>
      </c>
      <c r="Y26" s="8">
        <f>ROUND(V26*'Premissas'!$B$10,2)</f>
        <v>9000.0</v>
      </c>
      <c r="Z26" s="8">
        <f>ROUND(W26*'Premissas'!$B$18,2)</f>
        <v>3000.0</v>
      </c>
      <c r="AA26" s="8">
        <f>ROUND(V26*'Premissas'!$B$18,2)</f>
        <v>3000.0</v>
      </c>
      <c r="AB26" s="8">
        <f>ROUND(V26-X26-Y26-AA26,2)</f>
        <v>19200.0</v>
      </c>
      <c r="AC26" s="10">
        <f>D26*'Ofertas'!$C$5</f>
        <v>120.0</v>
      </c>
      <c r="AD26" s="8">
        <f>ROUND(D26*'Ofertas'!$B$5,2)</f>
        <v>45000.0</v>
      </c>
      <c r="AE26" s="8">
        <f>AD26</f>
        <v>45000.0</v>
      </c>
      <c r="AF26" s="8">
        <f>ROUND(AC26*'Ofertas'!$D$5,2)</f>
        <v>14400.0</v>
      </c>
      <c r="AG26" s="8">
        <f>ROUND(AD26*'Premissas'!$B$10,2)</f>
        <v>6750.0</v>
      </c>
      <c r="AH26" s="8">
        <f>ROUND(AD26*'Premissas'!$B$31,2)</f>
        <v>2250.0</v>
      </c>
      <c r="AI26" s="8">
        <f>ROUND(D26*'Ofertas'!$H$5,2)</f>
        <v>1600.0</v>
      </c>
      <c r="AJ26" s="8">
        <f>ROUND(AD26-AF26-AG26-AH26-AI26,2)</f>
        <v>20000.0</v>
      </c>
      <c r="AK26" s="10">
        <f>E26*'Ofertas'!$C$6</f>
        <v>120.0</v>
      </c>
      <c r="AL26" s="8">
        <f>ROUND(E26*'Ofertas'!$B$6,2)</f>
        <v>54000.0</v>
      </c>
      <c r="AM26" s="8">
        <f>ROUND(AL26*'Premissas'!$B$32+AL25*(1-'Premissas'!$B$32),2)</f>
        <v>54000.0</v>
      </c>
      <c r="AN26" s="8">
        <f>ROUND(AK26*'Ofertas'!$D$6,2)</f>
        <v>21600.0</v>
      </c>
      <c r="AO26" s="8">
        <f>ROUND(AL26*'Premissas'!$B$10,2)</f>
        <v>8100.0</v>
      </c>
      <c r="AP26" s="8">
        <f>ROUND(AL26*'Premissas'!$B$31,2)</f>
        <v>2700.0</v>
      </c>
      <c r="AQ26" s="8">
        <f>ROUND(E26*'Ofertas'!$H$6,2)</f>
        <v>1800.0</v>
      </c>
      <c r="AR26" s="8">
        <f>ROUND(AL26-AN26-AO26-AP26-AQ26,2)</f>
        <v>19800.0</v>
      </c>
      <c r="AS26" s="10">
        <f>F26*'Ofertas'!$C$7</f>
        <v>48.0</v>
      </c>
      <c r="AT26" s="8">
        <f>ROUND(F26*'Ofertas'!$B$7,2)</f>
        <v>21000.0</v>
      </c>
      <c r="AU26" s="8">
        <f>AT26</f>
        <v>21000.0</v>
      </c>
      <c r="AV26" s="8">
        <f>ROUND(AS26*'Ofertas'!$D$7,2)</f>
        <v>5760.0</v>
      </c>
      <c r="AW26" s="8">
        <f>ROUND(AT26*'Premissas'!$B$10,2)</f>
        <v>3150.0</v>
      </c>
      <c r="AX26" s="8">
        <f>ROUND(AT26*'Premissas'!$B$31,2)</f>
        <v>1050.0</v>
      </c>
      <c r="AY26" s="8">
        <f>ROUND(F26*'Ofertas'!$H$7,2)</f>
        <v>1260.0</v>
      </c>
      <c r="AZ26" s="8">
        <f>ROUND(AT26-AV26-AW26-AX26-AY26,2)</f>
        <v>9780.0</v>
      </c>
      <c r="BA26" s="10">
        <f>G26*'Ofertas'!$C$8</f>
        <v>0.0</v>
      </c>
      <c r="BB26" s="8">
        <f>ROUND(G26*'Ofertas'!$B$8,2)</f>
        <v>0.0</v>
      </c>
      <c r="BC26" s="8">
        <f>BB26</f>
        <v>0.0</v>
      </c>
      <c r="BD26" s="8">
        <f>ROUND(BA26*'Ofertas'!$D$8,2)</f>
        <v>0.0</v>
      </c>
      <c r="BE26" s="8">
        <f>ROUND(BB26*'Premissas'!$B$10,2)</f>
        <v>0.0</v>
      </c>
      <c r="BF26" s="8">
        <f>ROUND(BB26*'Premissas'!$B$31,2)</f>
        <v>0.0</v>
      </c>
      <c r="BG26" s="8">
        <f>ROUND(G26*'Ofertas'!$H$8,2)</f>
        <v>0.0</v>
      </c>
      <c r="BH26" s="8">
        <f>ROUND(BB26-BD26-BE26-BF26-BG26,2)</f>
        <v>0.0</v>
      </c>
      <c r="BI26" s="10">
        <f>U26+AC26+AK26+AS26+BA26</f>
        <v>448.0</v>
      </c>
      <c r="BJ26" s="11">
        <f>BI26/'Premissas'!$B$30</f>
        <v>2.8</v>
      </c>
      <c r="BK26" s="8">
        <f>IF(A26&lt;=12,'Premissas'!$B$24,'Premissas'!$B$25)</f>
        <v>42000</v>
      </c>
      <c r="BL26" s="8">
        <f>ROUND(J26+V26+AD26+AL26+AT26+BB26,2)</f>
        <v>615000.0</v>
      </c>
      <c r="BM26" s="8">
        <f>ROUND(L26+V26+AD26+AL26+AT26+BB26,2)</f>
        <v>580200.0</v>
      </c>
      <c r="BN26" s="8">
        <f>ROUND(T26+AB26+AJ26+AR26+AZ26+BH26,2)</f>
        <v>178524.2</v>
      </c>
      <c r="BO26" s="8">
        <f>ROUND(O26+W26+AE26+AM26+AU26+BC26,2)</f>
        <v>526780.2</v>
      </c>
      <c r="BP26" s="8">
        <f>ROUND(P26+Q26+R26+S26+X26+Y26+Z26+BK26+AF26+AG26+AH26+AI26+AN26+AO26+AP26+AQ26+AV26+AW26+AX26+AY26+BD26+BE26+BF26+BG26,2)</f>
        <v>390256.0</v>
      </c>
      <c r="BQ26" s="8">
        <f>ROUND(BO26-BP26,2)</f>
        <v>136524.2</v>
      </c>
      <c r="BR26" s="8">
        <f>ROUND(BR25+BQ26,2)</f>
        <v>1020586.95</v>
      </c>
      <c r="BS26" s="8">
        <f>ROUND(BN26-BK26,2)</f>
        <v>136524.2</v>
      </c>
      <c r="BT26" s="8">
        <f>ROUND(BT25+N26-O26+V26-W26+AL26-AM26,2)</f>
        <v>403780.2</v>
      </c>
      <c r="BU26" s="10">
        <f>IF(BR26&gt;=0,A26,999)</f>
        <v>22</v>
      </c>
      <c r="BV26" s="8">
        <f>ROUND(BR26+200000,2)</f>
        <v>1220586.95</v>
      </c>
    </row>
    <row r="27" spans="1:74">
      <c r="A27" s="10">
        <v>23</v>
      </c>
      <c r="B27" s="7">
        <v>3000</v>
      </c>
      <c r="C27" s="7">
        <v>2</v>
      </c>
      <c r="D27" s="7">
        <v>10</v>
      </c>
      <c r="E27" s="7">
        <v>3</v>
      </c>
      <c r="F27" s="7">
        <v>6</v>
      </c>
      <c r="G27" s="10">
        <f>MAX(0,F27-F26)</f>
        <v>0</v>
      </c>
      <c r="H27" s="10">
        <f>ROUNDUP(B27/'Premissas'!$B$14,0)</f>
        <v>150000</v>
      </c>
      <c r="I27" s="8">
        <f>ROUND(B27*'Premissas'!$B$5,2)</f>
        <v>87000.0</v>
      </c>
      <c r="J27" s="8">
        <f>ROUND(I27*'Premissas'!$B$6,2)</f>
        <v>435000.0</v>
      </c>
      <c r="K27" s="8">
        <f>ROUND(J27*'Premissas'!$B$7,2)</f>
        <v>34800.0</v>
      </c>
      <c r="L27" s="8">
        <f>ROUND(J27-K27,2)</f>
        <v>400200.0</v>
      </c>
      <c r="M27" s="8">
        <f>ROUND(L27*'Premissas'!$B$8+B27*(1-'Premissas'!$B$7)*'Premissas'!$B$9*'Premissas'!$B$6,2)</f>
        <v>53419.8</v>
      </c>
      <c r="N27" s="8">
        <f>ROUND(L27-M27,2)</f>
        <v>346780.2</v>
      </c>
      <c r="O27" s="8">
        <f>IF(A27&gt;'Premissas'!$B$20,INDEX($N$5:$N$28,MAX(1,A27-'Premissas'!$B$20)),0)</f>
        <v>346780.2</v>
      </c>
      <c r="P27" s="8">
        <f>ROUND(L27*'Premissas'!$B$10,2)</f>
        <v>60030.0</v>
      </c>
      <c r="Q27" s="8">
        <f>ROUND(L27*'Premissas'!$B$11,2)</f>
        <v>12006.0</v>
      </c>
      <c r="R27" s="8">
        <f>ROUND(B27*'Premissas'!$B$12*'Premissas'!$B$6,2)</f>
        <v>150000.0</v>
      </c>
      <c r="S27" s="8">
        <f>ROUND(B27*'Premissas'!$B$13*'Premissas'!$B$6,2)</f>
        <v>15000.0</v>
      </c>
      <c r="T27" s="8">
        <f>ROUND(L27-M27-P27-Q27-R27-S27,2)</f>
        <v>109744.2</v>
      </c>
      <c r="U27" s="10">
        <f>C27*'Premissas'!$B$16</f>
        <v>160</v>
      </c>
      <c r="V27" s="8">
        <f>ROUND(C27*'Premissas'!$B$15,2)</f>
        <v>60000.0</v>
      </c>
      <c r="W27" s="8">
        <f>ROUND(V27*'Premissas'!$B$19+V26*(1-'Premissas'!$B$19),2)</f>
        <v>60000.0</v>
      </c>
      <c r="X27" s="8">
        <f>ROUND(U27*'Premissas'!$B$17,2)</f>
        <v>28800.0</v>
      </c>
      <c r="Y27" s="8">
        <f>ROUND(V27*'Premissas'!$B$10,2)</f>
        <v>9000.0</v>
      </c>
      <c r="Z27" s="8">
        <f>ROUND(W27*'Premissas'!$B$18,2)</f>
        <v>3000.0</v>
      </c>
      <c r="AA27" s="8">
        <f>ROUND(V27*'Premissas'!$B$18,2)</f>
        <v>3000.0</v>
      </c>
      <c r="AB27" s="8">
        <f>ROUND(V27-X27-Y27-AA27,2)</f>
        <v>19200.0</v>
      </c>
      <c r="AC27" s="10">
        <f>D27*'Ofertas'!$C$5</f>
        <v>120.0</v>
      </c>
      <c r="AD27" s="8">
        <f>ROUND(D27*'Ofertas'!$B$5,2)</f>
        <v>45000.0</v>
      </c>
      <c r="AE27" s="8">
        <f>AD27</f>
        <v>45000.0</v>
      </c>
      <c r="AF27" s="8">
        <f>ROUND(AC27*'Ofertas'!$D$5,2)</f>
        <v>14400.0</v>
      </c>
      <c r="AG27" s="8">
        <f>ROUND(AD27*'Premissas'!$B$10,2)</f>
        <v>6750.0</v>
      </c>
      <c r="AH27" s="8">
        <f>ROUND(AD27*'Premissas'!$B$31,2)</f>
        <v>2250.0</v>
      </c>
      <c r="AI27" s="8">
        <f>ROUND(D27*'Ofertas'!$H$5,2)</f>
        <v>1600.0</v>
      </c>
      <c r="AJ27" s="8">
        <f>ROUND(AD27-AF27-AG27-AH27-AI27,2)</f>
        <v>20000.0</v>
      </c>
      <c r="AK27" s="10">
        <f>E27*'Ofertas'!$C$6</f>
        <v>120.0</v>
      </c>
      <c r="AL27" s="8">
        <f>ROUND(E27*'Ofertas'!$B$6,2)</f>
        <v>54000.0</v>
      </c>
      <c r="AM27" s="8">
        <f>ROUND(AL27*'Premissas'!$B$32+AL26*(1-'Premissas'!$B$32),2)</f>
        <v>54000.0</v>
      </c>
      <c r="AN27" s="8">
        <f>ROUND(AK27*'Ofertas'!$D$6,2)</f>
        <v>21600.0</v>
      </c>
      <c r="AO27" s="8">
        <f>ROUND(AL27*'Premissas'!$B$10,2)</f>
        <v>8100.0</v>
      </c>
      <c r="AP27" s="8">
        <f>ROUND(AL27*'Premissas'!$B$31,2)</f>
        <v>2700.0</v>
      </c>
      <c r="AQ27" s="8">
        <f>ROUND(E27*'Ofertas'!$H$6,2)</f>
        <v>1800.0</v>
      </c>
      <c r="AR27" s="8">
        <f>ROUND(AL27-AN27-AO27-AP27-AQ27,2)</f>
        <v>19800.0</v>
      </c>
      <c r="AS27" s="10">
        <f>F27*'Ofertas'!$C$7</f>
        <v>48.0</v>
      </c>
      <c r="AT27" s="8">
        <f>ROUND(F27*'Ofertas'!$B$7,2)</f>
        <v>21000.0</v>
      </c>
      <c r="AU27" s="8">
        <f>AT27</f>
        <v>21000.0</v>
      </c>
      <c r="AV27" s="8">
        <f>ROUND(AS27*'Ofertas'!$D$7,2)</f>
        <v>5760.0</v>
      </c>
      <c r="AW27" s="8">
        <f>ROUND(AT27*'Premissas'!$B$10,2)</f>
        <v>3150.0</v>
      </c>
      <c r="AX27" s="8">
        <f>ROUND(AT27*'Premissas'!$B$31,2)</f>
        <v>1050.0</v>
      </c>
      <c r="AY27" s="8">
        <f>ROUND(F27*'Ofertas'!$H$7,2)</f>
        <v>1260.0</v>
      </c>
      <c r="AZ27" s="8">
        <f>ROUND(AT27-AV27-AW27-AX27-AY27,2)</f>
        <v>9780.0</v>
      </c>
      <c r="BA27" s="10">
        <f>G27*'Ofertas'!$C$8</f>
        <v>0.0</v>
      </c>
      <c r="BB27" s="8">
        <f>ROUND(G27*'Ofertas'!$B$8,2)</f>
        <v>0.0</v>
      </c>
      <c r="BC27" s="8">
        <f>BB27</f>
        <v>0.0</v>
      </c>
      <c r="BD27" s="8">
        <f>ROUND(BA27*'Ofertas'!$D$8,2)</f>
        <v>0.0</v>
      </c>
      <c r="BE27" s="8">
        <f>ROUND(BB27*'Premissas'!$B$10,2)</f>
        <v>0.0</v>
      </c>
      <c r="BF27" s="8">
        <f>ROUND(BB27*'Premissas'!$B$31,2)</f>
        <v>0.0</v>
      </c>
      <c r="BG27" s="8">
        <f>ROUND(G27*'Ofertas'!$H$8,2)</f>
        <v>0.0</v>
      </c>
      <c r="BH27" s="8">
        <f>ROUND(BB27-BD27-BE27-BF27-BG27,2)</f>
        <v>0.0</v>
      </c>
      <c r="BI27" s="10">
        <f>U27+AC27+AK27+AS27+BA27</f>
        <v>448.0</v>
      </c>
      <c r="BJ27" s="11">
        <f>BI27/'Premissas'!$B$30</f>
        <v>2.8</v>
      </c>
      <c r="BK27" s="8">
        <f>IF(A27&lt;=12,'Premissas'!$B$24,'Premissas'!$B$25)</f>
        <v>42000</v>
      </c>
      <c r="BL27" s="8">
        <f>ROUND(J27+V27+AD27+AL27+AT27+BB27,2)</f>
        <v>615000.0</v>
      </c>
      <c r="BM27" s="8">
        <f>ROUND(L27+V27+AD27+AL27+AT27+BB27,2)</f>
        <v>580200.0</v>
      </c>
      <c r="BN27" s="8">
        <f>ROUND(T27+AB27+AJ27+AR27+AZ27+BH27,2)</f>
        <v>178524.2</v>
      </c>
      <c r="BO27" s="8">
        <f>ROUND(O27+W27+AE27+AM27+AU27+BC27,2)</f>
        <v>526780.2</v>
      </c>
      <c r="BP27" s="8">
        <f>ROUND(P27+Q27+R27+S27+X27+Y27+Z27+BK27+AF27+AG27+AH27+AI27+AN27+AO27+AP27+AQ27+AV27+AW27+AX27+AY27+BD27+BE27+BF27+BG27,2)</f>
        <v>390256.0</v>
      </c>
      <c r="BQ27" s="8">
        <f>ROUND(BO27-BP27,2)</f>
        <v>136524.2</v>
      </c>
      <c r="BR27" s="8">
        <f>ROUND(BR26+BQ27,2)</f>
        <v>1157111.15</v>
      </c>
      <c r="BS27" s="8">
        <f>ROUND(BN27-BK27,2)</f>
        <v>136524.2</v>
      </c>
      <c r="BT27" s="8">
        <f>ROUND(BT26+N27-O27+V27-W27+AL27-AM27,2)</f>
        <v>403780.2</v>
      </c>
      <c r="BU27" s="10">
        <f>IF(BR27&gt;=0,A27,999)</f>
        <v>23</v>
      </c>
      <c r="BV27" s="8">
        <f>ROUND(BR27+200000,2)</f>
        <v>1357111.15</v>
      </c>
    </row>
    <row r="28" spans="1:74">
      <c r="A28" s="10">
        <v>24</v>
      </c>
      <c r="B28" s="7">
        <v>3000</v>
      </c>
      <c r="C28" s="7">
        <v>2</v>
      </c>
      <c r="D28" s="7">
        <v>10</v>
      </c>
      <c r="E28" s="7">
        <v>3</v>
      </c>
      <c r="F28" s="7">
        <v>6</v>
      </c>
      <c r="G28" s="10">
        <f>MAX(0,F28-F27)</f>
        <v>0</v>
      </c>
      <c r="H28" s="10">
        <f>ROUNDUP(B28/'Premissas'!$B$14,0)</f>
        <v>150000</v>
      </c>
      <c r="I28" s="8">
        <f>ROUND(B28*'Premissas'!$B$5,2)</f>
        <v>87000.0</v>
      </c>
      <c r="J28" s="8">
        <f>ROUND(I28*'Premissas'!$B$6,2)</f>
        <v>435000.0</v>
      </c>
      <c r="K28" s="8">
        <f>ROUND(J28*'Premissas'!$B$7,2)</f>
        <v>34800.0</v>
      </c>
      <c r="L28" s="8">
        <f>ROUND(J28-K28,2)</f>
        <v>400200.0</v>
      </c>
      <c r="M28" s="8">
        <f>ROUND(L28*'Premissas'!$B$8+B28*(1-'Premissas'!$B$7)*'Premissas'!$B$9*'Premissas'!$B$6,2)</f>
        <v>53419.8</v>
      </c>
      <c r="N28" s="8">
        <f>ROUND(L28-M28,2)</f>
        <v>346780.2</v>
      </c>
      <c r="O28" s="8">
        <f>IF(A28&gt;'Premissas'!$B$20,INDEX($N$5:$N$28,MAX(1,A28-'Premissas'!$B$20)),0)</f>
        <v>346780.2</v>
      </c>
      <c r="P28" s="8">
        <f>ROUND(L28*'Premissas'!$B$10,2)</f>
        <v>60030.0</v>
      </c>
      <c r="Q28" s="8">
        <f>ROUND(L28*'Premissas'!$B$11,2)</f>
        <v>12006.0</v>
      </c>
      <c r="R28" s="8">
        <f>ROUND(B28*'Premissas'!$B$12*'Premissas'!$B$6,2)</f>
        <v>150000.0</v>
      </c>
      <c r="S28" s="8">
        <f>ROUND(B28*'Premissas'!$B$13*'Premissas'!$B$6,2)</f>
        <v>15000.0</v>
      </c>
      <c r="T28" s="8">
        <f>ROUND(L28-M28-P28-Q28-R28-S28,2)</f>
        <v>109744.2</v>
      </c>
      <c r="U28" s="10">
        <f>C28*'Premissas'!$B$16</f>
        <v>160</v>
      </c>
      <c r="V28" s="8">
        <f>ROUND(C28*'Premissas'!$B$15,2)</f>
        <v>60000.0</v>
      </c>
      <c r="W28" s="8">
        <f>ROUND(V28*'Premissas'!$B$19+V27*(1-'Premissas'!$B$19),2)</f>
        <v>60000.0</v>
      </c>
      <c r="X28" s="8">
        <f>ROUND(U28*'Premissas'!$B$17,2)</f>
        <v>28800.0</v>
      </c>
      <c r="Y28" s="8">
        <f>ROUND(V28*'Premissas'!$B$10,2)</f>
        <v>9000.0</v>
      </c>
      <c r="Z28" s="8">
        <f>ROUND(W28*'Premissas'!$B$18,2)</f>
        <v>3000.0</v>
      </c>
      <c r="AA28" s="8">
        <f>ROUND(V28*'Premissas'!$B$18,2)</f>
        <v>3000.0</v>
      </c>
      <c r="AB28" s="8">
        <f>ROUND(V28-X28-Y28-AA28,2)</f>
        <v>19200.0</v>
      </c>
      <c r="AC28" s="10">
        <f>D28*'Ofertas'!$C$5</f>
        <v>120.0</v>
      </c>
      <c r="AD28" s="8">
        <f>ROUND(D28*'Ofertas'!$B$5,2)</f>
        <v>45000.0</v>
      </c>
      <c r="AE28" s="8">
        <f>AD28</f>
        <v>45000.0</v>
      </c>
      <c r="AF28" s="8">
        <f>ROUND(AC28*'Ofertas'!$D$5,2)</f>
        <v>14400.0</v>
      </c>
      <c r="AG28" s="8">
        <f>ROUND(AD28*'Premissas'!$B$10,2)</f>
        <v>6750.0</v>
      </c>
      <c r="AH28" s="8">
        <f>ROUND(AD28*'Premissas'!$B$31,2)</f>
        <v>2250.0</v>
      </c>
      <c r="AI28" s="8">
        <f>ROUND(D28*'Ofertas'!$H$5,2)</f>
        <v>1600.0</v>
      </c>
      <c r="AJ28" s="8">
        <f>ROUND(AD28-AF28-AG28-AH28-AI28,2)</f>
        <v>20000.0</v>
      </c>
      <c r="AK28" s="10">
        <f>E28*'Ofertas'!$C$6</f>
        <v>120.0</v>
      </c>
      <c r="AL28" s="8">
        <f>ROUND(E28*'Ofertas'!$B$6,2)</f>
        <v>54000.0</v>
      </c>
      <c r="AM28" s="8">
        <f>ROUND(AL28*'Premissas'!$B$32+AL27*(1-'Premissas'!$B$32),2)</f>
        <v>54000.0</v>
      </c>
      <c r="AN28" s="8">
        <f>ROUND(AK28*'Ofertas'!$D$6,2)</f>
        <v>21600.0</v>
      </c>
      <c r="AO28" s="8">
        <f>ROUND(AL28*'Premissas'!$B$10,2)</f>
        <v>8100.0</v>
      </c>
      <c r="AP28" s="8">
        <f>ROUND(AL28*'Premissas'!$B$31,2)</f>
        <v>2700.0</v>
      </c>
      <c r="AQ28" s="8">
        <f>ROUND(E28*'Ofertas'!$H$6,2)</f>
        <v>1800.0</v>
      </c>
      <c r="AR28" s="8">
        <f>ROUND(AL28-AN28-AO28-AP28-AQ28,2)</f>
        <v>19800.0</v>
      </c>
      <c r="AS28" s="10">
        <f>F28*'Ofertas'!$C$7</f>
        <v>48.0</v>
      </c>
      <c r="AT28" s="8">
        <f>ROUND(F28*'Ofertas'!$B$7,2)</f>
        <v>21000.0</v>
      </c>
      <c r="AU28" s="8">
        <f>AT28</f>
        <v>21000.0</v>
      </c>
      <c r="AV28" s="8">
        <f>ROUND(AS28*'Ofertas'!$D$7,2)</f>
        <v>5760.0</v>
      </c>
      <c r="AW28" s="8">
        <f>ROUND(AT28*'Premissas'!$B$10,2)</f>
        <v>3150.0</v>
      </c>
      <c r="AX28" s="8">
        <f>ROUND(AT28*'Premissas'!$B$31,2)</f>
        <v>1050.0</v>
      </c>
      <c r="AY28" s="8">
        <f>ROUND(F28*'Ofertas'!$H$7,2)</f>
        <v>1260.0</v>
      </c>
      <c r="AZ28" s="8">
        <f>ROUND(AT28-AV28-AW28-AX28-AY28,2)</f>
        <v>9780.0</v>
      </c>
      <c r="BA28" s="10">
        <f>G28*'Ofertas'!$C$8</f>
        <v>0.0</v>
      </c>
      <c r="BB28" s="8">
        <f>ROUND(G28*'Ofertas'!$B$8,2)</f>
        <v>0.0</v>
      </c>
      <c r="BC28" s="8">
        <f>BB28</f>
        <v>0.0</v>
      </c>
      <c r="BD28" s="8">
        <f>ROUND(BA28*'Ofertas'!$D$8,2)</f>
        <v>0.0</v>
      </c>
      <c r="BE28" s="8">
        <f>ROUND(BB28*'Premissas'!$B$10,2)</f>
        <v>0.0</v>
      </c>
      <c r="BF28" s="8">
        <f>ROUND(BB28*'Premissas'!$B$31,2)</f>
        <v>0.0</v>
      </c>
      <c r="BG28" s="8">
        <f>ROUND(G28*'Ofertas'!$H$8,2)</f>
        <v>0.0</v>
      </c>
      <c r="BH28" s="8">
        <f>ROUND(BB28-BD28-BE28-BF28-BG28,2)</f>
        <v>0.0</v>
      </c>
      <c r="BI28" s="10">
        <f>U28+AC28+AK28+AS28+BA28</f>
        <v>448.0</v>
      </c>
      <c r="BJ28" s="11">
        <f>BI28/'Premissas'!$B$30</f>
        <v>2.8</v>
      </c>
      <c r="BK28" s="8">
        <f>IF(A28&lt;=12,'Premissas'!$B$24,'Premissas'!$B$25)</f>
        <v>42000</v>
      </c>
      <c r="BL28" s="8">
        <f>ROUND(J28+V28+AD28+AL28+AT28+BB28,2)</f>
        <v>615000.0</v>
      </c>
      <c r="BM28" s="8">
        <f>ROUND(L28+V28+AD28+AL28+AT28+BB28,2)</f>
        <v>580200.0</v>
      </c>
      <c r="BN28" s="8">
        <f>ROUND(T28+AB28+AJ28+AR28+AZ28+BH28,2)</f>
        <v>178524.2</v>
      </c>
      <c r="BO28" s="8">
        <f>ROUND(O28+W28+AE28+AM28+AU28+BC28,2)</f>
        <v>526780.2</v>
      </c>
      <c r="BP28" s="8">
        <f>ROUND(P28+Q28+R28+S28+X28+Y28+Z28+BK28+AF28+AG28+AH28+AI28+AN28+AO28+AP28+AQ28+AV28+AW28+AX28+AY28+BD28+BE28+BF28+BG28,2)</f>
        <v>390256.0</v>
      </c>
      <c r="BQ28" s="8">
        <f>ROUND(BO28-BP28,2)</f>
        <v>136524.2</v>
      </c>
      <c r="BR28" s="8">
        <f>ROUND(BR27+BQ28,2)</f>
        <v>1293635.35</v>
      </c>
      <c r="BS28" s="8">
        <f>ROUND(BN28-BK28,2)</f>
        <v>136524.2</v>
      </c>
      <c r="BT28" s="8">
        <f>ROUND(BT27+N28-O28+V28-W28+AL28-AM28,2)</f>
        <v>403780.2</v>
      </c>
      <c r="BU28" s="10">
        <f>IF(BR28&gt;=0,A28,999)</f>
        <v>24</v>
      </c>
      <c r="BV28" s="8">
        <f>ROUND(BR28+200000,2)</f>
        <v>1493635.35</v>
      </c>
    </row>
  </sheetData>
  <autoFilter ref="A4:BV28"/>
  <mergeCells count="2">
    <mergeCell ref="A1:BV1"/>
    <mergeCell ref="A2:BV2"/>
  </mergeCells>
  <conditionalFormatting sqref="BR5:BR28">
    <cfRule type="cellIs" dxfId="0" priority="1" operator="lessThan">
      <formula>0</formula>
    </cfRule>
  </conditionalFormatting>
  <dataValidations count="120">
    <dataValidation type="whole" allowBlank="1" showInputMessage="1" showErrorMessage="1" sqref="B5">
      <formula1>0</formula1>
      <formula2>1000000000</formula2>
    </dataValidation>
    <dataValidation type="whole" allowBlank="1" showInputMessage="1" showErrorMessage="1" sqref="C5">
      <formula1>0</formula1>
      <formula2>1000000000</formula2>
    </dataValidation>
    <dataValidation type="whole" allowBlank="1" showInputMessage="1" showErrorMessage="1" sqref="D5">
      <formula1>0</formula1>
      <formula2>1000000000</formula2>
    </dataValidation>
    <dataValidation type="whole" allowBlank="1" showInputMessage="1" showErrorMessage="1" sqref="E5">
      <formula1>0</formula1>
      <formula2>1000000000</formula2>
    </dataValidation>
    <dataValidation type="whole" allowBlank="1" showInputMessage="1" showErrorMessage="1" sqref="F5">
      <formula1>0</formula1>
      <formula2>1000000000</formula2>
    </dataValidation>
    <dataValidation type="whole" allowBlank="1" showInputMessage="1" showErrorMessage="1" sqref="B6">
      <formula1>0</formula1>
      <formula2>1000000000</formula2>
    </dataValidation>
    <dataValidation type="whole" allowBlank="1" showInputMessage="1" showErrorMessage="1" sqref="C6">
      <formula1>0</formula1>
      <formula2>1000000000</formula2>
    </dataValidation>
    <dataValidation type="whole" allowBlank="1" showInputMessage="1" showErrorMessage="1" sqref="D6">
      <formula1>0</formula1>
      <formula2>1000000000</formula2>
    </dataValidation>
    <dataValidation type="whole" allowBlank="1" showInputMessage="1" showErrorMessage="1" sqref="E6">
      <formula1>0</formula1>
      <formula2>1000000000</formula2>
    </dataValidation>
    <dataValidation type="whole" allowBlank="1" showInputMessage="1" showErrorMessage="1" sqref="F6">
      <formula1>0</formula1>
      <formula2>1000000000</formula2>
    </dataValidation>
    <dataValidation type="whole" allowBlank="1" showInputMessage="1" showErrorMessage="1" sqref="B7">
      <formula1>0</formula1>
      <formula2>1000000000</formula2>
    </dataValidation>
    <dataValidation type="whole" allowBlank="1" showInputMessage="1" showErrorMessage="1" sqref="C7">
      <formula1>0</formula1>
      <formula2>1000000000</formula2>
    </dataValidation>
    <dataValidation type="whole" allowBlank="1" showInputMessage="1" showErrorMessage="1" sqref="D7">
      <formula1>0</formula1>
      <formula2>1000000000</formula2>
    </dataValidation>
    <dataValidation type="whole" allowBlank="1" showInputMessage="1" showErrorMessage="1" sqref="E7">
      <formula1>0</formula1>
      <formula2>1000000000</formula2>
    </dataValidation>
    <dataValidation type="whole" allowBlank="1" showInputMessage="1" showErrorMessage="1" sqref="F7">
      <formula1>0</formula1>
      <formula2>1000000000</formula2>
    </dataValidation>
    <dataValidation type="whole" allowBlank="1" showInputMessage="1" showErrorMessage="1" sqref="B8">
      <formula1>0</formula1>
      <formula2>1000000000</formula2>
    </dataValidation>
    <dataValidation type="whole" allowBlank="1" showInputMessage="1" showErrorMessage="1" sqref="C8">
      <formula1>0</formula1>
      <formula2>1000000000</formula2>
    </dataValidation>
    <dataValidation type="whole" allowBlank="1" showInputMessage="1" showErrorMessage="1" sqref="D8">
      <formula1>0</formula1>
      <formula2>1000000000</formula2>
    </dataValidation>
    <dataValidation type="whole" allowBlank="1" showInputMessage="1" showErrorMessage="1" sqref="E8">
      <formula1>0</formula1>
      <formula2>1000000000</formula2>
    </dataValidation>
    <dataValidation type="whole" allowBlank="1" showInputMessage="1" showErrorMessage="1" sqref="F8">
      <formula1>0</formula1>
      <formula2>1000000000</formula2>
    </dataValidation>
    <dataValidation type="whole" allowBlank="1" showInputMessage="1" showErrorMessage="1" sqref="B9">
      <formula1>0</formula1>
      <formula2>1000000000</formula2>
    </dataValidation>
    <dataValidation type="whole" allowBlank="1" showInputMessage="1" showErrorMessage="1" sqref="C9">
      <formula1>0</formula1>
      <formula2>1000000000</formula2>
    </dataValidation>
    <dataValidation type="whole" allowBlank="1" showInputMessage="1" showErrorMessage="1" sqref="D9">
      <formula1>0</formula1>
      <formula2>1000000000</formula2>
    </dataValidation>
    <dataValidation type="whole" allowBlank="1" showInputMessage="1" showErrorMessage="1" sqref="E9">
      <formula1>0</formula1>
      <formula2>1000000000</formula2>
    </dataValidation>
    <dataValidation type="whole" allowBlank="1" showInputMessage="1" showErrorMessage="1" sqref="F9">
      <formula1>0</formula1>
      <formula2>1000000000</formula2>
    </dataValidation>
    <dataValidation type="whole" allowBlank="1" showInputMessage="1" showErrorMessage="1" sqref="B10">
      <formula1>0</formula1>
      <formula2>1000000000</formula2>
    </dataValidation>
    <dataValidation type="whole" allowBlank="1" showInputMessage="1" showErrorMessage="1" sqref="C10">
      <formula1>0</formula1>
      <formula2>1000000000</formula2>
    </dataValidation>
    <dataValidation type="whole" allowBlank="1" showInputMessage="1" showErrorMessage="1" sqref="D10">
      <formula1>0</formula1>
      <formula2>1000000000</formula2>
    </dataValidation>
    <dataValidation type="whole" allowBlank="1" showInputMessage="1" showErrorMessage="1" sqref="E10">
      <formula1>0</formula1>
      <formula2>1000000000</formula2>
    </dataValidation>
    <dataValidation type="whole" allowBlank="1" showInputMessage="1" showErrorMessage="1" sqref="F10">
      <formula1>0</formula1>
      <formula2>1000000000</formula2>
    </dataValidation>
    <dataValidation type="whole" allowBlank="1" showInputMessage="1" showErrorMessage="1" sqref="B11">
      <formula1>0</formula1>
      <formula2>1000000000</formula2>
    </dataValidation>
    <dataValidation type="whole" allowBlank="1" showInputMessage="1" showErrorMessage="1" sqref="C11">
      <formula1>0</formula1>
      <formula2>1000000000</formula2>
    </dataValidation>
    <dataValidation type="whole" allowBlank="1" showInputMessage="1" showErrorMessage="1" sqref="D11">
      <formula1>0</formula1>
      <formula2>1000000000</formula2>
    </dataValidation>
    <dataValidation type="whole" allowBlank="1" showInputMessage="1" showErrorMessage="1" sqref="E11">
      <formula1>0</formula1>
      <formula2>1000000000</formula2>
    </dataValidation>
    <dataValidation type="whole" allowBlank="1" showInputMessage="1" showErrorMessage="1" sqref="F11">
      <formula1>0</formula1>
      <formula2>1000000000</formula2>
    </dataValidation>
    <dataValidation type="whole" allowBlank="1" showInputMessage="1" showErrorMessage="1" sqref="B12">
      <formula1>0</formula1>
      <formula2>1000000000</formula2>
    </dataValidation>
    <dataValidation type="whole" allowBlank="1" showInputMessage="1" showErrorMessage="1" sqref="C12">
      <formula1>0</formula1>
      <formula2>1000000000</formula2>
    </dataValidation>
    <dataValidation type="whole" allowBlank="1" showInputMessage="1" showErrorMessage="1" sqref="D12">
      <formula1>0</formula1>
      <formula2>1000000000</formula2>
    </dataValidation>
    <dataValidation type="whole" allowBlank="1" showInputMessage="1" showErrorMessage="1" sqref="E12">
      <formula1>0</formula1>
      <formula2>1000000000</formula2>
    </dataValidation>
    <dataValidation type="whole" allowBlank="1" showInputMessage="1" showErrorMessage="1" sqref="F12">
      <formula1>0</formula1>
      <formula2>1000000000</formula2>
    </dataValidation>
    <dataValidation type="whole" allowBlank="1" showInputMessage="1" showErrorMessage="1" sqref="B13">
      <formula1>0</formula1>
      <formula2>1000000000</formula2>
    </dataValidation>
    <dataValidation type="whole" allowBlank="1" showInputMessage="1" showErrorMessage="1" sqref="C13">
      <formula1>0</formula1>
      <formula2>1000000000</formula2>
    </dataValidation>
    <dataValidation type="whole" allowBlank="1" showInputMessage="1" showErrorMessage="1" sqref="D13">
      <formula1>0</formula1>
      <formula2>1000000000</formula2>
    </dataValidation>
    <dataValidation type="whole" allowBlank="1" showInputMessage="1" showErrorMessage="1" sqref="E13">
      <formula1>0</formula1>
      <formula2>1000000000</formula2>
    </dataValidation>
    <dataValidation type="whole" allowBlank="1" showInputMessage="1" showErrorMessage="1" sqref="F13">
      <formula1>0</formula1>
      <formula2>1000000000</formula2>
    </dataValidation>
    <dataValidation type="whole" allowBlank="1" showInputMessage="1" showErrorMessage="1" sqref="B14">
      <formula1>0</formula1>
      <formula2>1000000000</formula2>
    </dataValidation>
    <dataValidation type="whole" allowBlank="1" showInputMessage="1" showErrorMessage="1" sqref="C14">
      <formula1>0</formula1>
      <formula2>1000000000</formula2>
    </dataValidation>
    <dataValidation type="whole" allowBlank="1" showInputMessage="1" showErrorMessage="1" sqref="D14">
      <formula1>0</formula1>
      <formula2>1000000000</formula2>
    </dataValidation>
    <dataValidation type="whole" allowBlank="1" showInputMessage="1" showErrorMessage="1" sqref="E14">
      <formula1>0</formula1>
      <formula2>1000000000</formula2>
    </dataValidation>
    <dataValidation type="whole" allowBlank="1" showInputMessage="1" showErrorMessage="1" sqref="F14">
      <formula1>0</formula1>
      <formula2>1000000000</formula2>
    </dataValidation>
    <dataValidation type="whole" allowBlank="1" showInputMessage="1" showErrorMessage="1" sqref="B15">
      <formula1>0</formula1>
      <formula2>1000000000</formula2>
    </dataValidation>
    <dataValidation type="whole" allowBlank="1" showInputMessage="1" showErrorMessage="1" sqref="C15">
      <formula1>0</formula1>
      <formula2>1000000000</formula2>
    </dataValidation>
    <dataValidation type="whole" allowBlank="1" showInputMessage="1" showErrorMessage="1" sqref="D15">
      <formula1>0</formula1>
      <formula2>1000000000</formula2>
    </dataValidation>
    <dataValidation type="whole" allowBlank="1" showInputMessage="1" showErrorMessage="1" sqref="E15">
      <formula1>0</formula1>
      <formula2>1000000000</formula2>
    </dataValidation>
    <dataValidation type="whole" allowBlank="1" showInputMessage="1" showErrorMessage="1" sqref="F15">
      <formula1>0</formula1>
      <formula2>1000000000</formula2>
    </dataValidation>
    <dataValidation type="whole" allowBlank="1" showInputMessage="1" showErrorMessage="1" sqref="B16">
      <formula1>0</formula1>
      <formula2>1000000000</formula2>
    </dataValidation>
    <dataValidation type="whole" allowBlank="1" showInputMessage="1" showErrorMessage="1" sqref="C16">
      <formula1>0</formula1>
      <formula2>1000000000</formula2>
    </dataValidation>
    <dataValidation type="whole" allowBlank="1" showInputMessage="1" showErrorMessage="1" sqref="D16">
      <formula1>0</formula1>
      <formula2>1000000000</formula2>
    </dataValidation>
    <dataValidation type="whole" allowBlank="1" showInputMessage="1" showErrorMessage="1" sqref="E16">
      <formula1>0</formula1>
      <formula2>1000000000</formula2>
    </dataValidation>
    <dataValidation type="whole" allowBlank="1" showInputMessage="1" showErrorMessage="1" sqref="F16">
      <formula1>0</formula1>
      <formula2>1000000000</formula2>
    </dataValidation>
    <dataValidation type="whole" allowBlank="1" showInputMessage="1" showErrorMessage="1" sqref="B17">
      <formula1>0</formula1>
      <formula2>1000000000</formula2>
    </dataValidation>
    <dataValidation type="whole" allowBlank="1" showInputMessage="1" showErrorMessage="1" sqref="C17">
      <formula1>0</formula1>
      <formula2>1000000000</formula2>
    </dataValidation>
    <dataValidation type="whole" allowBlank="1" showInputMessage="1" showErrorMessage="1" sqref="D17">
      <formula1>0</formula1>
      <formula2>1000000000</formula2>
    </dataValidation>
    <dataValidation type="whole" allowBlank="1" showInputMessage="1" showErrorMessage="1" sqref="E17">
      <formula1>0</formula1>
      <formula2>1000000000</formula2>
    </dataValidation>
    <dataValidation type="whole" allowBlank="1" showInputMessage="1" showErrorMessage="1" sqref="F17">
      <formula1>0</formula1>
      <formula2>1000000000</formula2>
    </dataValidation>
    <dataValidation type="whole" allowBlank="1" showInputMessage="1" showErrorMessage="1" sqref="B18">
      <formula1>0</formula1>
      <formula2>1000000000</formula2>
    </dataValidation>
    <dataValidation type="whole" allowBlank="1" showInputMessage="1" showErrorMessage="1" sqref="C18">
      <formula1>0</formula1>
      <formula2>1000000000</formula2>
    </dataValidation>
    <dataValidation type="whole" allowBlank="1" showInputMessage="1" showErrorMessage="1" sqref="D18">
      <formula1>0</formula1>
      <formula2>1000000000</formula2>
    </dataValidation>
    <dataValidation type="whole" allowBlank="1" showInputMessage="1" showErrorMessage="1" sqref="E18">
      <formula1>0</formula1>
      <formula2>1000000000</formula2>
    </dataValidation>
    <dataValidation type="whole" allowBlank="1" showInputMessage="1" showErrorMessage="1" sqref="F18">
      <formula1>0</formula1>
      <formula2>1000000000</formula2>
    </dataValidation>
    <dataValidation type="whole" allowBlank="1" showInputMessage="1" showErrorMessage="1" sqref="B19">
      <formula1>0</formula1>
      <formula2>1000000000</formula2>
    </dataValidation>
    <dataValidation type="whole" allowBlank="1" showInputMessage="1" showErrorMessage="1" sqref="C19">
      <formula1>0</formula1>
      <formula2>1000000000</formula2>
    </dataValidation>
    <dataValidation type="whole" allowBlank="1" showInputMessage="1" showErrorMessage="1" sqref="D19">
      <formula1>0</formula1>
      <formula2>1000000000</formula2>
    </dataValidation>
    <dataValidation type="whole" allowBlank="1" showInputMessage="1" showErrorMessage="1" sqref="E19">
      <formula1>0</formula1>
      <formula2>1000000000</formula2>
    </dataValidation>
    <dataValidation type="whole" allowBlank="1" showInputMessage="1" showErrorMessage="1" sqref="F19">
      <formula1>0</formula1>
      <formula2>1000000000</formula2>
    </dataValidation>
    <dataValidation type="whole" allowBlank="1" showInputMessage="1" showErrorMessage="1" sqref="B20">
      <formula1>0</formula1>
      <formula2>1000000000</formula2>
    </dataValidation>
    <dataValidation type="whole" allowBlank="1" showInputMessage="1" showErrorMessage="1" sqref="C20">
      <formula1>0</formula1>
      <formula2>1000000000</formula2>
    </dataValidation>
    <dataValidation type="whole" allowBlank="1" showInputMessage="1" showErrorMessage="1" sqref="D20">
      <formula1>0</formula1>
      <formula2>1000000000</formula2>
    </dataValidation>
    <dataValidation type="whole" allowBlank="1" showInputMessage="1" showErrorMessage="1" sqref="E20">
      <formula1>0</formula1>
      <formula2>1000000000</formula2>
    </dataValidation>
    <dataValidation type="whole" allowBlank="1" showInputMessage="1" showErrorMessage="1" sqref="F20">
      <formula1>0</formula1>
      <formula2>1000000000</formula2>
    </dataValidation>
    <dataValidation type="whole" allowBlank="1" showInputMessage="1" showErrorMessage="1" sqref="B21">
      <formula1>0</formula1>
      <formula2>1000000000</formula2>
    </dataValidation>
    <dataValidation type="whole" allowBlank="1" showInputMessage="1" showErrorMessage="1" sqref="C21">
      <formula1>0</formula1>
      <formula2>1000000000</formula2>
    </dataValidation>
    <dataValidation type="whole" allowBlank="1" showInputMessage="1" showErrorMessage="1" sqref="D21">
      <formula1>0</formula1>
      <formula2>1000000000</formula2>
    </dataValidation>
    <dataValidation type="whole" allowBlank="1" showInputMessage="1" showErrorMessage="1" sqref="E21">
      <formula1>0</formula1>
      <formula2>1000000000</formula2>
    </dataValidation>
    <dataValidation type="whole" allowBlank="1" showInputMessage="1" showErrorMessage="1" sqref="F21">
      <formula1>0</formula1>
      <formula2>1000000000</formula2>
    </dataValidation>
    <dataValidation type="whole" allowBlank="1" showInputMessage="1" showErrorMessage="1" sqref="B22">
      <formula1>0</formula1>
      <formula2>1000000000</formula2>
    </dataValidation>
    <dataValidation type="whole" allowBlank="1" showInputMessage="1" showErrorMessage="1" sqref="C22">
      <formula1>0</formula1>
      <formula2>1000000000</formula2>
    </dataValidation>
    <dataValidation type="whole" allowBlank="1" showInputMessage="1" showErrorMessage="1" sqref="D22">
      <formula1>0</formula1>
      <formula2>1000000000</formula2>
    </dataValidation>
    <dataValidation type="whole" allowBlank="1" showInputMessage="1" showErrorMessage="1" sqref="E22">
      <formula1>0</formula1>
      <formula2>1000000000</formula2>
    </dataValidation>
    <dataValidation type="whole" allowBlank="1" showInputMessage="1" showErrorMessage="1" sqref="F22">
      <formula1>0</formula1>
      <formula2>1000000000</formula2>
    </dataValidation>
    <dataValidation type="whole" allowBlank="1" showInputMessage="1" showErrorMessage="1" sqref="B23">
      <formula1>0</formula1>
      <formula2>1000000000</formula2>
    </dataValidation>
    <dataValidation type="whole" allowBlank="1" showInputMessage="1" showErrorMessage="1" sqref="C23">
      <formula1>0</formula1>
      <formula2>1000000000</formula2>
    </dataValidation>
    <dataValidation type="whole" allowBlank="1" showInputMessage="1" showErrorMessage="1" sqref="D23">
      <formula1>0</formula1>
      <formula2>1000000000</formula2>
    </dataValidation>
    <dataValidation type="whole" allowBlank="1" showInputMessage="1" showErrorMessage="1" sqref="E23">
      <formula1>0</formula1>
      <formula2>1000000000</formula2>
    </dataValidation>
    <dataValidation type="whole" allowBlank="1" showInputMessage="1" showErrorMessage="1" sqref="F23">
      <formula1>0</formula1>
      <formula2>1000000000</formula2>
    </dataValidation>
    <dataValidation type="whole" allowBlank="1" showInputMessage="1" showErrorMessage="1" sqref="B24">
      <formula1>0</formula1>
      <formula2>1000000000</formula2>
    </dataValidation>
    <dataValidation type="whole" allowBlank="1" showInputMessage="1" showErrorMessage="1" sqref="C24">
      <formula1>0</formula1>
      <formula2>1000000000</formula2>
    </dataValidation>
    <dataValidation type="whole" allowBlank="1" showInputMessage="1" showErrorMessage="1" sqref="D24">
      <formula1>0</formula1>
      <formula2>1000000000</formula2>
    </dataValidation>
    <dataValidation type="whole" allowBlank="1" showInputMessage="1" showErrorMessage="1" sqref="E24">
      <formula1>0</formula1>
      <formula2>1000000000</formula2>
    </dataValidation>
    <dataValidation type="whole" allowBlank="1" showInputMessage="1" showErrorMessage="1" sqref="F24">
      <formula1>0</formula1>
      <formula2>1000000000</formula2>
    </dataValidation>
    <dataValidation type="whole" allowBlank="1" showInputMessage="1" showErrorMessage="1" sqref="B25">
      <formula1>0</formula1>
      <formula2>1000000000</formula2>
    </dataValidation>
    <dataValidation type="whole" allowBlank="1" showInputMessage="1" showErrorMessage="1" sqref="C25">
      <formula1>0</formula1>
      <formula2>1000000000</formula2>
    </dataValidation>
    <dataValidation type="whole" allowBlank="1" showInputMessage="1" showErrorMessage="1" sqref="D25">
      <formula1>0</formula1>
      <formula2>1000000000</formula2>
    </dataValidation>
    <dataValidation type="whole" allowBlank="1" showInputMessage="1" showErrorMessage="1" sqref="E25">
      <formula1>0</formula1>
      <formula2>1000000000</formula2>
    </dataValidation>
    <dataValidation type="whole" allowBlank="1" showInputMessage="1" showErrorMessage="1" sqref="F25">
      <formula1>0</formula1>
      <formula2>1000000000</formula2>
    </dataValidation>
    <dataValidation type="whole" allowBlank="1" showInputMessage="1" showErrorMessage="1" sqref="B26">
      <formula1>0</formula1>
      <formula2>1000000000</formula2>
    </dataValidation>
    <dataValidation type="whole" allowBlank="1" showInputMessage="1" showErrorMessage="1" sqref="C26">
      <formula1>0</formula1>
      <formula2>1000000000</formula2>
    </dataValidation>
    <dataValidation type="whole" allowBlank="1" showInputMessage="1" showErrorMessage="1" sqref="D26">
      <formula1>0</formula1>
      <formula2>1000000000</formula2>
    </dataValidation>
    <dataValidation type="whole" allowBlank="1" showInputMessage="1" showErrorMessage="1" sqref="E26">
      <formula1>0</formula1>
      <formula2>1000000000</formula2>
    </dataValidation>
    <dataValidation type="whole" allowBlank="1" showInputMessage="1" showErrorMessage="1" sqref="F26">
      <formula1>0</formula1>
      <formula2>1000000000</formula2>
    </dataValidation>
    <dataValidation type="whole" allowBlank="1" showInputMessage="1" showErrorMessage="1" sqref="B27">
      <formula1>0</formula1>
      <formula2>1000000000</formula2>
    </dataValidation>
    <dataValidation type="whole" allowBlank="1" showInputMessage="1" showErrorMessage="1" sqref="C27">
      <formula1>0</formula1>
      <formula2>1000000000</formula2>
    </dataValidation>
    <dataValidation type="whole" allowBlank="1" showInputMessage="1" showErrorMessage="1" sqref="D27">
      <formula1>0</formula1>
      <formula2>1000000000</formula2>
    </dataValidation>
    <dataValidation type="whole" allowBlank="1" showInputMessage="1" showErrorMessage="1" sqref="E27">
      <formula1>0</formula1>
      <formula2>1000000000</formula2>
    </dataValidation>
    <dataValidation type="whole" allowBlank="1" showInputMessage="1" showErrorMessage="1" sqref="F27">
      <formula1>0</formula1>
      <formula2>1000000000</formula2>
    </dataValidation>
    <dataValidation type="whole" allowBlank="1" showInputMessage="1" showErrorMessage="1" sqref="B28">
      <formula1>0</formula1>
      <formula2>1000000000</formula2>
    </dataValidation>
    <dataValidation type="whole" allowBlank="1" showInputMessage="1" showErrorMessage="1" sqref="C28">
      <formula1>0</formula1>
      <formula2>1000000000</formula2>
    </dataValidation>
    <dataValidation type="whole" allowBlank="1" showInputMessage="1" showErrorMessage="1" sqref="D28">
      <formula1>0</formula1>
      <formula2>1000000000</formula2>
    </dataValidation>
    <dataValidation type="whole" allowBlank="1" showInputMessage="1" showErrorMessage="1" sqref="E28">
      <formula1>0</formula1>
      <formula2>1000000000</formula2>
    </dataValidation>
    <dataValidation type="whole" allowBlank="1" showInputMessage="1" showErrorMessage="1" sqref="F28">
      <formula1>0</formula1>
      <formula2>1000000000</formula2>
    </dataValidation>
  </dataValidations>
  <pageMargins left="0.7" right="0.7" top="0.75" bottom="0.75" header="0.3" footer="0.3"/>
  <pageSetup scale="75" orientation="landscape"/>
  <headerFooter>
    <oddFooter>&amp;LAUMI | Hipóteses, não promessa&amp;R&amp;P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dimension ref="A1:BV28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/>
    </sheetView>
  </sheetViews>
  <sheetFormatPr defaultRowHeight="15"/>
  <cols>
    <col min="1" max="1" width="7.7109375" customWidth="1"/>
    <col min="2" max="74" width="19.7109375" customWidth="1"/>
  </cols>
  <sheetData>
    <row r="1" spans="1:74" ht="36" customHeight="1">
      <c r="A1" s="1" t="s">
        <v>215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spans="1:74" ht="32" customHeight="1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</row>
    <row r="4" spans="1:74" ht="54" customHeight="1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148</v>
      </c>
      <c r="J4" s="3" t="s">
        <v>149</v>
      </c>
      <c r="K4" s="3" t="s">
        <v>150</v>
      </c>
      <c r="L4" s="3" t="s">
        <v>151</v>
      </c>
      <c r="M4" s="3" t="s">
        <v>152</v>
      </c>
      <c r="N4" s="3" t="s">
        <v>153</v>
      </c>
      <c r="O4" s="3" t="s">
        <v>154</v>
      </c>
      <c r="P4" s="3" t="s">
        <v>155</v>
      </c>
      <c r="Q4" s="3" t="s">
        <v>156</v>
      </c>
      <c r="R4" s="3" t="s">
        <v>157</v>
      </c>
      <c r="S4" s="3" t="s">
        <v>158</v>
      </c>
      <c r="T4" s="3" t="s">
        <v>159</v>
      </c>
      <c r="U4" s="3" t="s">
        <v>160</v>
      </c>
      <c r="V4" s="3" t="s">
        <v>161</v>
      </c>
      <c r="W4" s="3" t="s">
        <v>162</v>
      </c>
      <c r="X4" s="3" t="s">
        <v>163</v>
      </c>
      <c r="Y4" s="3" t="s">
        <v>164</v>
      </c>
      <c r="Z4" s="3" t="s">
        <v>165</v>
      </c>
      <c r="AA4" s="3" t="s">
        <v>166</v>
      </c>
      <c r="AB4" s="3" t="s">
        <v>167</v>
      </c>
      <c r="AC4" s="3" t="s">
        <v>168</v>
      </c>
      <c r="AD4" s="3" t="s">
        <v>169</v>
      </c>
      <c r="AE4" s="3" t="s">
        <v>170</v>
      </c>
      <c r="AF4" s="3" t="s">
        <v>171</v>
      </c>
      <c r="AG4" s="3" t="s">
        <v>172</v>
      </c>
      <c r="AH4" s="3" t="s">
        <v>173</v>
      </c>
      <c r="AI4" s="3" t="s">
        <v>174</v>
      </c>
      <c r="AJ4" s="3" t="s">
        <v>175</v>
      </c>
      <c r="AK4" s="3" t="s">
        <v>176</v>
      </c>
      <c r="AL4" s="3" t="s">
        <v>177</v>
      </c>
      <c r="AM4" s="3" t="s">
        <v>178</v>
      </c>
      <c r="AN4" s="3" t="s">
        <v>179</v>
      </c>
      <c r="AO4" s="3" t="s">
        <v>180</v>
      </c>
      <c r="AP4" s="3" t="s">
        <v>181</v>
      </c>
      <c r="AQ4" s="3" t="s">
        <v>182</v>
      </c>
      <c r="AR4" s="3" t="s">
        <v>183</v>
      </c>
      <c r="AS4" s="3" t="s">
        <v>184</v>
      </c>
      <c r="AT4" s="3" t="s">
        <v>185</v>
      </c>
      <c r="AU4" s="3" t="s">
        <v>186</v>
      </c>
      <c r="AV4" s="3" t="s">
        <v>187</v>
      </c>
      <c r="AW4" s="3" t="s">
        <v>188</v>
      </c>
      <c r="AX4" s="3" t="s">
        <v>189</v>
      </c>
      <c r="AY4" s="3" t="s">
        <v>190</v>
      </c>
      <c r="AZ4" s="3" t="s">
        <v>191</v>
      </c>
      <c r="BA4" s="3" t="s">
        <v>192</v>
      </c>
      <c r="BB4" s="3" t="s">
        <v>193</v>
      </c>
      <c r="BC4" s="3" t="s">
        <v>194</v>
      </c>
      <c r="BD4" s="3" t="s">
        <v>195</v>
      </c>
      <c r="BE4" s="3" t="s">
        <v>196</v>
      </c>
      <c r="BF4" s="3" t="s">
        <v>197</v>
      </c>
      <c r="BG4" s="3" t="s">
        <v>198</v>
      </c>
      <c r="BH4" s="3" t="s">
        <v>199</v>
      </c>
      <c r="BI4" s="3" t="s">
        <v>200</v>
      </c>
      <c r="BJ4" s="3" t="s">
        <v>201</v>
      </c>
      <c r="BK4" s="3" t="s">
        <v>202</v>
      </c>
      <c r="BL4" s="3" t="s">
        <v>203</v>
      </c>
      <c r="BM4" s="3" t="s">
        <v>204</v>
      </c>
      <c r="BN4" s="3" t="s">
        <v>205</v>
      </c>
      <c r="BO4" s="3" t="s">
        <v>206</v>
      </c>
      <c r="BP4" s="3" t="s">
        <v>207</v>
      </c>
      <c r="BQ4" s="3" t="s">
        <v>208</v>
      </c>
      <c r="BR4" s="3" t="s">
        <v>209</v>
      </c>
      <c r="BS4" s="3" t="s">
        <v>210</v>
      </c>
      <c r="BT4" s="3" t="s">
        <v>211</v>
      </c>
      <c r="BU4" s="3" t="s">
        <v>212</v>
      </c>
      <c r="BV4" s="3" t="s">
        <v>213</v>
      </c>
    </row>
    <row r="5" spans="1:74">
      <c r="A5" s="10">
        <v>1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10">
        <f>MAX(0,F5-0)</f>
        <v>0</v>
      </c>
      <c r="H5" s="10">
        <f>ROUNDUP(B5/'Premissas'!$B$14,0)</f>
        <v>0</v>
      </c>
      <c r="I5" s="8">
        <f>ROUND(B5*'Premissas'!$B$5,2)</f>
        <v>0.0</v>
      </c>
      <c r="J5" s="8">
        <f>ROUND(I5*'Premissas'!$B$6,2)</f>
        <v>0.0</v>
      </c>
      <c r="K5" s="8">
        <f>ROUND(J5*'Premissas'!$B$7,2)</f>
        <v>0.0</v>
      </c>
      <c r="L5" s="8">
        <f>ROUND(J5-K5,2)</f>
        <v>0.0</v>
      </c>
      <c r="M5" s="8">
        <f>ROUND(L5*'Premissas'!$B$8+B5*(1-'Premissas'!$B$7)*'Premissas'!$B$9*'Premissas'!$B$6,2)</f>
        <v>0.0</v>
      </c>
      <c r="N5" s="8">
        <f>ROUND(L5-M5,2)</f>
        <v>0.0</v>
      </c>
      <c r="O5" s="8">
        <f>IF(A5&gt;'Premissas'!$B$20,INDEX($N$5:$N$28,MAX(1,A5-'Premissas'!$B$20)),0)</f>
        <v>0</v>
      </c>
      <c r="P5" s="8">
        <f>ROUND(L5*'Premissas'!$B$10,2)</f>
        <v>0.0</v>
      </c>
      <c r="Q5" s="8">
        <f>ROUND(L5*'Premissas'!$B$11,2)</f>
        <v>0.0</v>
      </c>
      <c r="R5" s="8">
        <f>ROUND(B5*'Premissas'!$B$12*'Premissas'!$B$6,2)</f>
        <v>0.0</v>
      </c>
      <c r="S5" s="8">
        <f>ROUND(B5*'Premissas'!$B$13*'Premissas'!$B$6,2)</f>
        <v>0.0</v>
      </c>
      <c r="T5" s="8">
        <f>ROUND(L5-M5-P5-Q5-R5-S5,2)</f>
        <v>0.0</v>
      </c>
      <c r="U5" s="10">
        <f>C5*'Premissas'!$B$16</f>
        <v>0</v>
      </c>
      <c r="V5" s="8">
        <f>ROUND(C5*'Premissas'!$B$15,2)</f>
        <v>0.0</v>
      </c>
      <c r="W5" s="8">
        <f>ROUND(V5*'Premissas'!$B$19+0*(1-'Premissas'!$B$19),2)</f>
        <v>0.0</v>
      </c>
      <c r="X5" s="8">
        <f>ROUND(U5*'Premissas'!$B$17,2)</f>
        <v>0.0</v>
      </c>
      <c r="Y5" s="8">
        <f>ROUND(V5*'Premissas'!$B$10,2)</f>
        <v>0.0</v>
      </c>
      <c r="Z5" s="8">
        <f>ROUND(W5*'Premissas'!$B$18,2)</f>
        <v>0.0</v>
      </c>
      <c r="AA5" s="8">
        <f>ROUND(V5*'Premissas'!$B$18,2)</f>
        <v>0.0</v>
      </c>
      <c r="AB5" s="8">
        <f>ROUND(V5-X5-Y5-AA5,2)</f>
        <v>0.0</v>
      </c>
      <c r="AC5" s="10">
        <f>D5*'Ofertas'!$C$5</f>
        <v>0.0</v>
      </c>
      <c r="AD5" s="8">
        <f>ROUND(D5*'Ofertas'!$B$5,2)</f>
        <v>0.0</v>
      </c>
      <c r="AE5" s="8">
        <f>AD5</f>
        <v>0.0</v>
      </c>
      <c r="AF5" s="8">
        <f>ROUND(AC5*'Ofertas'!$D$5,2)</f>
        <v>0.0</v>
      </c>
      <c r="AG5" s="8">
        <f>ROUND(AD5*'Premissas'!$B$10,2)</f>
        <v>0.0</v>
      </c>
      <c r="AH5" s="8">
        <f>ROUND(AD5*'Premissas'!$B$31,2)</f>
        <v>0.0</v>
      </c>
      <c r="AI5" s="8">
        <f>ROUND(D5*'Ofertas'!$H$5,2)</f>
        <v>0.0</v>
      </c>
      <c r="AJ5" s="8">
        <f>ROUND(AD5-AF5-AG5-AH5-AI5,2)</f>
        <v>0.0</v>
      </c>
      <c r="AK5" s="10">
        <f>E5*'Ofertas'!$C$6</f>
        <v>0.0</v>
      </c>
      <c r="AL5" s="8">
        <f>ROUND(E5*'Ofertas'!$B$6,2)</f>
        <v>0.0</v>
      </c>
      <c r="AM5" s="8">
        <f>ROUND(AL5*'Premissas'!$B$32+0*(1-'Premissas'!$B$32),2)</f>
        <v>0.0</v>
      </c>
      <c r="AN5" s="8">
        <f>ROUND(AK5*'Ofertas'!$D$6,2)</f>
        <v>0.0</v>
      </c>
      <c r="AO5" s="8">
        <f>ROUND(AL5*'Premissas'!$B$10,2)</f>
        <v>0.0</v>
      </c>
      <c r="AP5" s="8">
        <f>ROUND(AL5*'Premissas'!$B$31,2)</f>
        <v>0.0</v>
      </c>
      <c r="AQ5" s="8">
        <f>ROUND(E5*'Ofertas'!$H$6,2)</f>
        <v>0.0</v>
      </c>
      <c r="AR5" s="8">
        <f>ROUND(AL5-AN5-AO5-AP5-AQ5,2)</f>
        <v>0.0</v>
      </c>
      <c r="AS5" s="10">
        <f>F5*'Ofertas'!$C$7</f>
        <v>0.0</v>
      </c>
      <c r="AT5" s="8">
        <f>ROUND(F5*'Ofertas'!$B$7,2)</f>
        <v>0.0</v>
      </c>
      <c r="AU5" s="8">
        <f>AT5</f>
        <v>0.0</v>
      </c>
      <c r="AV5" s="8">
        <f>ROUND(AS5*'Ofertas'!$D$7,2)</f>
        <v>0.0</v>
      </c>
      <c r="AW5" s="8">
        <f>ROUND(AT5*'Premissas'!$B$10,2)</f>
        <v>0.0</v>
      </c>
      <c r="AX5" s="8">
        <f>ROUND(AT5*'Premissas'!$B$31,2)</f>
        <v>0.0</v>
      </c>
      <c r="AY5" s="8">
        <f>ROUND(F5*'Ofertas'!$H$7,2)</f>
        <v>0.0</v>
      </c>
      <c r="AZ5" s="8">
        <f>ROUND(AT5-AV5-AW5-AX5-AY5,2)</f>
        <v>0.0</v>
      </c>
      <c r="BA5" s="10">
        <f>G5*'Ofertas'!$C$8</f>
        <v>0.0</v>
      </c>
      <c r="BB5" s="8">
        <f>ROUND(G5*'Ofertas'!$B$8,2)</f>
        <v>0.0</v>
      </c>
      <c r="BC5" s="8">
        <f>BB5</f>
        <v>0.0</v>
      </c>
      <c r="BD5" s="8">
        <f>ROUND(BA5*'Ofertas'!$D$8,2)</f>
        <v>0.0</v>
      </c>
      <c r="BE5" s="8">
        <f>ROUND(BB5*'Premissas'!$B$10,2)</f>
        <v>0.0</v>
      </c>
      <c r="BF5" s="8">
        <f>ROUND(BB5*'Premissas'!$B$31,2)</f>
        <v>0.0</v>
      </c>
      <c r="BG5" s="8">
        <f>ROUND(G5*'Ofertas'!$H$8,2)</f>
        <v>0.0</v>
      </c>
      <c r="BH5" s="8">
        <f>ROUND(BB5-BD5-BE5-BF5-BG5,2)</f>
        <v>0.0</v>
      </c>
      <c r="BI5" s="10">
        <f>U5+AC5+AK5+AS5+BA5</f>
        <v>0.0</v>
      </c>
      <c r="BJ5" s="11">
        <f>BI5/'Premissas'!$B$30</f>
        <v>0.0</v>
      </c>
      <c r="BK5" s="8">
        <f>IF(A5&lt;=12,'Premissas'!$B$24,'Premissas'!$B$25)</f>
        <v>37000</v>
      </c>
      <c r="BL5" s="8">
        <f>ROUND(J5+V5+AD5+AL5+AT5+BB5,2)</f>
        <v>0.0</v>
      </c>
      <c r="BM5" s="8">
        <f>ROUND(L5+V5+AD5+AL5+AT5+BB5,2)</f>
        <v>0.0</v>
      </c>
      <c r="BN5" s="8">
        <f>ROUND(T5+AB5+AJ5+AR5+AZ5+BH5,2)</f>
        <v>0.0</v>
      </c>
      <c r="BO5" s="8">
        <f>ROUND(O5+W5+AE5+AM5+AU5+BC5,2)</f>
        <v>0.0</v>
      </c>
      <c r="BP5" s="8">
        <f>ROUND(P5+Q5+R5+S5+X5+Y5+Z5+BK5+AF5+AG5+AH5+AI5+AN5+AO5+AP5+AQ5+AV5+AW5+AX5+AY5+BD5+BE5+BF5+BG5,2)</f>
        <v>37000.0</v>
      </c>
      <c r="BQ5" s="8">
        <f>ROUND(BO5-BP5,2)</f>
        <v>-37000.0</v>
      </c>
      <c r="BR5" s="8">
        <f>ROUND(-'Premissas'!$B$23+BQ5,2)</f>
        <v>-137000.0</v>
      </c>
      <c r="BS5" s="8">
        <f>ROUND(BN5-BK5,2)</f>
        <v>-37000.0</v>
      </c>
      <c r="BT5" s="8">
        <f>ROUND(0+N5-O5+V5-W5+AL5-AM5,2)</f>
        <v>0.0</v>
      </c>
      <c r="BU5" s="10">
        <f>IF(BR5&gt;=0,A5,999)</f>
        <v>999</v>
      </c>
      <c r="BV5" s="8">
        <f>ROUND(BR5+200000,2)</f>
        <v>63000.0</v>
      </c>
    </row>
    <row r="6" spans="1:74">
      <c r="A6" s="10">
        <v>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10">
        <f>MAX(0,F6-F5)</f>
        <v>0</v>
      </c>
      <c r="H6" s="10">
        <f>ROUNDUP(B6/'Premissas'!$B$14,0)</f>
        <v>0</v>
      </c>
      <c r="I6" s="8">
        <f>ROUND(B6*'Premissas'!$B$5,2)</f>
        <v>0.0</v>
      </c>
      <c r="J6" s="8">
        <f>ROUND(I6*'Premissas'!$B$6,2)</f>
        <v>0.0</v>
      </c>
      <c r="K6" s="8">
        <f>ROUND(J6*'Premissas'!$B$7,2)</f>
        <v>0.0</v>
      </c>
      <c r="L6" s="8">
        <f>ROUND(J6-K6,2)</f>
        <v>0.0</v>
      </c>
      <c r="M6" s="8">
        <f>ROUND(L6*'Premissas'!$B$8+B6*(1-'Premissas'!$B$7)*'Premissas'!$B$9*'Premissas'!$B$6,2)</f>
        <v>0.0</v>
      </c>
      <c r="N6" s="8">
        <f>ROUND(L6-M6,2)</f>
        <v>0.0</v>
      </c>
      <c r="O6" s="8">
        <f>IF(A6&gt;'Premissas'!$B$20,INDEX($N$5:$N$28,MAX(1,A6-'Premissas'!$B$20)),0)</f>
        <v>0.0</v>
      </c>
      <c r="P6" s="8">
        <f>ROUND(L6*'Premissas'!$B$10,2)</f>
        <v>0.0</v>
      </c>
      <c r="Q6" s="8">
        <f>ROUND(L6*'Premissas'!$B$11,2)</f>
        <v>0.0</v>
      </c>
      <c r="R6" s="8">
        <f>ROUND(B6*'Premissas'!$B$12*'Premissas'!$B$6,2)</f>
        <v>0.0</v>
      </c>
      <c r="S6" s="8">
        <f>ROUND(B6*'Premissas'!$B$13*'Premissas'!$B$6,2)</f>
        <v>0.0</v>
      </c>
      <c r="T6" s="8">
        <f>ROUND(L6-M6-P6-Q6-R6-S6,2)</f>
        <v>0.0</v>
      </c>
      <c r="U6" s="10">
        <f>C6*'Premissas'!$B$16</f>
        <v>0</v>
      </c>
      <c r="V6" s="8">
        <f>ROUND(C6*'Premissas'!$B$15,2)</f>
        <v>0.0</v>
      </c>
      <c r="W6" s="8">
        <f>ROUND(V6*'Premissas'!$B$19+V5*(1-'Premissas'!$B$19),2)</f>
        <v>0.0</v>
      </c>
      <c r="X6" s="8">
        <f>ROUND(U6*'Premissas'!$B$17,2)</f>
        <v>0.0</v>
      </c>
      <c r="Y6" s="8">
        <f>ROUND(V6*'Premissas'!$B$10,2)</f>
        <v>0.0</v>
      </c>
      <c r="Z6" s="8">
        <f>ROUND(W6*'Premissas'!$B$18,2)</f>
        <v>0.0</v>
      </c>
      <c r="AA6" s="8">
        <f>ROUND(V6*'Premissas'!$B$18,2)</f>
        <v>0.0</v>
      </c>
      <c r="AB6" s="8">
        <f>ROUND(V6-X6-Y6-AA6,2)</f>
        <v>0.0</v>
      </c>
      <c r="AC6" s="10">
        <f>D6*'Ofertas'!$C$5</f>
        <v>0.0</v>
      </c>
      <c r="AD6" s="8">
        <f>ROUND(D6*'Ofertas'!$B$5,2)</f>
        <v>0.0</v>
      </c>
      <c r="AE6" s="8">
        <f>AD6</f>
        <v>0.0</v>
      </c>
      <c r="AF6" s="8">
        <f>ROUND(AC6*'Ofertas'!$D$5,2)</f>
        <v>0.0</v>
      </c>
      <c r="AG6" s="8">
        <f>ROUND(AD6*'Premissas'!$B$10,2)</f>
        <v>0.0</v>
      </c>
      <c r="AH6" s="8">
        <f>ROUND(AD6*'Premissas'!$B$31,2)</f>
        <v>0.0</v>
      </c>
      <c r="AI6" s="8">
        <f>ROUND(D6*'Ofertas'!$H$5,2)</f>
        <v>0.0</v>
      </c>
      <c r="AJ6" s="8">
        <f>ROUND(AD6-AF6-AG6-AH6-AI6,2)</f>
        <v>0.0</v>
      </c>
      <c r="AK6" s="10">
        <f>E6*'Ofertas'!$C$6</f>
        <v>0.0</v>
      </c>
      <c r="AL6" s="8">
        <f>ROUND(E6*'Ofertas'!$B$6,2)</f>
        <v>0.0</v>
      </c>
      <c r="AM6" s="8">
        <f>ROUND(AL6*'Premissas'!$B$32+AL5*(1-'Premissas'!$B$32),2)</f>
        <v>0.0</v>
      </c>
      <c r="AN6" s="8">
        <f>ROUND(AK6*'Ofertas'!$D$6,2)</f>
        <v>0.0</v>
      </c>
      <c r="AO6" s="8">
        <f>ROUND(AL6*'Premissas'!$B$10,2)</f>
        <v>0.0</v>
      </c>
      <c r="AP6" s="8">
        <f>ROUND(AL6*'Premissas'!$B$31,2)</f>
        <v>0.0</v>
      </c>
      <c r="AQ6" s="8">
        <f>ROUND(E6*'Ofertas'!$H$6,2)</f>
        <v>0.0</v>
      </c>
      <c r="AR6" s="8">
        <f>ROUND(AL6-AN6-AO6-AP6-AQ6,2)</f>
        <v>0.0</v>
      </c>
      <c r="AS6" s="10">
        <f>F6*'Ofertas'!$C$7</f>
        <v>0.0</v>
      </c>
      <c r="AT6" s="8">
        <f>ROUND(F6*'Ofertas'!$B$7,2)</f>
        <v>0.0</v>
      </c>
      <c r="AU6" s="8">
        <f>AT6</f>
        <v>0.0</v>
      </c>
      <c r="AV6" s="8">
        <f>ROUND(AS6*'Ofertas'!$D$7,2)</f>
        <v>0.0</v>
      </c>
      <c r="AW6" s="8">
        <f>ROUND(AT6*'Premissas'!$B$10,2)</f>
        <v>0.0</v>
      </c>
      <c r="AX6" s="8">
        <f>ROUND(AT6*'Premissas'!$B$31,2)</f>
        <v>0.0</v>
      </c>
      <c r="AY6" s="8">
        <f>ROUND(F6*'Ofertas'!$H$7,2)</f>
        <v>0.0</v>
      </c>
      <c r="AZ6" s="8">
        <f>ROUND(AT6-AV6-AW6-AX6-AY6,2)</f>
        <v>0.0</v>
      </c>
      <c r="BA6" s="10">
        <f>G6*'Ofertas'!$C$8</f>
        <v>0.0</v>
      </c>
      <c r="BB6" s="8">
        <f>ROUND(G6*'Ofertas'!$B$8,2)</f>
        <v>0.0</v>
      </c>
      <c r="BC6" s="8">
        <f>BB6</f>
        <v>0.0</v>
      </c>
      <c r="BD6" s="8">
        <f>ROUND(BA6*'Ofertas'!$D$8,2)</f>
        <v>0.0</v>
      </c>
      <c r="BE6" s="8">
        <f>ROUND(BB6*'Premissas'!$B$10,2)</f>
        <v>0.0</v>
      </c>
      <c r="BF6" s="8">
        <f>ROUND(BB6*'Premissas'!$B$31,2)</f>
        <v>0.0</v>
      </c>
      <c r="BG6" s="8">
        <f>ROUND(G6*'Ofertas'!$H$8,2)</f>
        <v>0.0</v>
      </c>
      <c r="BH6" s="8">
        <f>ROUND(BB6-BD6-BE6-BF6-BG6,2)</f>
        <v>0.0</v>
      </c>
      <c r="BI6" s="10">
        <f>U6+AC6+AK6+AS6+BA6</f>
        <v>0.0</v>
      </c>
      <c r="BJ6" s="11">
        <f>BI6/'Premissas'!$B$30</f>
        <v>0.0</v>
      </c>
      <c r="BK6" s="8">
        <f>IF(A6&lt;=12,'Premissas'!$B$24,'Premissas'!$B$25)</f>
        <v>37000</v>
      </c>
      <c r="BL6" s="8">
        <f>ROUND(J6+V6+AD6+AL6+AT6+BB6,2)</f>
        <v>0.0</v>
      </c>
      <c r="BM6" s="8">
        <f>ROUND(L6+V6+AD6+AL6+AT6+BB6,2)</f>
        <v>0.0</v>
      </c>
      <c r="BN6" s="8">
        <f>ROUND(T6+AB6+AJ6+AR6+AZ6+BH6,2)</f>
        <v>0.0</v>
      </c>
      <c r="BO6" s="8">
        <f>ROUND(O6+W6+AE6+AM6+AU6+BC6,2)</f>
        <v>0.0</v>
      </c>
      <c r="BP6" s="8">
        <f>ROUND(P6+Q6+R6+S6+X6+Y6+Z6+BK6+AF6+AG6+AH6+AI6+AN6+AO6+AP6+AQ6+AV6+AW6+AX6+AY6+BD6+BE6+BF6+BG6,2)</f>
        <v>37000.0</v>
      </c>
      <c r="BQ6" s="8">
        <f>ROUND(BO6-BP6,2)</f>
        <v>-37000.0</v>
      </c>
      <c r="BR6" s="8">
        <f>ROUND(BR5+BQ6,2)</f>
        <v>-174000.0</v>
      </c>
      <c r="BS6" s="8">
        <f>ROUND(BN6-BK6,2)</f>
        <v>-37000.0</v>
      </c>
      <c r="BT6" s="8">
        <f>ROUND(BT5+N6-O6+V6-W6+AL6-AM6,2)</f>
        <v>0.0</v>
      </c>
      <c r="BU6" s="10">
        <f>IF(BR6&gt;=0,A6,999)</f>
        <v>999</v>
      </c>
      <c r="BV6" s="8">
        <f>ROUND(BR6+200000,2)</f>
        <v>26000.0</v>
      </c>
    </row>
    <row r="7" spans="1:74">
      <c r="A7" s="10">
        <v>3</v>
      </c>
      <c r="B7" s="7">
        <v>100</v>
      </c>
      <c r="C7" s="7">
        <v>1</v>
      </c>
      <c r="D7" s="7">
        <v>2</v>
      </c>
      <c r="E7" s="7">
        <v>1</v>
      </c>
      <c r="F7" s="7">
        <v>0</v>
      </c>
      <c r="G7" s="10">
        <f>MAX(0,F7-F6)</f>
        <v>0</v>
      </c>
      <c r="H7" s="10">
        <f>ROUNDUP(B7/'Premissas'!$B$14,0)</f>
        <v>5000</v>
      </c>
      <c r="I7" s="8">
        <f>ROUND(B7*'Premissas'!$B$5,2)</f>
        <v>2900.0</v>
      </c>
      <c r="J7" s="8">
        <f>ROUND(I7*'Premissas'!$B$6,2)</f>
        <v>14500.0</v>
      </c>
      <c r="K7" s="8">
        <f>ROUND(J7*'Premissas'!$B$7,2)</f>
        <v>1160.0</v>
      </c>
      <c r="L7" s="8">
        <f>ROUND(J7-K7,2)</f>
        <v>13340.0</v>
      </c>
      <c r="M7" s="8">
        <f>ROUND(L7*'Premissas'!$B$8+B7*(1-'Premissas'!$B$7)*'Premissas'!$B$9*'Premissas'!$B$6,2)</f>
        <v>1780.66</v>
      </c>
      <c r="N7" s="8">
        <f>ROUND(L7-M7,2)</f>
        <v>11559.34</v>
      </c>
      <c r="O7" s="8">
        <f>IF(A7&gt;'Premissas'!$B$20,INDEX($N$5:$N$28,MAX(1,A7-'Premissas'!$B$20)),0)</f>
        <v>0.0</v>
      </c>
      <c r="P7" s="8">
        <f>ROUND(L7*'Premissas'!$B$10,2)</f>
        <v>2001.0</v>
      </c>
      <c r="Q7" s="8">
        <f>ROUND(L7*'Premissas'!$B$11,2)</f>
        <v>400.2</v>
      </c>
      <c r="R7" s="8">
        <f>ROUND(B7*'Premissas'!$B$12*'Premissas'!$B$6,2)</f>
        <v>5000.0</v>
      </c>
      <c r="S7" s="8">
        <f>ROUND(B7*'Premissas'!$B$13*'Premissas'!$B$6,2)</f>
        <v>500.0</v>
      </c>
      <c r="T7" s="8">
        <f>ROUND(L7-M7-P7-Q7-R7-S7,2)</f>
        <v>3658.14</v>
      </c>
      <c r="U7" s="10">
        <f>C7*'Premissas'!$B$16</f>
        <v>80</v>
      </c>
      <c r="V7" s="8">
        <f>ROUND(C7*'Premissas'!$B$15,2)</f>
        <v>30000.0</v>
      </c>
      <c r="W7" s="8">
        <f>ROUND(V7*'Premissas'!$B$19+V6*(1-'Premissas'!$B$19),2)</f>
        <v>15000.0</v>
      </c>
      <c r="X7" s="8">
        <f>ROUND(U7*'Premissas'!$B$17,2)</f>
        <v>14400.0</v>
      </c>
      <c r="Y7" s="8">
        <f>ROUND(V7*'Premissas'!$B$10,2)</f>
        <v>4500.0</v>
      </c>
      <c r="Z7" s="8">
        <f>ROUND(W7*'Premissas'!$B$18,2)</f>
        <v>750.0</v>
      </c>
      <c r="AA7" s="8">
        <f>ROUND(V7*'Premissas'!$B$18,2)</f>
        <v>1500.0</v>
      </c>
      <c r="AB7" s="8">
        <f>ROUND(V7-X7-Y7-AA7,2)</f>
        <v>9600.0</v>
      </c>
      <c r="AC7" s="10">
        <f>D7*'Ofertas'!$C$5</f>
        <v>24.0</v>
      </c>
      <c r="AD7" s="8">
        <f>ROUND(D7*'Ofertas'!$B$5,2)</f>
        <v>9000.0</v>
      </c>
      <c r="AE7" s="8">
        <f>AD7</f>
        <v>9000.0</v>
      </c>
      <c r="AF7" s="8">
        <f>ROUND(AC7*'Ofertas'!$D$5,2)</f>
        <v>2880.0</v>
      </c>
      <c r="AG7" s="8">
        <f>ROUND(AD7*'Premissas'!$B$10,2)</f>
        <v>1350.0</v>
      </c>
      <c r="AH7" s="8">
        <f>ROUND(AD7*'Premissas'!$B$31,2)</f>
        <v>450.0</v>
      </c>
      <c r="AI7" s="8">
        <f>ROUND(D7*'Ofertas'!$H$5,2)</f>
        <v>320.0</v>
      </c>
      <c r="AJ7" s="8">
        <f>ROUND(AD7-AF7-AG7-AH7-AI7,2)</f>
        <v>4000.0</v>
      </c>
      <c r="AK7" s="10">
        <f>E7*'Ofertas'!$C$6</f>
        <v>40.0</v>
      </c>
      <c r="AL7" s="8">
        <f>ROUND(E7*'Ofertas'!$B$6,2)</f>
        <v>18000.0</v>
      </c>
      <c r="AM7" s="8">
        <f>ROUND(AL7*'Premissas'!$B$32+AL6*(1-'Premissas'!$B$32),2)</f>
        <v>9000.0</v>
      </c>
      <c r="AN7" s="8">
        <f>ROUND(AK7*'Ofertas'!$D$6,2)</f>
        <v>7200.0</v>
      </c>
      <c r="AO7" s="8">
        <f>ROUND(AL7*'Premissas'!$B$10,2)</f>
        <v>2700.0</v>
      </c>
      <c r="AP7" s="8">
        <f>ROUND(AL7*'Premissas'!$B$31,2)</f>
        <v>900.0</v>
      </c>
      <c r="AQ7" s="8">
        <f>ROUND(E7*'Ofertas'!$H$6,2)</f>
        <v>600.0</v>
      </c>
      <c r="AR7" s="8">
        <f>ROUND(AL7-AN7-AO7-AP7-AQ7,2)</f>
        <v>6600.0</v>
      </c>
      <c r="AS7" s="10">
        <f>F7*'Ofertas'!$C$7</f>
        <v>0.0</v>
      </c>
      <c r="AT7" s="8">
        <f>ROUND(F7*'Ofertas'!$B$7,2)</f>
        <v>0.0</v>
      </c>
      <c r="AU7" s="8">
        <f>AT7</f>
        <v>0.0</v>
      </c>
      <c r="AV7" s="8">
        <f>ROUND(AS7*'Ofertas'!$D$7,2)</f>
        <v>0.0</v>
      </c>
      <c r="AW7" s="8">
        <f>ROUND(AT7*'Premissas'!$B$10,2)</f>
        <v>0.0</v>
      </c>
      <c r="AX7" s="8">
        <f>ROUND(AT7*'Premissas'!$B$31,2)</f>
        <v>0.0</v>
      </c>
      <c r="AY7" s="8">
        <f>ROUND(F7*'Ofertas'!$H$7,2)</f>
        <v>0.0</v>
      </c>
      <c r="AZ7" s="8">
        <f>ROUND(AT7-AV7-AW7-AX7-AY7,2)</f>
        <v>0.0</v>
      </c>
      <c r="BA7" s="10">
        <f>G7*'Ofertas'!$C$8</f>
        <v>0.0</v>
      </c>
      <c r="BB7" s="8">
        <f>ROUND(G7*'Ofertas'!$B$8,2)</f>
        <v>0.0</v>
      </c>
      <c r="BC7" s="8">
        <f>BB7</f>
        <v>0.0</v>
      </c>
      <c r="BD7" s="8">
        <f>ROUND(BA7*'Ofertas'!$D$8,2)</f>
        <v>0.0</v>
      </c>
      <c r="BE7" s="8">
        <f>ROUND(BB7*'Premissas'!$B$10,2)</f>
        <v>0.0</v>
      </c>
      <c r="BF7" s="8">
        <f>ROUND(BB7*'Premissas'!$B$31,2)</f>
        <v>0.0</v>
      </c>
      <c r="BG7" s="8">
        <f>ROUND(G7*'Ofertas'!$H$8,2)</f>
        <v>0.0</v>
      </c>
      <c r="BH7" s="8">
        <f>ROUND(BB7-BD7-BE7-BF7-BG7,2)</f>
        <v>0.0</v>
      </c>
      <c r="BI7" s="10">
        <f>U7+AC7+AK7+AS7+BA7</f>
        <v>144.0</v>
      </c>
      <c r="BJ7" s="11">
        <f>BI7/'Premissas'!$B$30</f>
        <v>0.9</v>
      </c>
      <c r="BK7" s="8">
        <f>IF(A7&lt;=12,'Premissas'!$B$24,'Premissas'!$B$25)</f>
        <v>37000</v>
      </c>
      <c r="BL7" s="8">
        <f>ROUND(J7+V7+AD7+AL7+AT7+BB7,2)</f>
        <v>71500.0</v>
      </c>
      <c r="BM7" s="8">
        <f>ROUND(L7+V7+AD7+AL7+AT7+BB7,2)</f>
        <v>70340.0</v>
      </c>
      <c r="BN7" s="8">
        <f>ROUND(T7+AB7+AJ7+AR7+AZ7+BH7,2)</f>
        <v>23858.14</v>
      </c>
      <c r="BO7" s="8">
        <f>ROUND(O7+W7+AE7+AM7+AU7+BC7,2)</f>
        <v>33000.0</v>
      </c>
      <c r="BP7" s="8">
        <f>ROUND(P7+Q7+R7+S7+X7+Y7+Z7+BK7+AF7+AG7+AH7+AI7+AN7+AO7+AP7+AQ7+AV7+AW7+AX7+AY7+BD7+BE7+BF7+BG7,2)</f>
        <v>80951.2</v>
      </c>
      <c r="BQ7" s="8">
        <f>ROUND(BO7-BP7,2)</f>
        <v>-47951.2</v>
      </c>
      <c r="BR7" s="8">
        <f>ROUND(BR6+BQ7,2)</f>
        <v>-221951.2</v>
      </c>
      <c r="BS7" s="8">
        <f>ROUND(BN7-BK7,2)</f>
        <v>-13141.86</v>
      </c>
      <c r="BT7" s="8">
        <f>ROUND(BT6+N7-O7+V7-W7+AL7-AM7,2)</f>
        <v>35559.34</v>
      </c>
      <c r="BU7" s="10">
        <f>IF(BR7&gt;=0,A7,999)</f>
        <v>999</v>
      </c>
      <c r="BV7" s="8">
        <f>ROUND(BR7+200000,2)</f>
        <v>-21951.2</v>
      </c>
    </row>
    <row r="8" spans="1:74">
      <c r="A8" s="10">
        <v>4</v>
      </c>
      <c r="B8" s="7">
        <v>300</v>
      </c>
      <c r="C8" s="7">
        <v>1</v>
      </c>
      <c r="D8" s="7">
        <v>3</v>
      </c>
      <c r="E8" s="7">
        <v>1</v>
      </c>
      <c r="F8" s="7">
        <v>1</v>
      </c>
      <c r="G8" s="10">
        <f>MAX(0,F8-F7)</f>
        <v>1</v>
      </c>
      <c r="H8" s="10">
        <f>ROUNDUP(B8/'Premissas'!$B$14,0)</f>
        <v>15000</v>
      </c>
      <c r="I8" s="8">
        <f>ROUND(B8*'Premissas'!$B$5,2)</f>
        <v>8700.0</v>
      </c>
      <c r="J8" s="8">
        <f>ROUND(I8*'Premissas'!$B$6,2)</f>
        <v>43500.0</v>
      </c>
      <c r="K8" s="8">
        <f>ROUND(J8*'Premissas'!$B$7,2)</f>
        <v>3480.0</v>
      </c>
      <c r="L8" s="8">
        <f>ROUND(J8-K8,2)</f>
        <v>40020.0</v>
      </c>
      <c r="M8" s="8">
        <f>ROUND(L8*'Premissas'!$B$8+B8*(1-'Premissas'!$B$7)*'Premissas'!$B$9*'Premissas'!$B$6,2)</f>
        <v>5341.98</v>
      </c>
      <c r="N8" s="8">
        <f>ROUND(L8-M8,2)</f>
        <v>34678.02</v>
      </c>
      <c r="O8" s="8">
        <f>IF(A8&gt;'Premissas'!$B$20,INDEX($N$5:$N$28,MAX(1,A8-'Premissas'!$B$20)),0)</f>
        <v>11559.34</v>
      </c>
      <c r="P8" s="8">
        <f>ROUND(L8*'Premissas'!$B$10,2)</f>
        <v>6003.0</v>
      </c>
      <c r="Q8" s="8">
        <f>ROUND(L8*'Premissas'!$B$11,2)</f>
        <v>1200.6</v>
      </c>
      <c r="R8" s="8">
        <f>ROUND(B8*'Premissas'!$B$12*'Premissas'!$B$6,2)</f>
        <v>15000.0</v>
      </c>
      <c r="S8" s="8">
        <f>ROUND(B8*'Premissas'!$B$13*'Premissas'!$B$6,2)</f>
        <v>1500.0</v>
      </c>
      <c r="T8" s="8">
        <f>ROUND(L8-M8-P8-Q8-R8-S8,2)</f>
        <v>10974.42</v>
      </c>
      <c r="U8" s="10">
        <f>C8*'Premissas'!$B$16</f>
        <v>80</v>
      </c>
      <c r="V8" s="8">
        <f>ROUND(C8*'Premissas'!$B$15,2)</f>
        <v>30000.0</v>
      </c>
      <c r="W8" s="8">
        <f>ROUND(V8*'Premissas'!$B$19+V7*(1-'Premissas'!$B$19),2)</f>
        <v>30000.0</v>
      </c>
      <c r="X8" s="8">
        <f>ROUND(U8*'Premissas'!$B$17,2)</f>
        <v>14400.0</v>
      </c>
      <c r="Y8" s="8">
        <f>ROUND(V8*'Premissas'!$B$10,2)</f>
        <v>4500.0</v>
      </c>
      <c r="Z8" s="8">
        <f>ROUND(W8*'Premissas'!$B$18,2)</f>
        <v>1500.0</v>
      </c>
      <c r="AA8" s="8">
        <f>ROUND(V8*'Premissas'!$B$18,2)</f>
        <v>1500.0</v>
      </c>
      <c r="AB8" s="8">
        <f>ROUND(V8-X8-Y8-AA8,2)</f>
        <v>9600.0</v>
      </c>
      <c r="AC8" s="10">
        <f>D8*'Ofertas'!$C$5</f>
        <v>36.0</v>
      </c>
      <c r="AD8" s="8">
        <f>ROUND(D8*'Ofertas'!$B$5,2)</f>
        <v>13500.0</v>
      </c>
      <c r="AE8" s="8">
        <f>AD8</f>
        <v>13500.0</v>
      </c>
      <c r="AF8" s="8">
        <f>ROUND(AC8*'Ofertas'!$D$5,2)</f>
        <v>4320.0</v>
      </c>
      <c r="AG8" s="8">
        <f>ROUND(AD8*'Premissas'!$B$10,2)</f>
        <v>2025.0</v>
      </c>
      <c r="AH8" s="8">
        <f>ROUND(AD8*'Premissas'!$B$31,2)</f>
        <v>675.0</v>
      </c>
      <c r="AI8" s="8">
        <f>ROUND(D8*'Ofertas'!$H$5,2)</f>
        <v>480.0</v>
      </c>
      <c r="AJ8" s="8">
        <f>ROUND(AD8-AF8-AG8-AH8-AI8,2)</f>
        <v>6000.0</v>
      </c>
      <c r="AK8" s="10">
        <f>E8*'Ofertas'!$C$6</f>
        <v>40.0</v>
      </c>
      <c r="AL8" s="8">
        <f>ROUND(E8*'Ofertas'!$B$6,2)</f>
        <v>18000.0</v>
      </c>
      <c r="AM8" s="8">
        <f>ROUND(AL8*'Premissas'!$B$32+AL7*(1-'Premissas'!$B$32),2)</f>
        <v>18000.0</v>
      </c>
      <c r="AN8" s="8">
        <f>ROUND(AK8*'Ofertas'!$D$6,2)</f>
        <v>7200.0</v>
      </c>
      <c r="AO8" s="8">
        <f>ROUND(AL8*'Premissas'!$B$10,2)</f>
        <v>2700.0</v>
      </c>
      <c r="AP8" s="8">
        <f>ROUND(AL8*'Premissas'!$B$31,2)</f>
        <v>900.0</v>
      </c>
      <c r="AQ8" s="8">
        <f>ROUND(E8*'Ofertas'!$H$6,2)</f>
        <v>600.0</v>
      </c>
      <c r="AR8" s="8">
        <f>ROUND(AL8-AN8-AO8-AP8-AQ8,2)</f>
        <v>6600.0</v>
      </c>
      <c r="AS8" s="10">
        <f>F8*'Ofertas'!$C$7</f>
        <v>8.0</v>
      </c>
      <c r="AT8" s="8">
        <f>ROUND(F8*'Ofertas'!$B$7,2)</f>
        <v>3500.0</v>
      </c>
      <c r="AU8" s="8">
        <f>AT8</f>
        <v>3500.0</v>
      </c>
      <c r="AV8" s="8">
        <f>ROUND(AS8*'Ofertas'!$D$7,2)</f>
        <v>960.0</v>
      </c>
      <c r="AW8" s="8">
        <f>ROUND(AT8*'Premissas'!$B$10,2)</f>
        <v>525.0</v>
      </c>
      <c r="AX8" s="8">
        <f>ROUND(AT8*'Premissas'!$B$31,2)</f>
        <v>175.0</v>
      </c>
      <c r="AY8" s="8">
        <f>ROUND(F8*'Ofertas'!$H$7,2)</f>
        <v>210.0</v>
      </c>
      <c r="AZ8" s="8">
        <f>ROUND(AT8-AV8-AW8-AX8-AY8,2)</f>
        <v>1630.0</v>
      </c>
      <c r="BA8" s="10">
        <f>G8*'Ofertas'!$C$8</f>
        <v>20.0</v>
      </c>
      <c r="BB8" s="8">
        <f>ROUND(G8*'Ofertas'!$B$8,2)</f>
        <v>6000.0</v>
      </c>
      <c r="BC8" s="8">
        <f>BB8</f>
        <v>6000.0</v>
      </c>
      <c r="BD8" s="8">
        <f>ROUND(BA8*'Ofertas'!$D$8,2)</f>
        <v>3600.0</v>
      </c>
      <c r="BE8" s="8">
        <f>ROUND(BB8*'Premissas'!$B$10,2)</f>
        <v>900.0</v>
      </c>
      <c r="BF8" s="8">
        <f>ROUND(BB8*'Premissas'!$B$31,2)</f>
        <v>300.0</v>
      </c>
      <c r="BG8" s="8">
        <f>ROUND(G8*'Ofertas'!$H$8,2)</f>
        <v>200.0</v>
      </c>
      <c r="BH8" s="8">
        <f>ROUND(BB8-BD8-BE8-BF8-BG8,2)</f>
        <v>1000.0</v>
      </c>
      <c r="BI8" s="10">
        <f>U8+AC8+AK8+AS8+BA8</f>
        <v>184.0</v>
      </c>
      <c r="BJ8" s="11">
        <f>BI8/'Premissas'!$B$30</f>
        <v>1.15</v>
      </c>
      <c r="BK8" s="8">
        <f>IF(A8&lt;=12,'Premissas'!$B$24,'Premissas'!$B$25)</f>
        <v>37000</v>
      </c>
      <c r="BL8" s="8">
        <f>ROUND(J8+V8+AD8+AL8+AT8+BB8,2)</f>
        <v>114500.0</v>
      </c>
      <c r="BM8" s="8">
        <f>ROUND(L8+V8+AD8+AL8+AT8+BB8,2)</f>
        <v>111020.0</v>
      </c>
      <c r="BN8" s="8">
        <f>ROUND(T8+AB8+AJ8+AR8+AZ8+BH8,2)</f>
        <v>35804.42</v>
      </c>
      <c r="BO8" s="8">
        <f>ROUND(O8+W8+AE8+AM8+AU8+BC8,2)</f>
        <v>82559.34</v>
      </c>
      <c r="BP8" s="8">
        <f>ROUND(P8+Q8+R8+S8+X8+Y8+Z8+BK8+AF8+AG8+AH8+AI8+AN8+AO8+AP8+AQ8+AV8+AW8+AX8+AY8+BD8+BE8+BF8+BG8,2)</f>
        <v>106873.6</v>
      </c>
      <c r="BQ8" s="8">
        <f>ROUND(BO8-BP8,2)</f>
        <v>-24314.26</v>
      </c>
      <c r="BR8" s="8">
        <f>ROUND(BR7+BQ8,2)</f>
        <v>-246265.46</v>
      </c>
      <c r="BS8" s="8">
        <f>ROUND(BN8-BK8,2)</f>
        <v>-1195.58</v>
      </c>
      <c r="BT8" s="8">
        <f>ROUND(BT7+N8-O8+V8-W8+AL8-AM8,2)</f>
        <v>58678.02</v>
      </c>
      <c r="BU8" s="10">
        <f>IF(BR8&gt;=0,A8,999)</f>
        <v>999</v>
      </c>
      <c r="BV8" s="8">
        <f>ROUND(BR8+200000,2)</f>
        <v>-46265.46</v>
      </c>
    </row>
    <row r="9" spans="1:74">
      <c r="A9" s="10">
        <v>5</v>
      </c>
      <c r="B9" s="7">
        <v>600</v>
      </c>
      <c r="C9" s="7">
        <v>1</v>
      </c>
      <c r="D9" s="7">
        <v>4</v>
      </c>
      <c r="E9" s="7">
        <v>2</v>
      </c>
      <c r="F9" s="7">
        <v>2</v>
      </c>
      <c r="G9" s="10">
        <f>MAX(0,F9-F8)</f>
        <v>1</v>
      </c>
      <c r="H9" s="10">
        <f>ROUNDUP(B9/'Premissas'!$B$14,0)</f>
        <v>30000</v>
      </c>
      <c r="I9" s="8">
        <f>ROUND(B9*'Premissas'!$B$5,2)</f>
        <v>17400.0</v>
      </c>
      <c r="J9" s="8">
        <f>ROUND(I9*'Premissas'!$B$6,2)</f>
        <v>87000.0</v>
      </c>
      <c r="K9" s="8">
        <f>ROUND(J9*'Premissas'!$B$7,2)</f>
        <v>6960.0</v>
      </c>
      <c r="L9" s="8">
        <f>ROUND(J9-K9,2)</f>
        <v>80040.0</v>
      </c>
      <c r="M9" s="8">
        <f>ROUND(L9*'Premissas'!$B$8+B9*(1-'Premissas'!$B$7)*'Premissas'!$B$9*'Premissas'!$B$6,2)</f>
        <v>10683.96</v>
      </c>
      <c r="N9" s="8">
        <f>ROUND(L9-M9,2)</f>
        <v>69356.04</v>
      </c>
      <c r="O9" s="8">
        <f>IF(A9&gt;'Premissas'!$B$20,INDEX($N$5:$N$28,MAX(1,A9-'Premissas'!$B$20)),0)</f>
        <v>34678.02</v>
      </c>
      <c r="P9" s="8">
        <f>ROUND(L9*'Premissas'!$B$10,2)</f>
        <v>12006.0</v>
      </c>
      <c r="Q9" s="8">
        <f>ROUND(L9*'Premissas'!$B$11,2)</f>
        <v>2401.2</v>
      </c>
      <c r="R9" s="8">
        <f>ROUND(B9*'Premissas'!$B$12*'Premissas'!$B$6,2)</f>
        <v>30000.0</v>
      </c>
      <c r="S9" s="8">
        <f>ROUND(B9*'Premissas'!$B$13*'Premissas'!$B$6,2)</f>
        <v>3000.0</v>
      </c>
      <c r="T9" s="8">
        <f>ROUND(L9-M9-P9-Q9-R9-S9,2)</f>
        <v>21948.84</v>
      </c>
      <c r="U9" s="10">
        <f>C9*'Premissas'!$B$16</f>
        <v>80</v>
      </c>
      <c r="V9" s="8">
        <f>ROUND(C9*'Premissas'!$B$15,2)</f>
        <v>30000.0</v>
      </c>
      <c r="W9" s="8">
        <f>ROUND(V9*'Premissas'!$B$19+V8*(1-'Premissas'!$B$19),2)</f>
        <v>30000.0</v>
      </c>
      <c r="X9" s="8">
        <f>ROUND(U9*'Premissas'!$B$17,2)</f>
        <v>14400.0</v>
      </c>
      <c r="Y9" s="8">
        <f>ROUND(V9*'Premissas'!$B$10,2)</f>
        <v>4500.0</v>
      </c>
      <c r="Z9" s="8">
        <f>ROUND(W9*'Premissas'!$B$18,2)</f>
        <v>1500.0</v>
      </c>
      <c r="AA9" s="8">
        <f>ROUND(V9*'Premissas'!$B$18,2)</f>
        <v>1500.0</v>
      </c>
      <c r="AB9" s="8">
        <f>ROUND(V9-X9-Y9-AA9,2)</f>
        <v>9600.0</v>
      </c>
      <c r="AC9" s="10">
        <f>D9*'Ofertas'!$C$5</f>
        <v>48.0</v>
      </c>
      <c r="AD9" s="8">
        <f>ROUND(D9*'Ofertas'!$B$5,2)</f>
        <v>18000.0</v>
      </c>
      <c r="AE9" s="8">
        <f>AD9</f>
        <v>18000.0</v>
      </c>
      <c r="AF9" s="8">
        <f>ROUND(AC9*'Ofertas'!$D$5,2)</f>
        <v>5760.0</v>
      </c>
      <c r="AG9" s="8">
        <f>ROUND(AD9*'Premissas'!$B$10,2)</f>
        <v>2700.0</v>
      </c>
      <c r="AH9" s="8">
        <f>ROUND(AD9*'Premissas'!$B$31,2)</f>
        <v>900.0</v>
      </c>
      <c r="AI9" s="8">
        <f>ROUND(D9*'Ofertas'!$H$5,2)</f>
        <v>640.0</v>
      </c>
      <c r="AJ9" s="8">
        <f>ROUND(AD9-AF9-AG9-AH9-AI9,2)</f>
        <v>8000.0</v>
      </c>
      <c r="AK9" s="10">
        <f>E9*'Ofertas'!$C$6</f>
        <v>80.0</v>
      </c>
      <c r="AL9" s="8">
        <f>ROUND(E9*'Ofertas'!$B$6,2)</f>
        <v>36000.0</v>
      </c>
      <c r="AM9" s="8">
        <f>ROUND(AL9*'Premissas'!$B$32+AL8*(1-'Premissas'!$B$32),2)</f>
        <v>27000.0</v>
      </c>
      <c r="AN9" s="8">
        <f>ROUND(AK9*'Ofertas'!$D$6,2)</f>
        <v>14400.0</v>
      </c>
      <c r="AO9" s="8">
        <f>ROUND(AL9*'Premissas'!$B$10,2)</f>
        <v>5400.0</v>
      </c>
      <c r="AP9" s="8">
        <f>ROUND(AL9*'Premissas'!$B$31,2)</f>
        <v>1800.0</v>
      </c>
      <c r="AQ9" s="8">
        <f>ROUND(E9*'Ofertas'!$H$6,2)</f>
        <v>1200.0</v>
      </c>
      <c r="AR9" s="8">
        <f>ROUND(AL9-AN9-AO9-AP9-AQ9,2)</f>
        <v>13200.0</v>
      </c>
      <c r="AS9" s="10">
        <f>F9*'Ofertas'!$C$7</f>
        <v>16.0</v>
      </c>
      <c r="AT9" s="8">
        <f>ROUND(F9*'Ofertas'!$B$7,2)</f>
        <v>7000.0</v>
      </c>
      <c r="AU9" s="8">
        <f>AT9</f>
        <v>7000.0</v>
      </c>
      <c r="AV9" s="8">
        <f>ROUND(AS9*'Ofertas'!$D$7,2)</f>
        <v>1920.0</v>
      </c>
      <c r="AW9" s="8">
        <f>ROUND(AT9*'Premissas'!$B$10,2)</f>
        <v>1050.0</v>
      </c>
      <c r="AX9" s="8">
        <f>ROUND(AT9*'Premissas'!$B$31,2)</f>
        <v>350.0</v>
      </c>
      <c r="AY9" s="8">
        <f>ROUND(F9*'Ofertas'!$H$7,2)</f>
        <v>420.0</v>
      </c>
      <c r="AZ9" s="8">
        <f>ROUND(AT9-AV9-AW9-AX9-AY9,2)</f>
        <v>3260.0</v>
      </c>
      <c r="BA9" s="10">
        <f>G9*'Ofertas'!$C$8</f>
        <v>20.0</v>
      </c>
      <c r="BB9" s="8">
        <f>ROUND(G9*'Ofertas'!$B$8,2)</f>
        <v>6000.0</v>
      </c>
      <c r="BC9" s="8">
        <f>BB9</f>
        <v>6000.0</v>
      </c>
      <c r="BD9" s="8">
        <f>ROUND(BA9*'Ofertas'!$D$8,2)</f>
        <v>3600.0</v>
      </c>
      <c r="BE9" s="8">
        <f>ROUND(BB9*'Premissas'!$B$10,2)</f>
        <v>900.0</v>
      </c>
      <c r="BF9" s="8">
        <f>ROUND(BB9*'Premissas'!$B$31,2)</f>
        <v>300.0</v>
      </c>
      <c r="BG9" s="8">
        <f>ROUND(G9*'Ofertas'!$H$8,2)</f>
        <v>200.0</v>
      </c>
      <c r="BH9" s="8">
        <f>ROUND(BB9-BD9-BE9-BF9-BG9,2)</f>
        <v>1000.0</v>
      </c>
      <c r="BI9" s="10">
        <f>U9+AC9+AK9+AS9+BA9</f>
        <v>244.0</v>
      </c>
      <c r="BJ9" s="11">
        <f>BI9/'Premissas'!$B$30</f>
        <v>1.525</v>
      </c>
      <c r="BK9" s="8">
        <f>IF(A9&lt;=12,'Premissas'!$B$24,'Premissas'!$B$25)</f>
        <v>37000</v>
      </c>
      <c r="BL9" s="8">
        <f>ROUND(J9+V9+AD9+AL9+AT9+BB9,2)</f>
        <v>184000.0</v>
      </c>
      <c r="BM9" s="8">
        <f>ROUND(L9+V9+AD9+AL9+AT9+BB9,2)</f>
        <v>177040.0</v>
      </c>
      <c r="BN9" s="8">
        <f>ROUND(T9+AB9+AJ9+AR9+AZ9+BH9,2)</f>
        <v>57008.84</v>
      </c>
      <c r="BO9" s="8">
        <f>ROUND(O9+W9+AE9+AM9+AU9+BC9,2)</f>
        <v>122678.02</v>
      </c>
      <c r="BP9" s="8">
        <f>ROUND(P9+Q9+R9+S9+X9+Y9+Z9+BK9+AF9+AG9+AH9+AI9+AN9+AO9+AP9+AQ9+AV9+AW9+AX9+AY9+BD9+BE9+BF9+BG9,2)</f>
        <v>146347.2</v>
      </c>
      <c r="BQ9" s="8">
        <f>ROUND(BO9-BP9,2)</f>
        <v>-23669.18</v>
      </c>
      <c r="BR9" s="8">
        <f>ROUND(BR8+BQ9,2)</f>
        <v>-269934.64</v>
      </c>
      <c r="BS9" s="8">
        <f>ROUND(BN9-BK9,2)</f>
        <v>20008.84</v>
      </c>
      <c r="BT9" s="8">
        <f>ROUND(BT8+N9-O9+V9-W9+AL9-AM9,2)</f>
        <v>102356.04</v>
      </c>
      <c r="BU9" s="10">
        <f>IF(BR9&gt;=0,A9,999)</f>
        <v>999</v>
      </c>
      <c r="BV9" s="8">
        <f>ROUND(BR9+200000,2)</f>
        <v>-69934.64</v>
      </c>
    </row>
    <row r="10" spans="1:74">
      <c r="A10" s="10">
        <v>6</v>
      </c>
      <c r="B10" s="7">
        <v>1000</v>
      </c>
      <c r="C10" s="7">
        <v>2</v>
      </c>
      <c r="D10" s="7">
        <v>5</v>
      </c>
      <c r="E10" s="7">
        <v>2</v>
      </c>
      <c r="F10" s="7">
        <v>3</v>
      </c>
      <c r="G10" s="10">
        <f>MAX(0,F10-F9)</f>
        <v>1</v>
      </c>
      <c r="H10" s="10">
        <f>ROUNDUP(B10/'Premissas'!$B$14,0)</f>
        <v>50000</v>
      </c>
      <c r="I10" s="8">
        <f>ROUND(B10*'Premissas'!$B$5,2)</f>
        <v>29000.0</v>
      </c>
      <c r="J10" s="8">
        <f>ROUND(I10*'Premissas'!$B$6,2)</f>
        <v>145000.0</v>
      </c>
      <c r="K10" s="8">
        <f>ROUND(J10*'Premissas'!$B$7,2)</f>
        <v>11600.0</v>
      </c>
      <c r="L10" s="8">
        <f>ROUND(J10-K10,2)</f>
        <v>133400.0</v>
      </c>
      <c r="M10" s="8">
        <f>ROUND(L10*'Premissas'!$B$8+B10*(1-'Premissas'!$B$7)*'Premissas'!$B$9*'Premissas'!$B$6,2)</f>
        <v>17806.6</v>
      </c>
      <c r="N10" s="8">
        <f>ROUND(L10-M10,2)</f>
        <v>115593.4</v>
      </c>
      <c r="O10" s="8">
        <f>IF(A10&gt;'Premissas'!$B$20,INDEX($N$5:$N$28,MAX(1,A10-'Premissas'!$B$20)),0)</f>
        <v>69356.04</v>
      </c>
      <c r="P10" s="8">
        <f>ROUND(L10*'Premissas'!$B$10,2)</f>
        <v>20010.0</v>
      </c>
      <c r="Q10" s="8">
        <f>ROUND(L10*'Premissas'!$B$11,2)</f>
        <v>4002.0</v>
      </c>
      <c r="R10" s="8">
        <f>ROUND(B10*'Premissas'!$B$12*'Premissas'!$B$6,2)</f>
        <v>50000.0</v>
      </c>
      <c r="S10" s="8">
        <f>ROUND(B10*'Premissas'!$B$13*'Premissas'!$B$6,2)</f>
        <v>5000.0</v>
      </c>
      <c r="T10" s="8">
        <f>ROUND(L10-M10-P10-Q10-R10-S10,2)</f>
        <v>36581.4</v>
      </c>
      <c r="U10" s="10">
        <f>C10*'Premissas'!$B$16</f>
        <v>160</v>
      </c>
      <c r="V10" s="8">
        <f>ROUND(C10*'Premissas'!$B$15,2)</f>
        <v>60000.0</v>
      </c>
      <c r="W10" s="8">
        <f>ROUND(V10*'Premissas'!$B$19+V9*(1-'Premissas'!$B$19),2)</f>
        <v>45000.0</v>
      </c>
      <c r="X10" s="8">
        <f>ROUND(U10*'Premissas'!$B$17,2)</f>
        <v>28800.0</v>
      </c>
      <c r="Y10" s="8">
        <f>ROUND(V10*'Premissas'!$B$10,2)</f>
        <v>9000.0</v>
      </c>
      <c r="Z10" s="8">
        <f>ROUND(W10*'Premissas'!$B$18,2)</f>
        <v>2250.0</v>
      </c>
      <c r="AA10" s="8">
        <f>ROUND(V10*'Premissas'!$B$18,2)</f>
        <v>3000.0</v>
      </c>
      <c r="AB10" s="8">
        <f>ROUND(V10-X10-Y10-AA10,2)</f>
        <v>19200.0</v>
      </c>
      <c r="AC10" s="10">
        <f>D10*'Ofertas'!$C$5</f>
        <v>60.0</v>
      </c>
      <c r="AD10" s="8">
        <f>ROUND(D10*'Ofertas'!$B$5,2)</f>
        <v>22500.0</v>
      </c>
      <c r="AE10" s="8">
        <f>AD10</f>
        <v>22500.0</v>
      </c>
      <c r="AF10" s="8">
        <f>ROUND(AC10*'Ofertas'!$D$5,2)</f>
        <v>7200.0</v>
      </c>
      <c r="AG10" s="8">
        <f>ROUND(AD10*'Premissas'!$B$10,2)</f>
        <v>3375.0</v>
      </c>
      <c r="AH10" s="8">
        <f>ROUND(AD10*'Premissas'!$B$31,2)</f>
        <v>1125.0</v>
      </c>
      <c r="AI10" s="8">
        <f>ROUND(D10*'Ofertas'!$H$5,2)</f>
        <v>800.0</v>
      </c>
      <c r="AJ10" s="8">
        <f>ROUND(AD10-AF10-AG10-AH10-AI10,2)</f>
        <v>10000.0</v>
      </c>
      <c r="AK10" s="10">
        <f>E10*'Ofertas'!$C$6</f>
        <v>80.0</v>
      </c>
      <c r="AL10" s="8">
        <f>ROUND(E10*'Ofertas'!$B$6,2)</f>
        <v>36000.0</v>
      </c>
      <c r="AM10" s="8">
        <f>ROUND(AL10*'Premissas'!$B$32+AL9*(1-'Premissas'!$B$32),2)</f>
        <v>36000.0</v>
      </c>
      <c r="AN10" s="8">
        <f>ROUND(AK10*'Ofertas'!$D$6,2)</f>
        <v>14400.0</v>
      </c>
      <c r="AO10" s="8">
        <f>ROUND(AL10*'Premissas'!$B$10,2)</f>
        <v>5400.0</v>
      </c>
      <c r="AP10" s="8">
        <f>ROUND(AL10*'Premissas'!$B$31,2)</f>
        <v>1800.0</v>
      </c>
      <c r="AQ10" s="8">
        <f>ROUND(E10*'Ofertas'!$H$6,2)</f>
        <v>1200.0</v>
      </c>
      <c r="AR10" s="8">
        <f>ROUND(AL10-AN10-AO10-AP10-AQ10,2)</f>
        <v>13200.0</v>
      </c>
      <c r="AS10" s="10">
        <f>F10*'Ofertas'!$C$7</f>
        <v>24.0</v>
      </c>
      <c r="AT10" s="8">
        <f>ROUND(F10*'Ofertas'!$B$7,2)</f>
        <v>10500.0</v>
      </c>
      <c r="AU10" s="8">
        <f>AT10</f>
        <v>10500.0</v>
      </c>
      <c r="AV10" s="8">
        <f>ROUND(AS10*'Ofertas'!$D$7,2)</f>
        <v>2880.0</v>
      </c>
      <c r="AW10" s="8">
        <f>ROUND(AT10*'Premissas'!$B$10,2)</f>
        <v>1575.0</v>
      </c>
      <c r="AX10" s="8">
        <f>ROUND(AT10*'Premissas'!$B$31,2)</f>
        <v>525.0</v>
      </c>
      <c r="AY10" s="8">
        <f>ROUND(F10*'Ofertas'!$H$7,2)</f>
        <v>630.0</v>
      </c>
      <c r="AZ10" s="8">
        <f>ROUND(AT10-AV10-AW10-AX10-AY10,2)</f>
        <v>4890.0</v>
      </c>
      <c r="BA10" s="10">
        <f>G10*'Ofertas'!$C$8</f>
        <v>20.0</v>
      </c>
      <c r="BB10" s="8">
        <f>ROUND(G10*'Ofertas'!$B$8,2)</f>
        <v>6000.0</v>
      </c>
      <c r="BC10" s="8">
        <f>BB10</f>
        <v>6000.0</v>
      </c>
      <c r="BD10" s="8">
        <f>ROUND(BA10*'Ofertas'!$D$8,2)</f>
        <v>3600.0</v>
      </c>
      <c r="BE10" s="8">
        <f>ROUND(BB10*'Premissas'!$B$10,2)</f>
        <v>900.0</v>
      </c>
      <c r="BF10" s="8">
        <f>ROUND(BB10*'Premissas'!$B$31,2)</f>
        <v>300.0</v>
      </c>
      <c r="BG10" s="8">
        <f>ROUND(G10*'Ofertas'!$H$8,2)</f>
        <v>200.0</v>
      </c>
      <c r="BH10" s="8">
        <f>ROUND(BB10-BD10-BE10-BF10-BG10,2)</f>
        <v>1000.0</v>
      </c>
      <c r="BI10" s="10">
        <f>U10+AC10+AK10+AS10+BA10</f>
        <v>344.0</v>
      </c>
      <c r="BJ10" s="11">
        <f>BI10/'Premissas'!$B$30</f>
        <v>2.15</v>
      </c>
      <c r="BK10" s="8">
        <f>IF(A10&lt;=12,'Premissas'!$B$24,'Premissas'!$B$25)</f>
        <v>37000</v>
      </c>
      <c r="BL10" s="8">
        <f>ROUND(J10+V10+AD10+AL10+AT10+BB10,2)</f>
        <v>280000.0</v>
      </c>
      <c r="BM10" s="8">
        <f>ROUND(L10+V10+AD10+AL10+AT10+BB10,2)</f>
        <v>268400.0</v>
      </c>
      <c r="BN10" s="8">
        <f>ROUND(T10+AB10+AJ10+AR10+AZ10+BH10,2)</f>
        <v>84871.4</v>
      </c>
      <c r="BO10" s="8">
        <f>ROUND(O10+W10+AE10+AM10+AU10+BC10,2)</f>
        <v>189356.04</v>
      </c>
      <c r="BP10" s="8">
        <f>ROUND(P10+Q10+R10+S10+X10+Y10+Z10+BK10+AF10+AG10+AH10+AI10+AN10+AO10+AP10+AQ10+AV10+AW10+AX10+AY10+BD10+BE10+BF10+BG10,2)</f>
        <v>201972.0</v>
      </c>
      <c r="BQ10" s="8">
        <f>ROUND(BO10-BP10,2)</f>
        <v>-12615.96</v>
      </c>
      <c r="BR10" s="8">
        <f>ROUND(BR9+BQ10,2)</f>
        <v>-282550.6</v>
      </c>
      <c r="BS10" s="8">
        <f>ROUND(BN10-BK10,2)</f>
        <v>47871.4</v>
      </c>
      <c r="BT10" s="8">
        <f>ROUND(BT9+N10-O10+V10-W10+AL10-AM10,2)</f>
        <v>163593.4</v>
      </c>
      <c r="BU10" s="10">
        <f>IF(BR10&gt;=0,A10,999)</f>
        <v>999</v>
      </c>
      <c r="BV10" s="8">
        <f>ROUND(BR10+200000,2)</f>
        <v>-82550.6</v>
      </c>
    </row>
    <row r="11" spans="1:74">
      <c r="A11" s="10">
        <v>7</v>
      </c>
      <c r="B11" s="7">
        <v>1500</v>
      </c>
      <c r="C11" s="7">
        <v>2</v>
      </c>
      <c r="D11" s="7">
        <v>7</v>
      </c>
      <c r="E11" s="7">
        <v>3</v>
      </c>
      <c r="F11" s="7">
        <v>4</v>
      </c>
      <c r="G11" s="10">
        <f>MAX(0,F11-F10)</f>
        <v>1</v>
      </c>
      <c r="H11" s="10">
        <f>ROUNDUP(B11/'Premissas'!$B$14,0)</f>
        <v>75000</v>
      </c>
      <c r="I11" s="8">
        <f>ROUND(B11*'Premissas'!$B$5,2)</f>
        <v>43500.0</v>
      </c>
      <c r="J11" s="8">
        <f>ROUND(I11*'Premissas'!$B$6,2)</f>
        <v>217500.0</v>
      </c>
      <c r="K11" s="8">
        <f>ROUND(J11*'Premissas'!$B$7,2)</f>
        <v>17400.0</v>
      </c>
      <c r="L11" s="8">
        <f>ROUND(J11-K11,2)</f>
        <v>200100.0</v>
      </c>
      <c r="M11" s="8">
        <f>ROUND(L11*'Premissas'!$B$8+B11*(1-'Premissas'!$B$7)*'Premissas'!$B$9*'Premissas'!$B$6,2)</f>
        <v>26709.9</v>
      </c>
      <c r="N11" s="8">
        <f>ROUND(L11-M11,2)</f>
        <v>173390.1</v>
      </c>
      <c r="O11" s="8">
        <f>IF(A11&gt;'Premissas'!$B$20,INDEX($N$5:$N$28,MAX(1,A11-'Premissas'!$B$20)),0)</f>
        <v>115593.4</v>
      </c>
      <c r="P11" s="8">
        <f>ROUND(L11*'Premissas'!$B$10,2)</f>
        <v>30015.0</v>
      </c>
      <c r="Q11" s="8">
        <f>ROUND(L11*'Premissas'!$B$11,2)</f>
        <v>6003.0</v>
      </c>
      <c r="R11" s="8">
        <f>ROUND(B11*'Premissas'!$B$12*'Premissas'!$B$6,2)</f>
        <v>75000.0</v>
      </c>
      <c r="S11" s="8">
        <f>ROUND(B11*'Premissas'!$B$13*'Premissas'!$B$6,2)</f>
        <v>7500.0</v>
      </c>
      <c r="T11" s="8">
        <f>ROUND(L11-M11-P11-Q11-R11-S11,2)</f>
        <v>54872.1</v>
      </c>
      <c r="U11" s="10">
        <f>C11*'Premissas'!$B$16</f>
        <v>160</v>
      </c>
      <c r="V11" s="8">
        <f>ROUND(C11*'Premissas'!$B$15,2)</f>
        <v>60000.0</v>
      </c>
      <c r="W11" s="8">
        <f>ROUND(V11*'Premissas'!$B$19+V10*(1-'Premissas'!$B$19),2)</f>
        <v>60000.0</v>
      </c>
      <c r="X11" s="8">
        <f>ROUND(U11*'Premissas'!$B$17,2)</f>
        <v>28800.0</v>
      </c>
      <c r="Y11" s="8">
        <f>ROUND(V11*'Premissas'!$B$10,2)</f>
        <v>9000.0</v>
      </c>
      <c r="Z11" s="8">
        <f>ROUND(W11*'Premissas'!$B$18,2)</f>
        <v>3000.0</v>
      </c>
      <c r="AA11" s="8">
        <f>ROUND(V11*'Premissas'!$B$18,2)</f>
        <v>3000.0</v>
      </c>
      <c r="AB11" s="8">
        <f>ROUND(V11-X11-Y11-AA11,2)</f>
        <v>19200.0</v>
      </c>
      <c r="AC11" s="10">
        <f>D11*'Ofertas'!$C$5</f>
        <v>84.0</v>
      </c>
      <c r="AD11" s="8">
        <f>ROUND(D11*'Ofertas'!$B$5,2)</f>
        <v>31500.0</v>
      </c>
      <c r="AE11" s="8">
        <f>AD11</f>
        <v>31500.0</v>
      </c>
      <c r="AF11" s="8">
        <f>ROUND(AC11*'Ofertas'!$D$5,2)</f>
        <v>10080.0</v>
      </c>
      <c r="AG11" s="8">
        <f>ROUND(AD11*'Premissas'!$B$10,2)</f>
        <v>4725.0</v>
      </c>
      <c r="AH11" s="8">
        <f>ROUND(AD11*'Premissas'!$B$31,2)</f>
        <v>1575.0</v>
      </c>
      <c r="AI11" s="8">
        <f>ROUND(D11*'Ofertas'!$H$5,2)</f>
        <v>1120.0</v>
      </c>
      <c r="AJ11" s="8">
        <f>ROUND(AD11-AF11-AG11-AH11-AI11,2)</f>
        <v>14000.0</v>
      </c>
      <c r="AK11" s="10">
        <f>E11*'Ofertas'!$C$6</f>
        <v>120.0</v>
      </c>
      <c r="AL11" s="8">
        <f>ROUND(E11*'Ofertas'!$B$6,2)</f>
        <v>54000.0</v>
      </c>
      <c r="AM11" s="8">
        <f>ROUND(AL11*'Premissas'!$B$32+AL10*(1-'Premissas'!$B$32),2)</f>
        <v>45000.0</v>
      </c>
      <c r="AN11" s="8">
        <f>ROUND(AK11*'Ofertas'!$D$6,2)</f>
        <v>21600.0</v>
      </c>
      <c r="AO11" s="8">
        <f>ROUND(AL11*'Premissas'!$B$10,2)</f>
        <v>8100.0</v>
      </c>
      <c r="AP11" s="8">
        <f>ROUND(AL11*'Premissas'!$B$31,2)</f>
        <v>2700.0</v>
      </c>
      <c r="AQ11" s="8">
        <f>ROUND(E11*'Ofertas'!$H$6,2)</f>
        <v>1800.0</v>
      </c>
      <c r="AR11" s="8">
        <f>ROUND(AL11-AN11-AO11-AP11-AQ11,2)</f>
        <v>19800.0</v>
      </c>
      <c r="AS11" s="10">
        <f>F11*'Ofertas'!$C$7</f>
        <v>32.0</v>
      </c>
      <c r="AT11" s="8">
        <f>ROUND(F11*'Ofertas'!$B$7,2)</f>
        <v>14000.0</v>
      </c>
      <c r="AU11" s="8">
        <f>AT11</f>
        <v>14000.0</v>
      </c>
      <c r="AV11" s="8">
        <f>ROUND(AS11*'Ofertas'!$D$7,2)</f>
        <v>3840.0</v>
      </c>
      <c r="AW11" s="8">
        <f>ROUND(AT11*'Premissas'!$B$10,2)</f>
        <v>2100.0</v>
      </c>
      <c r="AX11" s="8">
        <f>ROUND(AT11*'Premissas'!$B$31,2)</f>
        <v>700.0</v>
      </c>
      <c r="AY11" s="8">
        <f>ROUND(F11*'Ofertas'!$H$7,2)</f>
        <v>840.0</v>
      </c>
      <c r="AZ11" s="8">
        <f>ROUND(AT11-AV11-AW11-AX11-AY11,2)</f>
        <v>6520.0</v>
      </c>
      <c r="BA11" s="10">
        <f>G11*'Ofertas'!$C$8</f>
        <v>20.0</v>
      </c>
      <c r="BB11" s="8">
        <f>ROUND(G11*'Ofertas'!$B$8,2)</f>
        <v>6000.0</v>
      </c>
      <c r="BC11" s="8">
        <f>BB11</f>
        <v>6000.0</v>
      </c>
      <c r="BD11" s="8">
        <f>ROUND(BA11*'Ofertas'!$D$8,2)</f>
        <v>3600.0</v>
      </c>
      <c r="BE11" s="8">
        <f>ROUND(BB11*'Premissas'!$B$10,2)</f>
        <v>900.0</v>
      </c>
      <c r="BF11" s="8">
        <f>ROUND(BB11*'Premissas'!$B$31,2)</f>
        <v>300.0</v>
      </c>
      <c r="BG11" s="8">
        <f>ROUND(G11*'Ofertas'!$H$8,2)</f>
        <v>200.0</v>
      </c>
      <c r="BH11" s="8">
        <f>ROUND(BB11-BD11-BE11-BF11-BG11,2)</f>
        <v>1000.0</v>
      </c>
      <c r="BI11" s="10">
        <f>U11+AC11+AK11+AS11+BA11</f>
        <v>416.0</v>
      </c>
      <c r="BJ11" s="11">
        <f>BI11/'Premissas'!$B$30</f>
        <v>2.6</v>
      </c>
      <c r="BK11" s="8">
        <f>IF(A11&lt;=12,'Premissas'!$B$24,'Premissas'!$B$25)</f>
        <v>37000</v>
      </c>
      <c r="BL11" s="8">
        <f>ROUND(J11+V11+AD11+AL11+AT11+BB11,2)</f>
        <v>383000.0</v>
      </c>
      <c r="BM11" s="8">
        <f>ROUND(L11+V11+AD11+AL11+AT11+BB11,2)</f>
        <v>365600.0</v>
      </c>
      <c r="BN11" s="8">
        <f>ROUND(T11+AB11+AJ11+AR11+AZ11+BH11,2)</f>
        <v>115392.1</v>
      </c>
      <c r="BO11" s="8">
        <f>ROUND(O11+W11+AE11+AM11+AU11+BC11,2)</f>
        <v>272093.4</v>
      </c>
      <c r="BP11" s="8">
        <f>ROUND(P11+Q11+R11+S11+X11+Y11+Z11+BK11+AF11+AG11+AH11+AI11+AN11+AO11+AP11+AQ11+AV11+AW11+AX11+AY11+BD11+BE11+BF11+BG11,2)</f>
        <v>260498.0</v>
      </c>
      <c r="BQ11" s="8">
        <f>ROUND(BO11-BP11,2)</f>
        <v>11595.4</v>
      </c>
      <c r="BR11" s="8">
        <f>ROUND(BR10+BQ11,2)</f>
        <v>-270955.2</v>
      </c>
      <c r="BS11" s="8">
        <f>ROUND(BN11-BK11,2)</f>
        <v>78392.1</v>
      </c>
      <c r="BT11" s="8">
        <f>ROUND(BT10+N11-O11+V11-W11+AL11-AM11,2)</f>
        <v>230390.1</v>
      </c>
      <c r="BU11" s="10">
        <f>IF(BR11&gt;=0,A11,999)</f>
        <v>999</v>
      </c>
      <c r="BV11" s="8">
        <f>ROUND(BR11+200000,2)</f>
        <v>-70955.2</v>
      </c>
    </row>
    <row r="12" spans="1:74">
      <c r="A12" s="10">
        <v>8</v>
      </c>
      <c r="B12" s="7">
        <v>2200</v>
      </c>
      <c r="C12" s="7">
        <v>2</v>
      </c>
      <c r="D12" s="7">
        <v>9</v>
      </c>
      <c r="E12" s="7">
        <v>3</v>
      </c>
      <c r="F12" s="7">
        <v>5</v>
      </c>
      <c r="G12" s="10">
        <f>MAX(0,F12-F11)</f>
        <v>1</v>
      </c>
      <c r="H12" s="10">
        <f>ROUNDUP(B12/'Premissas'!$B$14,0)</f>
        <v>110000</v>
      </c>
      <c r="I12" s="8">
        <f>ROUND(B12*'Premissas'!$B$5,2)</f>
        <v>63800.0</v>
      </c>
      <c r="J12" s="8">
        <f>ROUND(I12*'Premissas'!$B$6,2)</f>
        <v>319000.0</v>
      </c>
      <c r="K12" s="8">
        <f>ROUND(J12*'Premissas'!$B$7,2)</f>
        <v>25520.0</v>
      </c>
      <c r="L12" s="8">
        <f>ROUND(J12-K12,2)</f>
        <v>293480.0</v>
      </c>
      <c r="M12" s="8">
        <f>ROUND(L12*'Premissas'!$B$8+B12*(1-'Premissas'!$B$7)*'Premissas'!$B$9*'Premissas'!$B$6,2)</f>
        <v>39174.52</v>
      </c>
      <c r="N12" s="8">
        <f>ROUND(L12-M12,2)</f>
        <v>254305.48</v>
      </c>
      <c r="O12" s="8">
        <f>IF(A12&gt;'Premissas'!$B$20,INDEX($N$5:$N$28,MAX(1,A12-'Premissas'!$B$20)),0)</f>
        <v>173390.1</v>
      </c>
      <c r="P12" s="8">
        <f>ROUND(L12*'Premissas'!$B$10,2)</f>
        <v>44022.0</v>
      </c>
      <c r="Q12" s="8">
        <f>ROUND(L12*'Premissas'!$B$11,2)</f>
        <v>8804.4</v>
      </c>
      <c r="R12" s="8">
        <f>ROUND(B12*'Premissas'!$B$12*'Premissas'!$B$6,2)</f>
        <v>110000.0</v>
      </c>
      <c r="S12" s="8">
        <f>ROUND(B12*'Premissas'!$B$13*'Premissas'!$B$6,2)</f>
        <v>11000.0</v>
      </c>
      <c r="T12" s="8">
        <f>ROUND(L12-M12-P12-Q12-R12-S12,2)</f>
        <v>80479.08</v>
      </c>
      <c r="U12" s="10">
        <f>C12*'Premissas'!$B$16</f>
        <v>160</v>
      </c>
      <c r="V12" s="8">
        <f>ROUND(C12*'Premissas'!$B$15,2)</f>
        <v>60000.0</v>
      </c>
      <c r="W12" s="8">
        <f>ROUND(V12*'Premissas'!$B$19+V11*(1-'Premissas'!$B$19),2)</f>
        <v>60000.0</v>
      </c>
      <c r="X12" s="8">
        <f>ROUND(U12*'Premissas'!$B$17,2)</f>
        <v>28800.0</v>
      </c>
      <c r="Y12" s="8">
        <f>ROUND(V12*'Premissas'!$B$10,2)</f>
        <v>9000.0</v>
      </c>
      <c r="Z12" s="8">
        <f>ROUND(W12*'Premissas'!$B$18,2)</f>
        <v>3000.0</v>
      </c>
      <c r="AA12" s="8">
        <f>ROUND(V12*'Premissas'!$B$18,2)</f>
        <v>3000.0</v>
      </c>
      <c r="AB12" s="8">
        <f>ROUND(V12-X12-Y12-AA12,2)</f>
        <v>19200.0</v>
      </c>
      <c r="AC12" s="10">
        <f>D12*'Ofertas'!$C$5</f>
        <v>108.0</v>
      </c>
      <c r="AD12" s="8">
        <f>ROUND(D12*'Ofertas'!$B$5,2)</f>
        <v>40500.0</v>
      </c>
      <c r="AE12" s="8">
        <f>AD12</f>
        <v>40500.0</v>
      </c>
      <c r="AF12" s="8">
        <f>ROUND(AC12*'Ofertas'!$D$5,2)</f>
        <v>12960.0</v>
      </c>
      <c r="AG12" s="8">
        <f>ROUND(AD12*'Premissas'!$B$10,2)</f>
        <v>6075.0</v>
      </c>
      <c r="AH12" s="8">
        <f>ROUND(AD12*'Premissas'!$B$31,2)</f>
        <v>2025.0</v>
      </c>
      <c r="AI12" s="8">
        <f>ROUND(D12*'Ofertas'!$H$5,2)</f>
        <v>1440.0</v>
      </c>
      <c r="AJ12" s="8">
        <f>ROUND(AD12-AF12-AG12-AH12-AI12,2)</f>
        <v>18000.0</v>
      </c>
      <c r="AK12" s="10">
        <f>E12*'Ofertas'!$C$6</f>
        <v>120.0</v>
      </c>
      <c r="AL12" s="8">
        <f>ROUND(E12*'Ofertas'!$B$6,2)</f>
        <v>54000.0</v>
      </c>
      <c r="AM12" s="8">
        <f>ROUND(AL12*'Premissas'!$B$32+AL11*(1-'Premissas'!$B$32),2)</f>
        <v>54000.0</v>
      </c>
      <c r="AN12" s="8">
        <f>ROUND(AK12*'Ofertas'!$D$6,2)</f>
        <v>21600.0</v>
      </c>
      <c r="AO12" s="8">
        <f>ROUND(AL12*'Premissas'!$B$10,2)</f>
        <v>8100.0</v>
      </c>
      <c r="AP12" s="8">
        <f>ROUND(AL12*'Premissas'!$B$31,2)</f>
        <v>2700.0</v>
      </c>
      <c r="AQ12" s="8">
        <f>ROUND(E12*'Ofertas'!$H$6,2)</f>
        <v>1800.0</v>
      </c>
      <c r="AR12" s="8">
        <f>ROUND(AL12-AN12-AO12-AP12-AQ12,2)</f>
        <v>19800.0</v>
      </c>
      <c r="AS12" s="10">
        <f>F12*'Ofertas'!$C$7</f>
        <v>40.0</v>
      </c>
      <c r="AT12" s="8">
        <f>ROUND(F12*'Ofertas'!$B$7,2)</f>
        <v>17500.0</v>
      </c>
      <c r="AU12" s="8">
        <f>AT12</f>
        <v>17500.0</v>
      </c>
      <c r="AV12" s="8">
        <f>ROUND(AS12*'Ofertas'!$D$7,2)</f>
        <v>4800.0</v>
      </c>
      <c r="AW12" s="8">
        <f>ROUND(AT12*'Premissas'!$B$10,2)</f>
        <v>2625.0</v>
      </c>
      <c r="AX12" s="8">
        <f>ROUND(AT12*'Premissas'!$B$31,2)</f>
        <v>875.0</v>
      </c>
      <c r="AY12" s="8">
        <f>ROUND(F12*'Ofertas'!$H$7,2)</f>
        <v>1050.0</v>
      </c>
      <c r="AZ12" s="8">
        <f>ROUND(AT12-AV12-AW12-AX12-AY12,2)</f>
        <v>8150.0</v>
      </c>
      <c r="BA12" s="10">
        <f>G12*'Ofertas'!$C$8</f>
        <v>20.0</v>
      </c>
      <c r="BB12" s="8">
        <f>ROUND(G12*'Ofertas'!$B$8,2)</f>
        <v>6000.0</v>
      </c>
      <c r="BC12" s="8">
        <f>BB12</f>
        <v>6000.0</v>
      </c>
      <c r="BD12" s="8">
        <f>ROUND(BA12*'Ofertas'!$D$8,2)</f>
        <v>3600.0</v>
      </c>
      <c r="BE12" s="8">
        <f>ROUND(BB12*'Premissas'!$B$10,2)</f>
        <v>900.0</v>
      </c>
      <c r="BF12" s="8">
        <f>ROUND(BB12*'Premissas'!$B$31,2)</f>
        <v>300.0</v>
      </c>
      <c r="BG12" s="8">
        <f>ROUND(G12*'Ofertas'!$H$8,2)</f>
        <v>200.0</v>
      </c>
      <c r="BH12" s="8">
        <f>ROUND(BB12-BD12-BE12-BF12-BG12,2)</f>
        <v>1000.0</v>
      </c>
      <c r="BI12" s="10">
        <f>U12+AC12+AK12+AS12+BA12</f>
        <v>448.0</v>
      </c>
      <c r="BJ12" s="11">
        <f>BI12/'Premissas'!$B$30</f>
        <v>2.8</v>
      </c>
      <c r="BK12" s="8">
        <f>IF(A12&lt;=12,'Premissas'!$B$24,'Premissas'!$B$25)</f>
        <v>37000</v>
      </c>
      <c r="BL12" s="8">
        <f>ROUND(J12+V12+AD12+AL12+AT12+BB12,2)</f>
        <v>497000.0</v>
      </c>
      <c r="BM12" s="8">
        <f>ROUND(L12+V12+AD12+AL12+AT12+BB12,2)</f>
        <v>471480.0</v>
      </c>
      <c r="BN12" s="8">
        <f>ROUND(T12+AB12+AJ12+AR12+AZ12+BH12,2)</f>
        <v>146629.08</v>
      </c>
      <c r="BO12" s="8">
        <f>ROUND(O12+W12+AE12+AM12+AU12+BC12,2)</f>
        <v>351390.1</v>
      </c>
      <c r="BP12" s="8">
        <f>ROUND(P12+Q12+R12+S12+X12+Y12+Z12+BK12+AF12+AG12+AH12+AI12+AN12+AO12+AP12+AQ12+AV12+AW12+AX12+AY12+BD12+BE12+BF12+BG12,2)</f>
        <v>322676.4</v>
      </c>
      <c r="BQ12" s="8">
        <f>ROUND(BO12-BP12,2)</f>
        <v>28713.7</v>
      </c>
      <c r="BR12" s="8">
        <f>ROUND(BR11+BQ12,2)</f>
        <v>-242241.5</v>
      </c>
      <c r="BS12" s="8">
        <f>ROUND(BN12-BK12,2)</f>
        <v>109629.08</v>
      </c>
      <c r="BT12" s="8">
        <f>ROUND(BT11+N12-O12+V12-W12+AL12-AM12,2)</f>
        <v>311305.48</v>
      </c>
      <c r="BU12" s="10">
        <f>IF(BR12&gt;=0,A12,999)</f>
        <v>999</v>
      </c>
      <c r="BV12" s="8">
        <f>ROUND(BR12+200000,2)</f>
        <v>-42241.5</v>
      </c>
    </row>
    <row r="13" spans="1:74">
      <c r="A13" s="10">
        <v>9</v>
      </c>
      <c r="B13" s="7">
        <v>3000</v>
      </c>
      <c r="C13" s="7">
        <v>2</v>
      </c>
      <c r="D13" s="7">
        <v>10</v>
      </c>
      <c r="E13" s="7">
        <v>4</v>
      </c>
      <c r="F13" s="7">
        <v>6</v>
      </c>
      <c r="G13" s="10">
        <f>MAX(0,F13-F12)</f>
        <v>1</v>
      </c>
      <c r="H13" s="10">
        <f>ROUNDUP(B13/'Premissas'!$B$14,0)</f>
        <v>150000</v>
      </c>
      <c r="I13" s="8">
        <f>ROUND(B13*'Premissas'!$B$5,2)</f>
        <v>87000.0</v>
      </c>
      <c r="J13" s="8">
        <f>ROUND(I13*'Premissas'!$B$6,2)</f>
        <v>435000.0</v>
      </c>
      <c r="K13" s="8">
        <f>ROUND(J13*'Premissas'!$B$7,2)</f>
        <v>34800.0</v>
      </c>
      <c r="L13" s="8">
        <f>ROUND(J13-K13,2)</f>
        <v>400200.0</v>
      </c>
      <c r="M13" s="8">
        <f>ROUND(L13*'Premissas'!$B$8+B13*(1-'Premissas'!$B$7)*'Premissas'!$B$9*'Premissas'!$B$6,2)</f>
        <v>53419.8</v>
      </c>
      <c r="N13" s="8">
        <f>ROUND(L13-M13,2)</f>
        <v>346780.2</v>
      </c>
      <c r="O13" s="8">
        <f>IF(A13&gt;'Premissas'!$B$20,INDEX($N$5:$N$28,MAX(1,A13-'Premissas'!$B$20)),0)</f>
        <v>254305.48</v>
      </c>
      <c r="P13" s="8">
        <f>ROUND(L13*'Premissas'!$B$10,2)</f>
        <v>60030.0</v>
      </c>
      <c r="Q13" s="8">
        <f>ROUND(L13*'Premissas'!$B$11,2)</f>
        <v>12006.0</v>
      </c>
      <c r="R13" s="8">
        <f>ROUND(B13*'Premissas'!$B$12*'Premissas'!$B$6,2)</f>
        <v>150000.0</v>
      </c>
      <c r="S13" s="8">
        <f>ROUND(B13*'Premissas'!$B$13*'Premissas'!$B$6,2)</f>
        <v>15000.0</v>
      </c>
      <c r="T13" s="8">
        <f>ROUND(L13-M13-P13-Q13-R13-S13,2)</f>
        <v>109744.2</v>
      </c>
      <c r="U13" s="10">
        <f>C13*'Premissas'!$B$16</f>
        <v>160</v>
      </c>
      <c r="V13" s="8">
        <f>ROUND(C13*'Premissas'!$B$15,2)</f>
        <v>60000.0</v>
      </c>
      <c r="W13" s="8">
        <f>ROUND(V13*'Premissas'!$B$19+V12*(1-'Premissas'!$B$19),2)</f>
        <v>60000.0</v>
      </c>
      <c r="X13" s="8">
        <f>ROUND(U13*'Premissas'!$B$17,2)</f>
        <v>28800.0</v>
      </c>
      <c r="Y13" s="8">
        <f>ROUND(V13*'Premissas'!$B$10,2)</f>
        <v>9000.0</v>
      </c>
      <c r="Z13" s="8">
        <f>ROUND(W13*'Premissas'!$B$18,2)</f>
        <v>3000.0</v>
      </c>
      <c r="AA13" s="8">
        <f>ROUND(V13*'Premissas'!$B$18,2)</f>
        <v>3000.0</v>
      </c>
      <c r="AB13" s="8">
        <f>ROUND(V13-X13-Y13-AA13,2)</f>
        <v>19200.0</v>
      </c>
      <c r="AC13" s="10">
        <f>D13*'Ofertas'!$C$5</f>
        <v>120.0</v>
      </c>
      <c r="AD13" s="8">
        <f>ROUND(D13*'Ofertas'!$B$5,2)</f>
        <v>45000.0</v>
      </c>
      <c r="AE13" s="8">
        <f>AD13</f>
        <v>45000.0</v>
      </c>
      <c r="AF13" s="8">
        <f>ROUND(AC13*'Ofertas'!$D$5,2)</f>
        <v>14400.0</v>
      </c>
      <c r="AG13" s="8">
        <f>ROUND(AD13*'Premissas'!$B$10,2)</f>
        <v>6750.0</v>
      </c>
      <c r="AH13" s="8">
        <f>ROUND(AD13*'Premissas'!$B$31,2)</f>
        <v>2250.0</v>
      </c>
      <c r="AI13" s="8">
        <f>ROUND(D13*'Ofertas'!$H$5,2)</f>
        <v>1600.0</v>
      </c>
      <c r="AJ13" s="8">
        <f>ROUND(AD13-AF13-AG13-AH13-AI13,2)</f>
        <v>20000.0</v>
      </c>
      <c r="AK13" s="10">
        <f>E13*'Ofertas'!$C$6</f>
        <v>160.0</v>
      </c>
      <c r="AL13" s="8">
        <f>ROUND(E13*'Ofertas'!$B$6,2)</f>
        <v>72000.0</v>
      </c>
      <c r="AM13" s="8">
        <f>ROUND(AL13*'Premissas'!$B$32+AL12*(1-'Premissas'!$B$32),2)</f>
        <v>63000.0</v>
      </c>
      <c r="AN13" s="8">
        <f>ROUND(AK13*'Ofertas'!$D$6,2)</f>
        <v>28800.0</v>
      </c>
      <c r="AO13" s="8">
        <f>ROUND(AL13*'Premissas'!$B$10,2)</f>
        <v>10800.0</v>
      </c>
      <c r="AP13" s="8">
        <f>ROUND(AL13*'Premissas'!$B$31,2)</f>
        <v>3600.0</v>
      </c>
      <c r="AQ13" s="8">
        <f>ROUND(E13*'Ofertas'!$H$6,2)</f>
        <v>2400.0</v>
      </c>
      <c r="AR13" s="8">
        <f>ROUND(AL13-AN13-AO13-AP13-AQ13,2)</f>
        <v>26400.0</v>
      </c>
      <c r="AS13" s="10">
        <f>F13*'Ofertas'!$C$7</f>
        <v>48.0</v>
      </c>
      <c r="AT13" s="8">
        <f>ROUND(F13*'Ofertas'!$B$7,2)</f>
        <v>21000.0</v>
      </c>
      <c r="AU13" s="8">
        <f>AT13</f>
        <v>21000.0</v>
      </c>
      <c r="AV13" s="8">
        <f>ROUND(AS13*'Ofertas'!$D$7,2)</f>
        <v>5760.0</v>
      </c>
      <c r="AW13" s="8">
        <f>ROUND(AT13*'Premissas'!$B$10,2)</f>
        <v>3150.0</v>
      </c>
      <c r="AX13" s="8">
        <f>ROUND(AT13*'Premissas'!$B$31,2)</f>
        <v>1050.0</v>
      </c>
      <c r="AY13" s="8">
        <f>ROUND(F13*'Ofertas'!$H$7,2)</f>
        <v>1260.0</v>
      </c>
      <c r="AZ13" s="8">
        <f>ROUND(AT13-AV13-AW13-AX13-AY13,2)</f>
        <v>9780.0</v>
      </c>
      <c r="BA13" s="10">
        <f>G13*'Ofertas'!$C$8</f>
        <v>20.0</v>
      </c>
      <c r="BB13" s="8">
        <f>ROUND(G13*'Ofertas'!$B$8,2)</f>
        <v>6000.0</v>
      </c>
      <c r="BC13" s="8">
        <f>BB13</f>
        <v>6000.0</v>
      </c>
      <c r="BD13" s="8">
        <f>ROUND(BA13*'Ofertas'!$D$8,2)</f>
        <v>3600.0</v>
      </c>
      <c r="BE13" s="8">
        <f>ROUND(BB13*'Premissas'!$B$10,2)</f>
        <v>900.0</v>
      </c>
      <c r="BF13" s="8">
        <f>ROUND(BB13*'Premissas'!$B$31,2)</f>
        <v>300.0</v>
      </c>
      <c r="BG13" s="8">
        <f>ROUND(G13*'Ofertas'!$H$8,2)</f>
        <v>200.0</v>
      </c>
      <c r="BH13" s="8">
        <f>ROUND(BB13-BD13-BE13-BF13-BG13,2)</f>
        <v>1000.0</v>
      </c>
      <c r="BI13" s="10">
        <f>U13+AC13+AK13+AS13+BA13</f>
        <v>508.0</v>
      </c>
      <c r="BJ13" s="11">
        <f>BI13/'Premissas'!$B$30</f>
        <v>3.175</v>
      </c>
      <c r="BK13" s="8">
        <f>IF(A13&lt;=12,'Premissas'!$B$24,'Premissas'!$B$25)</f>
        <v>37000</v>
      </c>
      <c r="BL13" s="8">
        <f>ROUND(J13+V13+AD13+AL13+AT13+BB13,2)</f>
        <v>639000.0</v>
      </c>
      <c r="BM13" s="8">
        <f>ROUND(L13+V13+AD13+AL13+AT13+BB13,2)</f>
        <v>604200.0</v>
      </c>
      <c r="BN13" s="8">
        <f>ROUND(T13+AB13+AJ13+AR13+AZ13+BH13,2)</f>
        <v>186124.2</v>
      </c>
      <c r="BO13" s="8">
        <f>ROUND(O13+W13+AE13+AM13+AU13+BC13,2)</f>
        <v>449305.48</v>
      </c>
      <c r="BP13" s="8">
        <f>ROUND(P13+Q13+R13+S13+X13+Y13+Z13+BK13+AF13+AG13+AH13+AI13+AN13+AO13+AP13+AQ13+AV13+AW13+AX13+AY13+BD13+BE13+BF13+BG13,2)</f>
        <v>401656.0</v>
      </c>
      <c r="BQ13" s="8">
        <f>ROUND(BO13-BP13,2)</f>
        <v>47649.48</v>
      </c>
      <c r="BR13" s="8">
        <f>ROUND(BR12+BQ13,2)</f>
        <v>-194592.02</v>
      </c>
      <c r="BS13" s="8">
        <f>ROUND(BN13-BK13,2)</f>
        <v>149124.2</v>
      </c>
      <c r="BT13" s="8">
        <f>ROUND(BT12+N13-O13+V13-W13+AL13-AM13,2)</f>
        <v>412780.2</v>
      </c>
      <c r="BU13" s="10">
        <f>IF(BR13&gt;=0,A13,999)</f>
        <v>999</v>
      </c>
      <c r="BV13" s="8">
        <f>ROUND(BR13+200000,2)</f>
        <v>5407.98</v>
      </c>
    </row>
    <row r="14" spans="1:74">
      <c r="A14" s="10">
        <v>10</v>
      </c>
      <c r="B14" s="7">
        <v>3500</v>
      </c>
      <c r="C14" s="7">
        <v>3</v>
      </c>
      <c r="D14" s="7">
        <v>12</v>
      </c>
      <c r="E14" s="7">
        <v>4</v>
      </c>
      <c r="F14" s="7">
        <v>6</v>
      </c>
      <c r="G14" s="10">
        <f>MAX(0,F14-F13)</f>
        <v>0</v>
      </c>
      <c r="H14" s="10">
        <f>ROUNDUP(B14/'Premissas'!$B$14,0)</f>
        <v>175000</v>
      </c>
      <c r="I14" s="8">
        <f>ROUND(B14*'Premissas'!$B$5,2)</f>
        <v>101500.0</v>
      </c>
      <c r="J14" s="8">
        <f>ROUND(I14*'Premissas'!$B$6,2)</f>
        <v>507500.0</v>
      </c>
      <c r="K14" s="8">
        <f>ROUND(J14*'Premissas'!$B$7,2)</f>
        <v>40600.0</v>
      </c>
      <c r="L14" s="8">
        <f>ROUND(J14-K14,2)</f>
        <v>466900.0</v>
      </c>
      <c r="M14" s="8">
        <f>ROUND(L14*'Premissas'!$B$8+B14*(1-'Premissas'!$B$7)*'Premissas'!$B$9*'Premissas'!$B$6,2)</f>
        <v>62323.1</v>
      </c>
      <c r="N14" s="8">
        <f>ROUND(L14-M14,2)</f>
        <v>404576.9</v>
      </c>
      <c r="O14" s="8">
        <f>IF(A14&gt;'Premissas'!$B$20,INDEX($N$5:$N$28,MAX(1,A14-'Premissas'!$B$20)),0)</f>
        <v>346780.2</v>
      </c>
      <c r="P14" s="8">
        <f>ROUND(L14*'Premissas'!$B$10,2)</f>
        <v>70035.0</v>
      </c>
      <c r="Q14" s="8">
        <f>ROUND(L14*'Premissas'!$B$11,2)</f>
        <v>14007.0</v>
      </c>
      <c r="R14" s="8">
        <f>ROUND(B14*'Premissas'!$B$12*'Premissas'!$B$6,2)</f>
        <v>175000.0</v>
      </c>
      <c r="S14" s="8">
        <f>ROUND(B14*'Premissas'!$B$13*'Premissas'!$B$6,2)</f>
        <v>17500.0</v>
      </c>
      <c r="T14" s="8">
        <f>ROUND(L14-M14-P14-Q14-R14-S14,2)</f>
        <v>128034.9</v>
      </c>
      <c r="U14" s="10">
        <f>C14*'Premissas'!$B$16</f>
        <v>240</v>
      </c>
      <c r="V14" s="8">
        <f>ROUND(C14*'Premissas'!$B$15,2)</f>
        <v>90000.0</v>
      </c>
      <c r="W14" s="8">
        <f>ROUND(V14*'Premissas'!$B$19+V13*(1-'Premissas'!$B$19),2)</f>
        <v>75000.0</v>
      </c>
      <c r="X14" s="8">
        <f>ROUND(U14*'Premissas'!$B$17,2)</f>
        <v>43200.0</v>
      </c>
      <c r="Y14" s="8">
        <f>ROUND(V14*'Premissas'!$B$10,2)</f>
        <v>13500.0</v>
      </c>
      <c r="Z14" s="8">
        <f>ROUND(W14*'Premissas'!$B$18,2)</f>
        <v>3750.0</v>
      </c>
      <c r="AA14" s="8">
        <f>ROUND(V14*'Premissas'!$B$18,2)</f>
        <v>4500.0</v>
      </c>
      <c r="AB14" s="8">
        <f>ROUND(V14-X14-Y14-AA14,2)</f>
        <v>28800.0</v>
      </c>
      <c r="AC14" s="10">
        <f>D14*'Ofertas'!$C$5</f>
        <v>144.0</v>
      </c>
      <c r="AD14" s="8">
        <f>ROUND(D14*'Ofertas'!$B$5,2)</f>
        <v>54000.0</v>
      </c>
      <c r="AE14" s="8">
        <f>AD14</f>
        <v>54000.0</v>
      </c>
      <c r="AF14" s="8">
        <f>ROUND(AC14*'Ofertas'!$D$5,2)</f>
        <v>17280.0</v>
      </c>
      <c r="AG14" s="8">
        <f>ROUND(AD14*'Premissas'!$B$10,2)</f>
        <v>8100.0</v>
      </c>
      <c r="AH14" s="8">
        <f>ROUND(AD14*'Premissas'!$B$31,2)</f>
        <v>2700.0</v>
      </c>
      <c r="AI14" s="8">
        <f>ROUND(D14*'Ofertas'!$H$5,2)</f>
        <v>1920.0</v>
      </c>
      <c r="AJ14" s="8">
        <f>ROUND(AD14-AF14-AG14-AH14-AI14,2)</f>
        <v>24000.0</v>
      </c>
      <c r="AK14" s="10">
        <f>E14*'Ofertas'!$C$6</f>
        <v>160.0</v>
      </c>
      <c r="AL14" s="8">
        <f>ROUND(E14*'Ofertas'!$B$6,2)</f>
        <v>72000.0</v>
      </c>
      <c r="AM14" s="8">
        <f>ROUND(AL14*'Premissas'!$B$32+AL13*(1-'Premissas'!$B$32),2)</f>
        <v>72000.0</v>
      </c>
      <c r="AN14" s="8">
        <f>ROUND(AK14*'Ofertas'!$D$6,2)</f>
        <v>28800.0</v>
      </c>
      <c r="AO14" s="8">
        <f>ROUND(AL14*'Premissas'!$B$10,2)</f>
        <v>10800.0</v>
      </c>
      <c r="AP14" s="8">
        <f>ROUND(AL14*'Premissas'!$B$31,2)</f>
        <v>3600.0</v>
      </c>
      <c r="AQ14" s="8">
        <f>ROUND(E14*'Ofertas'!$H$6,2)</f>
        <v>2400.0</v>
      </c>
      <c r="AR14" s="8">
        <f>ROUND(AL14-AN14-AO14-AP14-AQ14,2)</f>
        <v>26400.0</v>
      </c>
      <c r="AS14" s="10">
        <f>F14*'Ofertas'!$C$7</f>
        <v>48.0</v>
      </c>
      <c r="AT14" s="8">
        <f>ROUND(F14*'Ofertas'!$B$7,2)</f>
        <v>21000.0</v>
      </c>
      <c r="AU14" s="8">
        <f>AT14</f>
        <v>21000.0</v>
      </c>
      <c r="AV14" s="8">
        <f>ROUND(AS14*'Ofertas'!$D$7,2)</f>
        <v>5760.0</v>
      </c>
      <c r="AW14" s="8">
        <f>ROUND(AT14*'Premissas'!$B$10,2)</f>
        <v>3150.0</v>
      </c>
      <c r="AX14" s="8">
        <f>ROUND(AT14*'Premissas'!$B$31,2)</f>
        <v>1050.0</v>
      </c>
      <c r="AY14" s="8">
        <f>ROUND(F14*'Ofertas'!$H$7,2)</f>
        <v>1260.0</v>
      </c>
      <c r="AZ14" s="8">
        <f>ROUND(AT14-AV14-AW14-AX14-AY14,2)</f>
        <v>9780.0</v>
      </c>
      <c r="BA14" s="10">
        <f>G14*'Ofertas'!$C$8</f>
        <v>0.0</v>
      </c>
      <c r="BB14" s="8">
        <f>ROUND(G14*'Ofertas'!$B$8,2)</f>
        <v>0.0</v>
      </c>
      <c r="BC14" s="8">
        <f>BB14</f>
        <v>0.0</v>
      </c>
      <c r="BD14" s="8">
        <f>ROUND(BA14*'Ofertas'!$D$8,2)</f>
        <v>0.0</v>
      </c>
      <c r="BE14" s="8">
        <f>ROUND(BB14*'Premissas'!$B$10,2)</f>
        <v>0.0</v>
      </c>
      <c r="BF14" s="8">
        <f>ROUND(BB14*'Premissas'!$B$31,2)</f>
        <v>0.0</v>
      </c>
      <c r="BG14" s="8">
        <f>ROUND(G14*'Ofertas'!$H$8,2)</f>
        <v>0.0</v>
      </c>
      <c r="BH14" s="8">
        <f>ROUND(BB14-BD14-BE14-BF14-BG14,2)</f>
        <v>0.0</v>
      </c>
      <c r="BI14" s="10">
        <f>U14+AC14+AK14+AS14+BA14</f>
        <v>592.0</v>
      </c>
      <c r="BJ14" s="11">
        <f>BI14/'Premissas'!$B$30</f>
        <v>3.7</v>
      </c>
      <c r="BK14" s="8">
        <f>IF(A14&lt;=12,'Premissas'!$B$24,'Premissas'!$B$25)</f>
        <v>37000</v>
      </c>
      <c r="BL14" s="8">
        <f>ROUND(J14+V14+AD14+AL14+AT14+BB14,2)</f>
        <v>744500.0</v>
      </c>
      <c r="BM14" s="8">
        <f>ROUND(L14+V14+AD14+AL14+AT14+BB14,2)</f>
        <v>703900.0</v>
      </c>
      <c r="BN14" s="8">
        <f>ROUND(T14+AB14+AJ14+AR14+AZ14+BH14,2)</f>
        <v>217014.9</v>
      </c>
      <c r="BO14" s="8">
        <f>ROUND(O14+W14+AE14+AM14+AU14+BC14,2)</f>
        <v>568780.2</v>
      </c>
      <c r="BP14" s="8">
        <f>ROUND(P14+Q14+R14+S14+X14+Y14+Z14+BK14+AF14+AG14+AH14+AI14+AN14+AO14+AP14+AQ14+AV14+AW14+AX14+AY14+BD14+BE14+BF14+BG14,2)</f>
        <v>460812.0</v>
      </c>
      <c r="BQ14" s="8">
        <f>ROUND(BO14-BP14,2)</f>
        <v>107968.2</v>
      </c>
      <c r="BR14" s="8">
        <f>ROUND(BR13+BQ14,2)</f>
        <v>-86623.82</v>
      </c>
      <c r="BS14" s="8">
        <f>ROUND(BN14-BK14,2)</f>
        <v>180014.9</v>
      </c>
      <c r="BT14" s="8">
        <f>ROUND(BT13+N14-O14+V14-W14+AL14-AM14,2)</f>
        <v>485576.9</v>
      </c>
      <c r="BU14" s="10">
        <f>IF(BR14&gt;=0,A14,999)</f>
        <v>999</v>
      </c>
      <c r="BV14" s="8">
        <f>ROUND(BR14+200000,2)</f>
        <v>113376.18</v>
      </c>
    </row>
    <row r="15" spans="1:74">
      <c r="A15" s="10">
        <v>11</v>
      </c>
      <c r="B15" s="7">
        <v>4000</v>
      </c>
      <c r="C15" s="7">
        <v>3</v>
      </c>
      <c r="D15" s="7">
        <v>12</v>
      </c>
      <c r="E15" s="7">
        <v>4</v>
      </c>
      <c r="F15" s="7">
        <v>6</v>
      </c>
      <c r="G15" s="10">
        <f>MAX(0,F15-F14)</f>
        <v>0</v>
      </c>
      <c r="H15" s="10">
        <f>ROUNDUP(B15/'Premissas'!$B$14,0)</f>
        <v>200000</v>
      </c>
      <c r="I15" s="8">
        <f>ROUND(B15*'Premissas'!$B$5,2)</f>
        <v>116000.0</v>
      </c>
      <c r="J15" s="8">
        <f>ROUND(I15*'Premissas'!$B$6,2)</f>
        <v>580000.0</v>
      </c>
      <c r="K15" s="8">
        <f>ROUND(J15*'Premissas'!$B$7,2)</f>
        <v>46400.0</v>
      </c>
      <c r="L15" s="8">
        <f>ROUND(J15-K15,2)</f>
        <v>533600.0</v>
      </c>
      <c r="M15" s="8">
        <f>ROUND(L15*'Premissas'!$B$8+B15*(1-'Premissas'!$B$7)*'Premissas'!$B$9*'Premissas'!$B$6,2)</f>
        <v>71226.4</v>
      </c>
      <c r="N15" s="8">
        <f>ROUND(L15-M15,2)</f>
        <v>462373.6</v>
      </c>
      <c r="O15" s="8">
        <f>IF(A15&gt;'Premissas'!$B$20,INDEX($N$5:$N$28,MAX(1,A15-'Premissas'!$B$20)),0)</f>
        <v>404576.9</v>
      </c>
      <c r="P15" s="8">
        <f>ROUND(L15*'Premissas'!$B$10,2)</f>
        <v>80040.0</v>
      </c>
      <c r="Q15" s="8">
        <f>ROUND(L15*'Premissas'!$B$11,2)</f>
        <v>16008.0</v>
      </c>
      <c r="R15" s="8">
        <f>ROUND(B15*'Premissas'!$B$12*'Premissas'!$B$6,2)</f>
        <v>200000.0</v>
      </c>
      <c r="S15" s="8">
        <f>ROUND(B15*'Premissas'!$B$13*'Premissas'!$B$6,2)</f>
        <v>20000.0</v>
      </c>
      <c r="T15" s="8">
        <f>ROUND(L15-M15-P15-Q15-R15-S15,2)</f>
        <v>146325.6</v>
      </c>
      <c r="U15" s="10">
        <f>C15*'Premissas'!$B$16</f>
        <v>240</v>
      </c>
      <c r="V15" s="8">
        <f>ROUND(C15*'Premissas'!$B$15,2)</f>
        <v>90000.0</v>
      </c>
      <c r="W15" s="8">
        <f>ROUND(V15*'Premissas'!$B$19+V14*(1-'Premissas'!$B$19),2)</f>
        <v>90000.0</v>
      </c>
      <c r="X15" s="8">
        <f>ROUND(U15*'Premissas'!$B$17,2)</f>
        <v>43200.0</v>
      </c>
      <c r="Y15" s="8">
        <f>ROUND(V15*'Premissas'!$B$10,2)</f>
        <v>13500.0</v>
      </c>
      <c r="Z15" s="8">
        <f>ROUND(W15*'Premissas'!$B$18,2)</f>
        <v>4500.0</v>
      </c>
      <c r="AA15" s="8">
        <f>ROUND(V15*'Premissas'!$B$18,2)</f>
        <v>4500.0</v>
      </c>
      <c r="AB15" s="8">
        <f>ROUND(V15-X15-Y15-AA15,2)</f>
        <v>28800.0</v>
      </c>
      <c r="AC15" s="10">
        <f>D15*'Ofertas'!$C$5</f>
        <v>144.0</v>
      </c>
      <c r="AD15" s="8">
        <f>ROUND(D15*'Ofertas'!$B$5,2)</f>
        <v>54000.0</v>
      </c>
      <c r="AE15" s="8">
        <f>AD15</f>
        <v>54000.0</v>
      </c>
      <c r="AF15" s="8">
        <f>ROUND(AC15*'Ofertas'!$D$5,2)</f>
        <v>17280.0</v>
      </c>
      <c r="AG15" s="8">
        <f>ROUND(AD15*'Premissas'!$B$10,2)</f>
        <v>8100.0</v>
      </c>
      <c r="AH15" s="8">
        <f>ROUND(AD15*'Premissas'!$B$31,2)</f>
        <v>2700.0</v>
      </c>
      <c r="AI15" s="8">
        <f>ROUND(D15*'Ofertas'!$H$5,2)</f>
        <v>1920.0</v>
      </c>
      <c r="AJ15" s="8">
        <f>ROUND(AD15-AF15-AG15-AH15-AI15,2)</f>
        <v>24000.0</v>
      </c>
      <c r="AK15" s="10">
        <f>E15*'Ofertas'!$C$6</f>
        <v>160.0</v>
      </c>
      <c r="AL15" s="8">
        <f>ROUND(E15*'Ofertas'!$B$6,2)</f>
        <v>72000.0</v>
      </c>
      <c r="AM15" s="8">
        <f>ROUND(AL15*'Premissas'!$B$32+AL14*(1-'Premissas'!$B$32),2)</f>
        <v>72000.0</v>
      </c>
      <c r="AN15" s="8">
        <f>ROUND(AK15*'Ofertas'!$D$6,2)</f>
        <v>28800.0</v>
      </c>
      <c r="AO15" s="8">
        <f>ROUND(AL15*'Premissas'!$B$10,2)</f>
        <v>10800.0</v>
      </c>
      <c r="AP15" s="8">
        <f>ROUND(AL15*'Premissas'!$B$31,2)</f>
        <v>3600.0</v>
      </c>
      <c r="AQ15" s="8">
        <f>ROUND(E15*'Ofertas'!$H$6,2)</f>
        <v>2400.0</v>
      </c>
      <c r="AR15" s="8">
        <f>ROUND(AL15-AN15-AO15-AP15-AQ15,2)</f>
        <v>26400.0</v>
      </c>
      <c r="AS15" s="10">
        <f>F15*'Ofertas'!$C$7</f>
        <v>48.0</v>
      </c>
      <c r="AT15" s="8">
        <f>ROUND(F15*'Ofertas'!$B$7,2)</f>
        <v>21000.0</v>
      </c>
      <c r="AU15" s="8">
        <f>AT15</f>
        <v>21000.0</v>
      </c>
      <c r="AV15" s="8">
        <f>ROUND(AS15*'Ofertas'!$D$7,2)</f>
        <v>5760.0</v>
      </c>
      <c r="AW15" s="8">
        <f>ROUND(AT15*'Premissas'!$B$10,2)</f>
        <v>3150.0</v>
      </c>
      <c r="AX15" s="8">
        <f>ROUND(AT15*'Premissas'!$B$31,2)</f>
        <v>1050.0</v>
      </c>
      <c r="AY15" s="8">
        <f>ROUND(F15*'Ofertas'!$H$7,2)</f>
        <v>1260.0</v>
      </c>
      <c r="AZ15" s="8">
        <f>ROUND(AT15-AV15-AW15-AX15-AY15,2)</f>
        <v>9780.0</v>
      </c>
      <c r="BA15" s="10">
        <f>G15*'Ofertas'!$C$8</f>
        <v>0.0</v>
      </c>
      <c r="BB15" s="8">
        <f>ROUND(G15*'Ofertas'!$B$8,2)</f>
        <v>0.0</v>
      </c>
      <c r="BC15" s="8">
        <f>BB15</f>
        <v>0.0</v>
      </c>
      <c r="BD15" s="8">
        <f>ROUND(BA15*'Ofertas'!$D$8,2)</f>
        <v>0.0</v>
      </c>
      <c r="BE15" s="8">
        <f>ROUND(BB15*'Premissas'!$B$10,2)</f>
        <v>0.0</v>
      </c>
      <c r="BF15" s="8">
        <f>ROUND(BB15*'Premissas'!$B$31,2)</f>
        <v>0.0</v>
      </c>
      <c r="BG15" s="8">
        <f>ROUND(G15*'Ofertas'!$H$8,2)</f>
        <v>0.0</v>
      </c>
      <c r="BH15" s="8">
        <f>ROUND(BB15-BD15-BE15-BF15-BG15,2)</f>
        <v>0.0</v>
      </c>
      <c r="BI15" s="10">
        <f>U15+AC15+AK15+AS15+BA15</f>
        <v>592.0</v>
      </c>
      <c r="BJ15" s="11">
        <f>BI15/'Premissas'!$B$30</f>
        <v>3.7</v>
      </c>
      <c r="BK15" s="8">
        <f>IF(A15&lt;=12,'Premissas'!$B$24,'Premissas'!$B$25)</f>
        <v>37000</v>
      </c>
      <c r="BL15" s="8">
        <f>ROUND(J15+V15+AD15+AL15+AT15+BB15,2)</f>
        <v>817000.0</v>
      </c>
      <c r="BM15" s="8">
        <f>ROUND(L15+V15+AD15+AL15+AT15+BB15,2)</f>
        <v>770600.0</v>
      </c>
      <c r="BN15" s="8">
        <f>ROUND(T15+AB15+AJ15+AR15+AZ15+BH15,2)</f>
        <v>235305.6</v>
      </c>
      <c r="BO15" s="8">
        <f>ROUND(O15+W15+AE15+AM15+AU15+BC15,2)</f>
        <v>641576.9</v>
      </c>
      <c r="BP15" s="8">
        <f>ROUND(P15+Q15+R15+S15+X15+Y15+Z15+BK15+AF15+AG15+AH15+AI15+AN15+AO15+AP15+AQ15+AV15+AW15+AX15+AY15+BD15+BE15+BF15+BG15,2)</f>
        <v>501068.0</v>
      </c>
      <c r="BQ15" s="8">
        <f>ROUND(BO15-BP15,2)</f>
        <v>140508.9</v>
      </c>
      <c r="BR15" s="8">
        <f>ROUND(BR14+BQ15,2)</f>
        <v>53885.08</v>
      </c>
      <c r="BS15" s="8">
        <f>ROUND(BN15-BK15,2)</f>
        <v>198305.6</v>
      </c>
      <c r="BT15" s="8">
        <f>ROUND(BT14+N15-O15+V15-W15+AL15-AM15,2)</f>
        <v>543373.6</v>
      </c>
      <c r="BU15" s="10">
        <f>IF(BR15&gt;=0,A15,999)</f>
        <v>11</v>
      </c>
      <c r="BV15" s="8">
        <f>ROUND(BR15+200000,2)</f>
        <v>253885.08</v>
      </c>
    </row>
    <row r="16" spans="1:74">
      <c r="A16" s="10">
        <v>12</v>
      </c>
      <c r="B16" s="7">
        <v>4500</v>
      </c>
      <c r="C16" s="7">
        <v>3</v>
      </c>
      <c r="D16" s="7">
        <v>12</v>
      </c>
      <c r="E16" s="7">
        <v>4</v>
      </c>
      <c r="F16" s="7">
        <v>6</v>
      </c>
      <c r="G16" s="10">
        <f>MAX(0,F16-F15)</f>
        <v>0</v>
      </c>
      <c r="H16" s="10">
        <f>ROUNDUP(B16/'Premissas'!$B$14,0)</f>
        <v>225000</v>
      </c>
      <c r="I16" s="8">
        <f>ROUND(B16*'Premissas'!$B$5,2)</f>
        <v>130500.0</v>
      </c>
      <c r="J16" s="8">
        <f>ROUND(I16*'Premissas'!$B$6,2)</f>
        <v>652500.0</v>
      </c>
      <c r="K16" s="8">
        <f>ROUND(J16*'Premissas'!$B$7,2)</f>
        <v>52200.0</v>
      </c>
      <c r="L16" s="8">
        <f>ROUND(J16-K16,2)</f>
        <v>600300.0</v>
      </c>
      <c r="M16" s="8">
        <f>ROUND(L16*'Premissas'!$B$8+B16*(1-'Premissas'!$B$7)*'Premissas'!$B$9*'Premissas'!$B$6,2)</f>
        <v>80129.7</v>
      </c>
      <c r="N16" s="8">
        <f>ROUND(L16-M16,2)</f>
        <v>520170.3</v>
      </c>
      <c r="O16" s="8">
        <f>IF(A16&gt;'Premissas'!$B$20,INDEX($N$5:$N$28,MAX(1,A16-'Premissas'!$B$20)),0)</f>
        <v>462373.6</v>
      </c>
      <c r="P16" s="8">
        <f>ROUND(L16*'Premissas'!$B$10,2)</f>
        <v>90045.0</v>
      </c>
      <c r="Q16" s="8">
        <f>ROUND(L16*'Premissas'!$B$11,2)</f>
        <v>18009.0</v>
      </c>
      <c r="R16" s="8">
        <f>ROUND(B16*'Premissas'!$B$12*'Premissas'!$B$6,2)</f>
        <v>225000.0</v>
      </c>
      <c r="S16" s="8">
        <f>ROUND(B16*'Premissas'!$B$13*'Premissas'!$B$6,2)</f>
        <v>22500.0</v>
      </c>
      <c r="T16" s="8">
        <f>ROUND(L16-M16-P16-Q16-R16-S16,2)</f>
        <v>164616.3</v>
      </c>
      <c r="U16" s="10">
        <f>C16*'Premissas'!$B$16</f>
        <v>240</v>
      </c>
      <c r="V16" s="8">
        <f>ROUND(C16*'Premissas'!$B$15,2)</f>
        <v>90000.0</v>
      </c>
      <c r="W16" s="8">
        <f>ROUND(V16*'Premissas'!$B$19+V15*(1-'Premissas'!$B$19),2)</f>
        <v>90000.0</v>
      </c>
      <c r="X16" s="8">
        <f>ROUND(U16*'Premissas'!$B$17,2)</f>
        <v>43200.0</v>
      </c>
      <c r="Y16" s="8">
        <f>ROUND(V16*'Premissas'!$B$10,2)</f>
        <v>13500.0</v>
      </c>
      <c r="Z16" s="8">
        <f>ROUND(W16*'Premissas'!$B$18,2)</f>
        <v>4500.0</v>
      </c>
      <c r="AA16" s="8">
        <f>ROUND(V16*'Premissas'!$B$18,2)</f>
        <v>4500.0</v>
      </c>
      <c r="AB16" s="8">
        <f>ROUND(V16-X16-Y16-AA16,2)</f>
        <v>28800.0</v>
      </c>
      <c r="AC16" s="10">
        <f>D16*'Ofertas'!$C$5</f>
        <v>144.0</v>
      </c>
      <c r="AD16" s="8">
        <f>ROUND(D16*'Ofertas'!$B$5,2)</f>
        <v>54000.0</v>
      </c>
      <c r="AE16" s="8">
        <f>AD16</f>
        <v>54000.0</v>
      </c>
      <c r="AF16" s="8">
        <f>ROUND(AC16*'Ofertas'!$D$5,2)</f>
        <v>17280.0</v>
      </c>
      <c r="AG16" s="8">
        <f>ROUND(AD16*'Premissas'!$B$10,2)</f>
        <v>8100.0</v>
      </c>
      <c r="AH16" s="8">
        <f>ROUND(AD16*'Premissas'!$B$31,2)</f>
        <v>2700.0</v>
      </c>
      <c r="AI16" s="8">
        <f>ROUND(D16*'Ofertas'!$H$5,2)</f>
        <v>1920.0</v>
      </c>
      <c r="AJ16" s="8">
        <f>ROUND(AD16-AF16-AG16-AH16-AI16,2)</f>
        <v>24000.0</v>
      </c>
      <c r="AK16" s="10">
        <f>E16*'Ofertas'!$C$6</f>
        <v>160.0</v>
      </c>
      <c r="AL16" s="8">
        <f>ROUND(E16*'Ofertas'!$B$6,2)</f>
        <v>72000.0</v>
      </c>
      <c r="AM16" s="8">
        <f>ROUND(AL16*'Premissas'!$B$32+AL15*(1-'Premissas'!$B$32),2)</f>
        <v>72000.0</v>
      </c>
      <c r="AN16" s="8">
        <f>ROUND(AK16*'Ofertas'!$D$6,2)</f>
        <v>28800.0</v>
      </c>
      <c r="AO16" s="8">
        <f>ROUND(AL16*'Premissas'!$B$10,2)</f>
        <v>10800.0</v>
      </c>
      <c r="AP16" s="8">
        <f>ROUND(AL16*'Premissas'!$B$31,2)</f>
        <v>3600.0</v>
      </c>
      <c r="AQ16" s="8">
        <f>ROUND(E16*'Ofertas'!$H$6,2)</f>
        <v>2400.0</v>
      </c>
      <c r="AR16" s="8">
        <f>ROUND(AL16-AN16-AO16-AP16-AQ16,2)</f>
        <v>26400.0</v>
      </c>
      <c r="AS16" s="10">
        <f>F16*'Ofertas'!$C$7</f>
        <v>48.0</v>
      </c>
      <c r="AT16" s="8">
        <f>ROUND(F16*'Ofertas'!$B$7,2)</f>
        <v>21000.0</v>
      </c>
      <c r="AU16" s="8">
        <f>AT16</f>
        <v>21000.0</v>
      </c>
      <c r="AV16" s="8">
        <f>ROUND(AS16*'Ofertas'!$D$7,2)</f>
        <v>5760.0</v>
      </c>
      <c r="AW16" s="8">
        <f>ROUND(AT16*'Premissas'!$B$10,2)</f>
        <v>3150.0</v>
      </c>
      <c r="AX16" s="8">
        <f>ROUND(AT16*'Premissas'!$B$31,2)</f>
        <v>1050.0</v>
      </c>
      <c r="AY16" s="8">
        <f>ROUND(F16*'Ofertas'!$H$7,2)</f>
        <v>1260.0</v>
      </c>
      <c r="AZ16" s="8">
        <f>ROUND(AT16-AV16-AW16-AX16-AY16,2)</f>
        <v>9780.0</v>
      </c>
      <c r="BA16" s="10">
        <f>G16*'Ofertas'!$C$8</f>
        <v>0.0</v>
      </c>
      <c r="BB16" s="8">
        <f>ROUND(G16*'Ofertas'!$B$8,2)</f>
        <v>0.0</v>
      </c>
      <c r="BC16" s="8">
        <f>BB16</f>
        <v>0.0</v>
      </c>
      <c r="BD16" s="8">
        <f>ROUND(BA16*'Ofertas'!$D$8,2)</f>
        <v>0.0</v>
      </c>
      <c r="BE16" s="8">
        <f>ROUND(BB16*'Premissas'!$B$10,2)</f>
        <v>0.0</v>
      </c>
      <c r="BF16" s="8">
        <f>ROUND(BB16*'Premissas'!$B$31,2)</f>
        <v>0.0</v>
      </c>
      <c r="BG16" s="8">
        <f>ROUND(G16*'Ofertas'!$H$8,2)</f>
        <v>0.0</v>
      </c>
      <c r="BH16" s="8">
        <f>ROUND(BB16-BD16-BE16-BF16-BG16,2)</f>
        <v>0.0</v>
      </c>
      <c r="BI16" s="10">
        <f>U16+AC16+AK16+AS16+BA16</f>
        <v>592.0</v>
      </c>
      <c r="BJ16" s="11">
        <f>BI16/'Premissas'!$B$30</f>
        <v>3.7</v>
      </c>
      <c r="BK16" s="8">
        <f>IF(A16&lt;=12,'Premissas'!$B$24,'Premissas'!$B$25)</f>
        <v>37000</v>
      </c>
      <c r="BL16" s="8">
        <f>ROUND(J16+V16+AD16+AL16+AT16+BB16,2)</f>
        <v>889500.0</v>
      </c>
      <c r="BM16" s="8">
        <f>ROUND(L16+V16+AD16+AL16+AT16+BB16,2)</f>
        <v>837300.0</v>
      </c>
      <c r="BN16" s="8">
        <f>ROUND(T16+AB16+AJ16+AR16+AZ16+BH16,2)</f>
        <v>253596.3</v>
      </c>
      <c r="BO16" s="8">
        <f>ROUND(O16+W16+AE16+AM16+AU16+BC16,2)</f>
        <v>699373.6</v>
      </c>
      <c r="BP16" s="8">
        <f>ROUND(P16+Q16+R16+S16+X16+Y16+Z16+BK16+AF16+AG16+AH16+AI16+AN16+AO16+AP16+AQ16+AV16+AW16+AX16+AY16+BD16+BE16+BF16+BG16,2)</f>
        <v>540574.0</v>
      </c>
      <c r="BQ16" s="8">
        <f>ROUND(BO16-BP16,2)</f>
        <v>158799.6</v>
      </c>
      <c r="BR16" s="8">
        <f>ROUND(BR15+BQ16,2)</f>
        <v>212684.68</v>
      </c>
      <c r="BS16" s="8">
        <f>ROUND(BN16-BK16,2)</f>
        <v>216596.3</v>
      </c>
      <c r="BT16" s="8">
        <f>ROUND(BT15+N16-O16+V16-W16+AL16-AM16,2)</f>
        <v>601170.3</v>
      </c>
      <c r="BU16" s="10">
        <f>IF(BR16&gt;=0,A16,999)</f>
        <v>12</v>
      </c>
      <c r="BV16" s="8">
        <f>ROUND(BR16+200000,2)</f>
        <v>412684.68</v>
      </c>
    </row>
    <row r="17" spans="1:74">
      <c r="A17" s="10">
        <v>13</v>
      </c>
      <c r="B17" s="7">
        <v>5000</v>
      </c>
      <c r="C17" s="7">
        <v>3</v>
      </c>
      <c r="D17" s="7">
        <v>15</v>
      </c>
      <c r="E17" s="7">
        <v>5</v>
      </c>
      <c r="F17" s="7">
        <v>10</v>
      </c>
      <c r="G17" s="10">
        <f>MAX(0,F17-F16)</f>
        <v>4</v>
      </c>
      <c r="H17" s="10">
        <f>ROUNDUP(B17/'Premissas'!$B$14,0)</f>
        <v>250000</v>
      </c>
      <c r="I17" s="8">
        <f>ROUND(B17*'Premissas'!$B$5,2)</f>
        <v>145000.0</v>
      </c>
      <c r="J17" s="8">
        <f>ROUND(I17*'Premissas'!$B$6,2)</f>
        <v>725000.0</v>
      </c>
      <c r="K17" s="8">
        <f>ROUND(J17*'Premissas'!$B$7,2)</f>
        <v>58000.0</v>
      </c>
      <c r="L17" s="8">
        <f>ROUND(J17-K17,2)</f>
        <v>667000.0</v>
      </c>
      <c r="M17" s="8">
        <f>ROUND(L17*'Premissas'!$B$8+B17*(1-'Premissas'!$B$7)*'Premissas'!$B$9*'Premissas'!$B$6,2)</f>
        <v>89033.0</v>
      </c>
      <c r="N17" s="8">
        <f>ROUND(L17-M17,2)</f>
        <v>577967.0</v>
      </c>
      <c r="O17" s="8">
        <f>IF(A17&gt;'Premissas'!$B$20,INDEX($N$5:$N$28,MAX(1,A17-'Premissas'!$B$20)),0)</f>
        <v>520170.3</v>
      </c>
      <c r="P17" s="8">
        <f>ROUND(L17*'Premissas'!$B$10,2)</f>
        <v>100050.0</v>
      </c>
      <c r="Q17" s="8">
        <f>ROUND(L17*'Premissas'!$B$11,2)</f>
        <v>20010.0</v>
      </c>
      <c r="R17" s="8">
        <f>ROUND(B17*'Premissas'!$B$12*'Premissas'!$B$6,2)</f>
        <v>250000.0</v>
      </c>
      <c r="S17" s="8">
        <f>ROUND(B17*'Premissas'!$B$13*'Premissas'!$B$6,2)</f>
        <v>25000.0</v>
      </c>
      <c r="T17" s="8">
        <f>ROUND(L17-M17-P17-Q17-R17-S17,2)</f>
        <v>182907.0</v>
      </c>
      <c r="U17" s="10">
        <f>C17*'Premissas'!$B$16</f>
        <v>240</v>
      </c>
      <c r="V17" s="8">
        <f>ROUND(C17*'Premissas'!$B$15,2)</f>
        <v>90000.0</v>
      </c>
      <c r="W17" s="8">
        <f>ROUND(V17*'Premissas'!$B$19+V16*(1-'Premissas'!$B$19),2)</f>
        <v>90000.0</v>
      </c>
      <c r="X17" s="8">
        <f>ROUND(U17*'Premissas'!$B$17,2)</f>
        <v>43200.0</v>
      </c>
      <c r="Y17" s="8">
        <f>ROUND(V17*'Premissas'!$B$10,2)</f>
        <v>13500.0</v>
      </c>
      <c r="Z17" s="8">
        <f>ROUND(W17*'Premissas'!$B$18,2)</f>
        <v>4500.0</v>
      </c>
      <c r="AA17" s="8">
        <f>ROUND(V17*'Premissas'!$B$18,2)</f>
        <v>4500.0</v>
      </c>
      <c r="AB17" s="8">
        <f>ROUND(V17-X17-Y17-AA17,2)</f>
        <v>28800.0</v>
      </c>
      <c r="AC17" s="10">
        <f>D17*'Ofertas'!$C$5</f>
        <v>180.0</v>
      </c>
      <c r="AD17" s="8">
        <f>ROUND(D17*'Ofertas'!$B$5,2)</f>
        <v>67500.0</v>
      </c>
      <c r="AE17" s="8">
        <f>AD17</f>
        <v>67500.0</v>
      </c>
      <c r="AF17" s="8">
        <f>ROUND(AC17*'Ofertas'!$D$5,2)</f>
        <v>21600.0</v>
      </c>
      <c r="AG17" s="8">
        <f>ROUND(AD17*'Premissas'!$B$10,2)</f>
        <v>10125.0</v>
      </c>
      <c r="AH17" s="8">
        <f>ROUND(AD17*'Premissas'!$B$31,2)</f>
        <v>3375.0</v>
      </c>
      <c r="AI17" s="8">
        <f>ROUND(D17*'Ofertas'!$H$5,2)</f>
        <v>2400.0</v>
      </c>
      <c r="AJ17" s="8">
        <f>ROUND(AD17-AF17-AG17-AH17-AI17,2)</f>
        <v>30000.0</v>
      </c>
      <c r="AK17" s="10">
        <f>E17*'Ofertas'!$C$6</f>
        <v>200.0</v>
      </c>
      <c r="AL17" s="8">
        <f>ROUND(E17*'Ofertas'!$B$6,2)</f>
        <v>90000.0</v>
      </c>
      <c r="AM17" s="8">
        <f>ROUND(AL17*'Premissas'!$B$32+AL16*(1-'Premissas'!$B$32),2)</f>
        <v>81000.0</v>
      </c>
      <c r="AN17" s="8">
        <f>ROUND(AK17*'Ofertas'!$D$6,2)</f>
        <v>36000.0</v>
      </c>
      <c r="AO17" s="8">
        <f>ROUND(AL17*'Premissas'!$B$10,2)</f>
        <v>13500.0</v>
      </c>
      <c r="AP17" s="8">
        <f>ROUND(AL17*'Premissas'!$B$31,2)</f>
        <v>4500.0</v>
      </c>
      <c r="AQ17" s="8">
        <f>ROUND(E17*'Ofertas'!$H$6,2)</f>
        <v>3000.0</v>
      </c>
      <c r="AR17" s="8">
        <f>ROUND(AL17-AN17-AO17-AP17-AQ17,2)</f>
        <v>33000.0</v>
      </c>
      <c r="AS17" s="10">
        <f>F17*'Ofertas'!$C$7</f>
        <v>80.0</v>
      </c>
      <c r="AT17" s="8">
        <f>ROUND(F17*'Ofertas'!$B$7,2)</f>
        <v>35000.0</v>
      </c>
      <c r="AU17" s="8">
        <f>AT17</f>
        <v>35000.0</v>
      </c>
      <c r="AV17" s="8">
        <f>ROUND(AS17*'Ofertas'!$D$7,2)</f>
        <v>9600.0</v>
      </c>
      <c r="AW17" s="8">
        <f>ROUND(AT17*'Premissas'!$B$10,2)</f>
        <v>5250.0</v>
      </c>
      <c r="AX17" s="8">
        <f>ROUND(AT17*'Premissas'!$B$31,2)</f>
        <v>1750.0</v>
      </c>
      <c r="AY17" s="8">
        <f>ROUND(F17*'Ofertas'!$H$7,2)</f>
        <v>2100.0</v>
      </c>
      <c r="AZ17" s="8">
        <f>ROUND(AT17-AV17-AW17-AX17-AY17,2)</f>
        <v>16300.0</v>
      </c>
      <c r="BA17" s="10">
        <f>G17*'Ofertas'!$C$8</f>
        <v>80.0</v>
      </c>
      <c r="BB17" s="8">
        <f>ROUND(G17*'Ofertas'!$B$8,2)</f>
        <v>24000.0</v>
      </c>
      <c r="BC17" s="8">
        <f>BB17</f>
        <v>24000.0</v>
      </c>
      <c r="BD17" s="8">
        <f>ROUND(BA17*'Ofertas'!$D$8,2)</f>
        <v>14400.0</v>
      </c>
      <c r="BE17" s="8">
        <f>ROUND(BB17*'Premissas'!$B$10,2)</f>
        <v>3600.0</v>
      </c>
      <c r="BF17" s="8">
        <f>ROUND(BB17*'Premissas'!$B$31,2)</f>
        <v>1200.0</v>
      </c>
      <c r="BG17" s="8">
        <f>ROUND(G17*'Ofertas'!$H$8,2)</f>
        <v>800.0</v>
      </c>
      <c r="BH17" s="8">
        <f>ROUND(BB17-BD17-BE17-BF17-BG17,2)</f>
        <v>4000.0</v>
      </c>
      <c r="BI17" s="10">
        <f>U17+AC17+AK17+AS17+BA17</f>
        <v>780.0</v>
      </c>
      <c r="BJ17" s="11">
        <f>BI17/'Premissas'!$B$30</f>
        <v>4.875</v>
      </c>
      <c r="BK17" s="8">
        <f>IF(A17&lt;=12,'Premissas'!$B$24,'Premissas'!$B$25)</f>
        <v>42000</v>
      </c>
      <c r="BL17" s="8">
        <f>ROUND(J17+V17+AD17+AL17+AT17+BB17,2)</f>
        <v>1031500.0</v>
      </c>
      <c r="BM17" s="8">
        <f>ROUND(L17+V17+AD17+AL17+AT17+BB17,2)</f>
        <v>973500.0</v>
      </c>
      <c r="BN17" s="8">
        <f>ROUND(T17+AB17+AJ17+AR17+AZ17+BH17,2)</f>
        <v>295007.0</v>
      </c>
      <c r="BO17" s="8">
        <f>ROUND(O17+W17+AE17+AM17+AU17+BC17,2)</f>
        <v>817670.3</v>
      </c>
      <c r="BP17" s="8">
        <f>ROUND(P17+Q17+R17+S17+X17+Y17+Z17+BK17+AF17+AG17+AH17+AI17+AN17+AO17+AP17+AQ17+AV17+AW17+AX17+AY17+BD17+BE17+BF17+BG17,2)</f>
        <v>631460.0</v>
      </c>
      <c r="BQ17" s="8">
        <f>ROUND(BO17-BP17,2)</f>
        <v>186210.3</v>
      </c>
      <c r="BR17" s="8">
        <f>ROUND(BR16+BQ17,2)</f>
        <v>398894.98</v>
      </c>
      <c r="BS17" s="8">
        <f>ROUND(BN17-BK17,2)</f>
        <v>253007.0</v>
      </c>
      <c r="BT17" s="8">
        <f>ROUND(BT16+N17-O17+V17-W17+AL17-AM17,2)</f>
        <v>667967.0</v>
      </c>
      <c r="BU17" s="10">
        <f>IF(BR17&gt;=0,A17,999)</f>
        <v>13</v>
      </c>
      <c r="BV17" s="8">
        <f>ROUND(BR17+200000,2)</f>
        <v>598894.98</v>
      </c>
    </row>
    <row r="18" spans="1:74">
      <c r="A18" s="10">
        <v>14</v>
      </c>
      <c r="B18" s="7">
        <v>5000</v>
      </c>
      <c r="C18" s="7">
        <v>3</v>
      </c>
      <c r="D18" s="7">
        <v>15</v>
      </c>
      <c r="E18" s="7">
        <v>5</v>
      </c>
      <c r="F18" s="7">
        <v>10</v>
      </c>
      <c r="G18" s="10">
        <f>MAX(0,F18-F17)</f>
        <v>0</v>
      </c>
      <c r="H18" s="10">
        <f>ROUNDUP(B18/'Premissas'!$B$14,0)</f>
        <v>250000</v>
      </c>
      <c r="I18" s="8">
        <f>ROUND(B18*'Premissas'!$B$5,2)</f>
        <v>145000.0</v>
      </c>
      <c r="J18" s="8">
        <f>ROUND(I18*'Premissas'!$B$6,2)</f>
        <v>725000.0</v>
      </c>
      <c r="K18" s="8">
        <f>ROUND(J18*'Premissas'!$B$7,2)</f>
        <v>58000.0</v>
      </c>
      <c r="L18" s="8">
        <f>ROUND(J18-K18,2)</f>
        <v>667000.0</v>
      </c>
      <c r="M18" s="8">
        <f>ROUND(L18*'Premissas'!$B$8+B18*(1-'Premissas'!$B$7)*'Premissas'!$B$9*'Premissas'!$B$6,2)</f>
        <v>89033.0</v>
      </c>
      <c r="N18" s="8">
        <f>ROUND(L18-M18,2)</f>
        <v>577967.0</v>
      </c>
      <c r="O18" s="8">
        <f>IF(A18&gt;'Premissas'!$B$20,INDEX($N$5:$N$28,MAX(1,A18-'Premissas'!$B$20)),0)</f>
        <v>577967.0</v>
      </c>
      <c r="P18" s="8">
        <f>ROUND(L18*'Premissas'!$B$10,2)</f>
        <v>100050.0</v>
      </c>
      <c r="Q18" s="8">
        <f>ROUND(L18*'Premissas'!$B$11,2)</f>
        <v>20010.0</v>
      </c>
      <c r="R18" s="8">
        <f>ROUND(B18*'Premissas'!$B$12*'Premissas'!$B$6,2)</f>
        <v>250000.0</v>
      </c>
      <c r="S18" s="8">
        <f>ROUND(B18*'Premissas'!$B$13*'Premissas'!$B$6,2)</f>
        <v>25000.0</v>
      </c>
      <c r="T18" s="8">
        <f>ROUND(L18-M18-P18-Q18-R18-S18,2)</f>
        <v>182907.0</v>
      </c>
      <c r="U18" s="10">
        <f>C18*'Premissas'!$B$16</f>
        <v>240</v>
      </c>
      <c r="V18" s="8">
        <f>ROUND(C18*'Premissas'!$B$15,2)</f>
        <v>90000.0</v>
      </c>
      <c r="W18" s="8">
        <f>ROUND(V18*'Premissas'!$B$19+V17*(1-'Premissas'!$B$19),2)</f>
        <v>90000.0</v>
      </c>
      <c r="X18" s="8">
        <f>ROUND(U18*'Premissas'!$B$17,2)</f>
        <v>43200.0</v>
      </c>
      <c r="Y18" s="8">
        <f>ROUND(V18*'Premissas'!$B$10,2)</f>
        <v>13500.0</v>
      </c>
      <c r="Z18" s="8">
        <f>ROUND(W18*'Premissas'!$B$18,2)</f>
        <v>4500.0</v>
      </c>
      <c r="AA18" s="8">
        <f>ROUND(V18*'Premissas'!$B$18,2)</f>
        <v>4500.0</v>
      </c>
      <c r="AB18" s="8">
        <f>ROUND(V18-X18-Y18-AA18,2)</f>
        <v>28800.0</v>
      </c>
      <c r="AC18" s="10">
        <f>D18*'Ofertas'!$C$5</f>
        <v>180.0</v>
      </c>
      <c r="AD18" s="8">
        <f>ROUND(D18*'Ofertas'!$B$5,2)</f>
        <v>67500.0</v>
      </c>
      <c r="AE18" s="8">
        <f>AD18</f>
        <v>67500.0</v>
      </c>
      <c r="AF18" s="8">
        <f>ROUND(AC18*'Ofertas'!$D$5,2)</f>
        <v>21600.0</v>
      </c>
      <c r="AG18" s="8">
        <f>ROUND(AD18*'Premissas'!$B$10,2)</f>
        <v>10125.0</v>
      </c>
      <c r="AH18" s="8">
        <f>ROUND(AD18*'Premissas'!$B$31,2)</f>
        <v>3375.0</v>
      </c>
      <c r="AI18" s="8">
        <f>ROUND(D18*'Ofertas'!$H$5,2)</f>
        <v>2400.0</v>
      </c>
      <c r="AJ18" s="8">
        <f>ROUND(AD18-AF18-AG18-AH18-AI18,2)</f>
        <v>30000.0</v>
      </c>
      <c r="AK18" s="10">
        <f>E18*'Ofertas'!$C$6</f>
        <v>200.0</v>
      </c>
      <c r="AL18" s="8">
        <f>ROUND(E18*'Ofertas'!$B$6,2)</f>
        <v>90000.0</v>
      </c>
      <c r="AM18" s="8">
        <f>ROUND(AL18*'Premissas'!$B$32+AL17*(1-'Premissas'!$B$32),2)</f>
        <v>90000.0</v>
      </c>
      <c r="AN18" s="8">
        <f>ROUND(AK18*'Ofertas'!$D$6,2)</f>
        <v>36000.0</v>
      </c>
      <c r="AO18" s="8">
        <f>ROUND(AL18*'Premissas'!$B$10,2)</f>
        <v>13500.0</v>
      </c>
      <c r="AP18" s="8">
        <f>ROUND(AL18*'Premissas'!$B$31,2)</f>
        <v>4500.0</v>
      </c>
      <c r="AQ18" s="8">
        <f>ROUND(E18*'Ofertas'!$H$6,2)</f>
        <v>3000.0</v>
      </c>
      <c r="AR18" s="8">
        <f>ROUND(AL18-AN18-AO18-AP18-AQ18,2)</f>
        <v>33000.0</v>
      </c>
      <c r="AS18" s="10">
        <f>F18*'Ofertas'!$C$7</f>
        <v>80.0</v>
      </c>
      <c r="AT18" s="8">
        <f>ROUND(F18*'Ofertas'!$B$7,2)</f>
        <v>35000.0</v>
      </c>
      <c r="AU18" s="8">
        <f>AT18</f>
        <v>35000.0</v>
      </c>
      <c r="AV18" s="8">
        <f>ROUND(AS18*'Ofertas'!$D$7,2)</f>
        <v>9600.0</v>
      </c>
      <c r="AW18" s="8">
        <f>ROUND(AT18*'Premissas'!$B$10,2)</f>
        <v>5250.0</v>
      </c>
      <c r="AX18" s="8">
        <f>ROUND(AT18*'Premissas'!$B$31,2)</f>
        <v>1750.0</v>
      </c>
      <c r="AY18" s="8">
        <f>ROUND(F18*'Ofertas'!$H$7,2)</f>
        <v>2100.0</v>
      </c>
      <c r="AZ18" s="8">
        <f>ROUND(AT18-AV18-AW18-AX18-AY18,2)</f>
        <v>16300.0</v>
      </c>
      <c r="BA18" s="10">
        <f>G18*'Ofertas'!$C$8</f>
        <v>0.0</v>
      </c>
      <c r="BB18" s="8">
        <f>ROUND(G18*'Ofertas'!$B$8,2)</f>
        <v>0.0</v>
      </c>
      <c r="BC18" s="8">
        <f>BB18</f>
        <v>0.0</v>
      </c>
      <c r="BD18" s="8">
        <f>ROUND(BA18*'Ofertas'!$D$8,2)</f>
        <v>0.0</v>
      </c>
      <c r="BE18" s="8">
        <f>ROUND(BB18*'Premissas'!$B$10,2)</f>
        <v>0.0</v>
      </c>
      <c r="BF18" s="8">
        <f>ROUND(BB18*'Premissas'!$B$31,2)</f>
        <v>0.0</v>
      </c>
      <c r="BG18" s="8">
        <f>ROUND(G18*'Ofertas'!$H$8,2)</f>
        <v>0.0</v>
      </c>
      <c r="BH18" s="8">
        <f>ROUND(BB18-BD18-BE18-BF18-BG18,2)</f>
        <v>0.0</v>
      </c>
      <c r="BI18" s="10">
        <f>U18+AC18+AK18+AS18+BA18</f>
        <v>700.0</v>
      </c>
      <c r="BJ18" s="11">
        <f>BI18/'Premissas'!$B$30</f>
        <v>4.375</v>
      </c>
      <c r="BK18" s="8">
        <f>IF(A18&lt;=12,'Premissas'!$B$24,'Premissas'!$B$25)</f>
        <v>42000</v>
      </c>
      <c r="BL18" s="8">
        <f>ROUND(J18+V18+AD18+AL18+AT18+BB18,2)</f>
        <v>1007500.0</v>
      </c>
      <c r="BM18" s="8">
        <f>ROUND(L18+V18+AD18+AL18+AT18+BB18,2)</f>
        <v>949500.0</v>
      </c>
      <c r="BN18" s="8">
        <f>ROUND(T18+AB18+AJ18+AR18+AZ18+BH18,2)</f>
        <v>291007.0</v>
      </c>
      <c r="BO18" s="8">
        <f>ROUND(O18+W18+AE18+AM18+AU18+BC18,2)</f>
        <v>860467.0</v>
      </c>
      <c r="BP18" s="8">
        <f>ROUND(P18+Q18+R18+S18+X18+Y18+Z18+BK18+AF18+AG18+AH18+AI18+AN18+AO18+AP18+AQ18+AV18+AW18+AX18+AY18+BD18+BE18+BF18+BG18,2)</f>
        <v>611460.0</v>
      </c>
      <c r="BQ18" s="8">
        <f>ROUND(BO18-BP18,2)</f>
        <v>249007.0</v>
      </c>
      <c r="BR18" s="8">
        <f>ROUND(BR17+BQ18,2)</f>
        <v>647901.98</v>
      </c>
      <c r="BS18" s="8">
        <f>ROUND(BN18-BK18,2)</f>
        <v>249007.0</v>
      </c>
      <c r="BT18" s="8">
        <f>ROUND(BT17+N18-O18+V18-W18+AL18-AM18,2)</f>
        <v>667967.0</v>
      </c>
      <c r="BU18" s="10">
        <f>IF(BR18&gt;=0,A18,999)</f>
        <v>14</v>
      </c>
      <c r="BV18" s="8">
        <f>ROUND(BR18+200000,2)</f>
        <v>847901.98</v>
      </c>
    </row>
    <row r="19" spans="1:74">
      <c r="A19" s="10">
        <v>15</v>
      </c>
      <c r="B19" s="7">
        <v>5000</v>
      </c>
      <c r="C19" s="7">
        <v>3</v>
      </c>
      <c r="D19" s="7">
        <v>15</v>
      </c>
      <c r="E19" s="7">
        <v>5</v>
      </c>
      <c r="F19" s="7">
        <v>10</v>
      </c>
      <c r="G19" s="10">
        <f>MAX(0,F19-F18)</f>
        <v>0</v>
      </c>
      <c r="H19" s="10">
        <f>ROUNDUP(B19/'Premissas'!$B$14,0)</f>
        <v>250000</v>
      </c>
      <c r="I19" s="8">
        <f>ROUND(B19*'Premissas'!$B$5,2)</f>
        <v>145000.0</v>
      </c>
      <c r="J19" s="8">
        <f>ROUND(I19*'Premissas'!$B$6,2)</f>
        <v>725000.0</v>
      </c>
      <c r="K19" s="8">
        <f>ROUND(J19*'Premissas'!$B$7,2)</f>
        <v>58000.0</v>
      </c>
      <c r="L19" s="8">
        <f>ROUND(J19-K19,2)</f>
        <v>667000.0</v>
      </c>
      <c r="M19" s="8">
        <f>ROUND(L19*'Premissas'!$B$8+B19*(1-'Premissas'!$B$7)*'Premissas'!$B$9*'Premissas'!$B$6,2)</f>
        <v>89033.0</v>
      </c>
      <c r="N19" s="8">
        <f>ROUND(L19-M19,2)</f>
        <v>577967.0</v>
      </c>
      <c r="O19" s="8">
        <f>IF(A19&gt;'Premissas'!$B$20,INDEX($N$5:$N$28,MAX(1,A19-'Premissas'!$B$20)),0)</f>
        <v>577967.0</v>
      </c>
      <c r="P19" s="8">
        <f>ROUND(L19*'Premissas'!$B$10,2)</f>
        <v>100050.0</v>
      </c>
      <c r="Q19" s="8">
        <f>ROUND(L19*'Premissas'!$B$11,2)</f>
        <v>20010.0</v>
      </c>
      <c r="R19" s="8">
        <f>ROUND(B19*'Premissas'!$B$12*'Premissas'!$B$6,2)</f>
        <v>250000.0</v>
      </c>
      <c r="S19" s="8">
        <f>ROUND(B19*'Premissas'!$B$13*'Premissas'!$B$6,2)</f>
        <v>25000.0</v>
      </c>
      <c r="T19" s="8">
        <f>ROUND(L19-M19-P19-Q19-R19-S19,2)</f>
        <v>182907.0</v>
      </c>
      <c r="U19" s="10">
        <f>C19*'Premissas'!$B$16</f>
        <v>240</v>
      </c>
      <c r="V19" s="8">
        <f>ROUND(C19*'Premissas'!$B$15,2)</f>
        <v>90000.0</v>
      </c>
      <c r="W19" s="8">
        <f>ROUND(V19*'Premissas'!$B$19+V18*(1-'Premissas'!$B$19),2)</f>
        <v>90000.0</v>
      </c>
      <c r="X19" s="8">
        <f>ROUND(U19*'Premissas'!$B$17,2)</f>
        <v>43200.0</v>
      </c>
      <c r="Y19" s="8">
        <f>ROUND(V19*'Premissas'!$B$10,2)</f>
        <v>13500.0</v>
      </c>
      <c r="Z19" s="8">
        <f>ROUND(W19*'Premissas'!$B$18,2)</f>
        <v>4500.0</v>
      </c>
      <c r="AA19" s="8">
        <f>ROUND(V19*'Premissas'!$B$18,2)</f>
        <v>4500.0</v>
      </c>
      <c r="AB19" s="8">
        <f>ROUND(V19-X19-Y19-AA19,2)</f>
        <v>28800.0</v>
      </c>
      <c r="AC19" s="10">
        <f>D19*'Ofertas'!$C$5</f>
        <v>180.0</v>
      </c>
      <c r="AD19" s="8">
        <f>ROUND(D19*'Ofertas'!$B$5,2)</f>
        <v>67500.0</v>
      </c>
      <c r="AE19" s="8">
        <f>AD19</f>
        <v>67500.0</v>
      </c>
      <c r="AF19" s="8">
        <f>ROUND(AC19*'Ofertas'!$D$5,2)</f>
        <v>21600.0</v>
      </c>
      <c r="AG19" s="8">
        <f>ROUND(AD19*'Premissas'!$B$10,2)</f>
        <v>10125.0</v>
      </c>
      <c r="AH19" s="8">
        <f>ROUND(AD19*'Premissas'!$B$31,2)</f>
        <v>3375.0</v>
      </c>
      <c r="AI19" s="8">
        <f>ROUND(D19*'Ofertas'!$H$5,2)</f>
        <v>2400.0</v>
      </c>
      <c r="AJ19" s="8">
        <f>ROUND(AD19-AF19-AG19-AH19-AI19,2)</f>
        <v>30000.0</v>
      </c>
      <c r="AK19" s="10">
        <f>E19*'Ofertas'!$C$6</f>
        <v>200.0</v>
      </c>
      <c r="AL19" s="8">
        <f>ROUND(E19*'Ofertas'!$B$6,2)</f>
        <v>90000.0</v>
      </c>
      <c r="AM19" s="8">
        <f>ROUND(AL19*'Premissas'!$B$32+AL18*(1-'Premissas'!$B$32),2)</f>
        <v>90000.0</v>
      </c>
      <c r="AN19" s="8">
        <f>ROUND(AK19*'Ofertas'!$D$6,2)</f>
        <v>36000.0</v>
      </c>
      <c r="AO19" s="8">
        <f>ROUND(AL19*'Premissas'!$B$10,2)</f>
        <v>13500.0</v>
      </c>
      <c r="AP19" s="8">
        <f>ROUND(AL19*'Premissas'!$B$31,2)</f>
        <v>4500.0</v>
      </c>
      <c r="AQ19" s="8">
        <f>ROUND(E19*'Ofertas'!$H$6,2)</f>
        <v>3000.0</v>
      </c>
      <c r="AR19" s="8">
        <f>ROUND(AL19-AN19-AO19-AP19-AQ19,2)</f>
        <v>33000.0</v>
      </c>
      <c r="AS19" s="10">
        <f>F19*'Ofertas'!$C$7</f>
        <v>80.0</v>
      </c>
      <c r="AT19" s="8">
        <f>ROUND(F19*'Ofertas'!$B$7,2)</f>
        <v>35000.0</v>
      </c>
      <c r="AU19" s="8">
        <f>AT19</f>
        <v>35000.0</v>
      </c>
      <c r="AV19" s="8">
        <f>ROUND(AS19*'Ofertas'!$D$7,2)</f>
        <v>9600.0</v>
      </c>
      <c r="AW19" s="8">
        <f>ROUND(AT19*'Premissas'!$B$10,2)</f>
        <v>5250.0</v>
      </c>
      <c r="AX19" s="8">
        <f>ROUND(AT19*'Premissas'!$B$31,2)</f>
        <v>1750.0</v>
      </c>
      <c r="AY19" s="8">
        <f>ROUND(F19*'Ofertas'!$H$7,2)</f>
        <v>2100.0</v>
      </c>
      <c r="AZ19" s="8">
        <f>ROUND(AT19-AV19-AW19-AX19-AY19,2)</f>
        <v>16300.0</v>
      </c>
      <c r="BA19" s="10">
        <f>G19*'Ofertas'!$C$8</f>
        <v>0.0</v>
      </c>
      <c r="BB19" s="8">
        <f>ROUND(G19*'Ofertas'!$B$8,2)</f>
        <v>0.0</v>
      </c>
      <c r="BC19" s="8">
        <f>BB19</f>
        <v>0.0</v>
      </c>
      <c r="BD19" s="8">
        <f>ROUND(BA19*'Ofertas'!$D$8,2)</f>
        <v>0.0</v>
      </c>
      <c r="BE19" s="8">
        <f>ROUND(BB19*'Premissas'!$B$10,2)</f>
        <v>0.0</v>
      </c>
      <c r="BF19" s="8">
        <f>ROUND(BB19*'Premissas'!$B$31,2)</f>
        <v>0.0</v>
      </c>
      <c r="BG19" s="8">
        <f>ROUND(G19*'Ofertas'!$H$8,2)</f>
        <v>0.0</v>
      </c>
      <c r="BH19" s="8">
        <f>ROUND(BB19-BD19-BE19-BF19-BG19,2)</f>
        <v>0.0</v>
      </c>
      <c r="BI19" s="10">
        <f>U19+AC19+AK19+AS19+BA19</f>
        <v>700.0</v>
      </c>
      <c r="BJ19" s="11">
        <f>BI19/'Premissas'!$B$30</f>
        <v>4.375</v>
      </c>
      <c r="BK19" s="8">
        <f>IF(A19&lt;=12,'Premissas'!$B$24,'Premissas'!$B$25)</f>
        <v>42000</v>
      </c>
      <c r="BL19" s="8">
        <f>ROUND(J19+V19+AD19+AL19+AT19+BB19,2)</f>
        <v>1007500.0</v>
      </c>
      <c r="BM19" s="8">
        <f>ROUND(L19+V19+AD19+AL19+AT19+BB19,2)</f>
        <v>949500.0</v>
      </c>
      <c r="BN19" s="8">
        <f>ROUND(T19+AB19+AJ19+AR19+AZ19+BH19,2)</f>
        <v>291007.0</v>
      </c>
      <c r="BO19" s="8">
        <f>ROUND(O19+W19+AE19+AM19+AU19+BC19,2)</f>
        <v>860467.0</v>
      </c>
      <c r="BP19" s="8">
        <f>ROUND(P19+Q19+R19+S19+X19+Y19+Z19+BK19+AF19+AG19+AH19+AI19+AN19+AO19+AP19+AQ19+AV19+AW19+AX19+AY19+BD19+BE19+BF19+BG19,2)</f>
        <v>611460.0</v>
      </c>
      <c r="BQ19" s="8">
        <f>ROUND(BO19-BP19,2)</f>
        <v>249007.0</v>
      </c>
      <c r="BR19" s="8">
        <f>ROUND(BR18+BQ19,2)</f>
        <v>896908.98</v>
      </c>
      <c r="BS19" s="8">
        <f>ROUND(BN19-BK19,2)</f>
        <v>249007.0</v>
      </c>
      <c r="BT19" s="8">
        <f>ROUND(BT18+N19-O19+V19-W19+AL19-AM19,2)</f>
        <v>667967.0</v>
      </c>
      <c r="BU19" s="10">
        <f>IF(BR19&gt;=0,A19,999)</f>
        <v>15</v>
      </c>
      <c r="BV19" s="8">
        <f>ROUND(BR19+200000,2)</f>
        <v>1096908.98</v>
      </c>
    </row>
    <row r="20" spans="1:74">
      <c r="A20" s="10">
        <v>16</v>
      </c>
      <c r="B20" s="7">
        <v>5000</v>
      </c>
      <c r="C20" s="7">
        <v>3</v>
      </c>
      <c r="D20" s="7">
        <v>15</v>
      </c>
      <c r="E20" s="7">
        <v>5</v>
      </c>
      <c r="F20" s="7">
        <v>10</v>
      </c>
      <c r="G20" s="10">
        <f>MAX(0,F20-F19)</f>
        <v>0</v>
      </c>
      <c r="H20" s="10">
        <f>ROUNDUP(B20/'Premissas'!$B$14,0)</f>
        <v>250000</v>
      </c>
      <c r="I20" s="8">
        <f>ROUND(B20*'Premissas'!$B$5,2)</f>
        <v>145000.0</v>
      </c>
      <c r="J20" s="8">
        <f>ROUND(I20*'Premissas'!$B$6,2)</f>
        <v>725000.0</v>
      </c>
      <c r="K20" s="8">
        <f>ROUND(J20*'Premissas'!$B$7,2)</f>
        <v>58000.0</v>
      </c>
      <c r="L20" s="8">
        <f>ROUND(J20-K20,2)</f>
        <v>667000.0</v>
      </c>
      <c r="M20" s="8">
        <f>ROUND(L20*'Premissas'!$B$8+B20*(1-'Premissas'!$B$7)*'Premissas'!$B$9*'Premissas'!$B$6,2)</f>
        <v>89033.0</v>
      </c>
      <c r="N20" s="8">
        <f>ROUND(L20-M20,2)</f>
        <v>577967.0</v>
      </c>
      <c r="O20" s="8">
        <f>IF(A20&gt;'Premissas'!$B$20,INDEX($N$5:$N$28,MAX(1,A20-'Premissas'!$B$20)),0)</f>
        <v>577967.0</v>
      </c>
      <c r="P20" s="8">
        <f>ROUND(L20*'Premissas'!$B$10,2)</f>
        <v>100050.0</v>
      </c>
      <c r="Q20" s="8">
        <f>ROUND(L20*'Premissas'!$B$11,2)</f>
        <v>20010.0</v>
      </c>
      <c r="R20" s="8">
        <f>ROUND(B20*'Premissas'!$B$12*'Premissas'!$B$6,2)</f>
        <v>250000.0</v>
      </c>
      <c r="S20" s="8">
        <f>ROUND(B20*'Premissas'!$B$13*'Premissas'!$B$6,2)</f>
        <v>25000.0</v>
      </c>
      <c r="T20" s="8">
        <f>ROUND(L20-M20-P20-Q20-R20-S20,2)</f>
        <v>182907.0</v>
      </c>
      <c r="U20" s="10">
        <f>C20*'Premissas'!$B$16</f>
        <v>240</v>
      </c>
      <c r="V20" s="8">
        <f>ROUND(C20*'Premissas'!$B$15,2)</f>
        <v>90000.0</v>
      </c>
      <c r="W20" s="8">
        <f>ROUND(V20*'Premissas'!$B$19+V19*(1-'Premissas'!$B$19),2)</f>
        <v>90000.0</v>
      </c>
      <c r="X20" s="8">
        <f>ROUND(U20*'Premissas'!$B$17,2)</f>
        <v>43200.0</v>
      </c>
      <c r="Y20" s="8">
        <f>ROUND(V20*'Premissas'!$B$10,2)</f>
        <v>13500.0</v>
      </c>
      <c r="Z20" s="8">
        <f>ROUND(W20*'Premissas'!$B$18,2)</f>
        <v>4500.0</v>
      </c>
      <c r="AA20" s="8">
        <f>ROUND(V20*'Premissas'!$B$18,2)</f>
        <v>4500.0</v>
      </c>
      <c r="AB20" s="8">
        <f>ROUND(V20-X20-Y20-AA20,2)</f>
        <v>28800.0</v>
      </c>
      <c r="AC20" s="10">
        <f>D20*'Ofertas'!$C$5</f>
        <v>180.0</v>
      </c>
      <c r="AD20" s="8">
        <f>ROUND(D20*'Ofertas'!$B$5,2)</f>
        <v>67500.0</v>
      </c>
      <c r="AE20" s="8">
        <f>AD20</f>
        <v>67500.0</v>
      </c>
      <c r="AF20" s="8">
        <f>ROUND(AC20*'Ofertas'!$D$5,2)</f>
        <v>21600.0</v>
      </c>
      <c r="AG20" s="8">
        <f>ROUND(AD20*'Premissas'!$B$10,2)</f>
        <v>10125.0</v>
      </c>
      <c r="AH20" s="8">
        <f>ROUND(AD20*'Premissas'!$B$31,2)</f>
        <v>3375.0</v>
      </c>
      <c r="AI20" s="8">
        <f>ROUND(D20*'Ofertas'!$H$5,2)</f>
        <v>2400.0</v>
      </c>
      <c r="AJ20" s="8">
        <f>ROUND(AD20-AF20-AG20-AH20-AI20,2)</f>
        <v>30000.0</v>
      </c>
      <c r="AK20" s="10">
        <f>E20*'Ofertas'!$C$6</f>
        <v>200.0</v>
      </c>
      <c r="AL20" s="8">
        <f>ROUND(E20*'Ofertas'!$B$6,2)</f>
        <v>90000.0</v>
      </c>
      <c r="AM20" s="8">
        <f>ROUND(AL20*'Premissas'!$B$32+AL19*(1-'Premissas'!$B$32),2)</f>
        <v>90000.0</v>
      </c>
      <c r="AN20" s="8">
        <f>ROUND(AK20*'Ofertas'!$D$6,2)</f>
        <v>36000.0</v>
      </c>
      <c r="AO20" s="8">
        <f>ROUND(AL20*'Premissas'!$B$10,2)</f>
        <v>13500.0</v>
      </c>
      <c r="AP20" s="8">
        <f>ROUND(AL20*'Premissas'!$B$31,2)</f>
        <v>4500.0</v>
      </c>
      <c r="AQ20" s="8">
        <f>ROUND(E20*'Ofertas'!$H$6,2)</f>
        <v>3000.0</v>
      </c>
      <c r="AR20" s="8">
        <f>ROUND(AL20-AN20-AO20-AP20-AQ20,2)</f>
        <v>33000.0</v>
      </c>
      <c r="AS20" s="10">
        <f>F20*'Ofertas'!$C$7</f>
        <v>80.0</v>
      </c>
      <c r="AT20" s="8">
        <f>ROUND(F20*'Ofertas'!$B$7,2)</f>
        <v>35000.0</v>
      </c>
      <c r="AU20" s="8">
        <f>AT20</f>
        <v>35000.0</v>
      </c>
      <c r="AV20" s="8">
        <f>ROUND(AS20*'Ofertas'!$D$7,2)</f>
        <v>9600.0</v>
      </c>
      <c r="AW20" s="8">
        <f>ROUND(AT20*'Premissas'!$B$10,2)</f>
        <v>5250.0</v>
      </c>
      <c r="AX20" s="8">
        <f>ROUND(AT20*'Premissas'!$B$31,2)</f>
        <v>1750.0</v>
      </c>
      <c r="AY20" s="8">
        <f>ROUND(F20*'Ofertas'!$H$7,2)</f>
        <v>2100.0</v>
      </c>
      <c r="AZ20" s="8">
        <f>ROUND(AT20-AV20-AW20-AX20-AY20,2)</f>
        <v>16300.0</v>
      </c>
      <c r="BA20" s="10">
        <f>G20*'Ofertas'!$C$8</f>
        <v>0.0</v>
      </c>
      <c r="BB20" s="8">
        <f>ROUND(G20*'Ofertas'!$B$8,2)</f>
        <v>0.0</v>
      </c>
      <c r="BC20" s="8">
        <f>BB20</f>
        <v>0.0</v>
      </c>
      <c r="BD20" s="8">
        <f>ROUND(BA20*'Ofertas'!$D$8,2)</f>
        <v>0.0</v>
      </c>
      <c r="BE20" s="8">
        <f>ROUND(BB20*'Premissas'!$B$10,2)</f>
        <v>0.0</v>
      </c>
      <c r="BF20" s="8">
        <f>ROUND(BB20*'Premissas'!$B$31,2)</f>
        <v>0.0</v>
      </c>
      <c r="BG20" s="8">
        <f>ROUND(G20*'Ofertas'!$H$8,2)</f>
        <v>0.0</v>
      </c>
      <c r="BH20" s="8">
        <f>ROUND(BB20-BD20-BE20-BF20-BG20,2)</f>
        <v>0.0</v>
      </c>
      <c r="BI20" s="10">
        <f>U20+AC20+AK20+AS20+BA20</f>
        <v>700.0</v>
      </c>
      <c r="BJ20" s="11">
        <f>BI20/'Premissas'!$B$30</f>
        <v>4.375</v>
      </c>
      <c r="BK20" s="8">
        <f>IF(A20&lt;=12,'Premissas'!$B$24,'Premissas'!$B$25)</f>
        <v>42000</v>
      </c>
      <c r="BL20" s="8">
        <f>ROUND(J20+V20+AD20+AL20+AT20+BB20,2)</f>
        <v>1007500.0</v>
      </c>
      <c r="BM20" s="8">
        <f>ROUND(L20+V20+AD20+AL20+AT20+BB20,2)</f>
        <v>949500.0</v>
      </c>
      <c r="BN20" s="8">
        <f>ROUND(T20+AB20+AJ20+AR20+AZ20+BH20,2)</f>
        <v>291007.0</v>
      </c>
      <c r="BO20" s="8">
        <f>ROUND(O20+W20+AE20+AM20+AU20+BC20,2)</f>
        <v>860467.0</v>
      </c>
      <c r="BP20" s="8">
        <f>ROUND(P20+Q20+R20+S20+X20+Y20+Z20+BK20+AF20+AG20+AH20+AI20+AN20+AO20+AP20+AQ20+AV20+AW20+AX20+AY20+BD20+BE20+BF20+BG20,2)</f>
        <v>611460.0</v>
      </c>
      <c r="BQ20" s="8">
        <f>ROUND(BO20-BP20,2)</f>
        <v>249007.0</v>
      </c>
      <c r="BR20" s="8">
        <f>ROUND(BR19+BQ20,2)</f>
        <v>1145915.98</v>
      </c>
      <c r="BS20" s="8">
        <f>ROUND(BN20-BK20,2)</f>
        <v>249007.0</v>
      </c>
      <c r="BT20" s="8">
        <f>ROUND(BT19+N20-O20+V20-W20+AL20-AM20,2)</f>
        <v>667967.0</v>
      </c>
      <c r="BU20" s="10">
        <f>IF(BR20&gt;=0,A20,999)</f>
        <v>16</v>
      </c>
      <c r="BV20" s="8">
        <f>ROUND(BR20+200000,2)</f>
        <v>1345915.98</v>
      </c>
    </row>
    <row r="21" spans="1:74">
      <c r="A21" s="10">
        <v>17</v>
      </c>
      <c r="B21" s="7">
        <v>5000</v>
      </c>
      <c r="C21" s="7">
        <v>3</v>
      </c>
      <c r="D21" s="7">
        <v>15</v>
      </c>
      <c r="E21" s="7">
        <v>5</v>
      </c>
      <c r="F21" s="7">
        <v>10</v>
      </c>
      <c r="G21" s="10">
        <f>MAX(0,F21-F20)</f>
        <v>0</v>
      </c>
      <c r="H21" s="10">
        <f>ROUNDUP(B21/'Premissas'!$B$14,0)</f>
        <v>250000</v>
      </c>
      <c r="I21" s="8">
        <f>ROUND(B21*'Premissas'!$B$5,2)</f>
        <v>145000.0</v>
      </c>
      <c r="J21" s="8">
        <f>ROUND(I21*'Premissas'!$B$6,2)</f>
        <v>725000.0</v>
      </c>
      <c r="K21" s="8">
        <f>ROUND(J21*'Premissas'!$B$7,2)</f>
        <v>58000.0</v>
      </c>
      <c r="L21" s="8">
        <f>ROUND(J21-K21,2)</f>
        <v>667000.0</v>
      </c>
      <c r="M21" s="8">
        <f>ROUND(L21*'Premissas'!$B$8+B21*(1-'Premissas'!$B$7)*'Premissas'!$B$9*'Premissas'!$B$6,2)</f>
        <v>89033.0</v>
      </c>
      <c r="N21" s="8">
        <f>ROUND(L21-M21,2)</f>
        <v>577967.0</v>
      </c>
      <c r="O21" s="8">
        <f>IF(A21&gt;'Premissas'!$B$20,INDEX($N$5:$N$28,MAX(1,A21-'Premissas'!$B$20)),0)</f>
        <v>577967.0</v>
      </c>
      <c r="P21" s="8">
        <f>ROUND(L21*'Premissas'!$B$10,2)</f>
        <v>100050.0</v>
      </c>
      <c r="Q21" s="8">
        <f>ROUND(L21*'Premissas'!$B$11,2)</f>
        <v>20010.0</v>
      </c>
      <c r="R21" s="8">
        <f>ROUND(B21*'Premissas'!$B$12*'Premissas'!$B$6,2)</f>
        <v>250000.0</v>
      </c>
      <c r="S21" s="8">
        <f>ROUND(B21*'Premissas'!$B$13*'Premissas'!$B$6,2)</f>
        <v>25000.0</v>
      </c>
      <c r="T21" s="8">
        <f>ROUND(L21-M21-P21-Q21-R21-S21,2)</f>
        <v>182907.0</v>
      </c>
      <c r="U21" s="10">
        <f>C21*'Premissas'!$B$16</f>
        <v>240</v>
      </c>
      <c r="V21" s="8">
        <f>ROUND(C21*'Premissas'!$B$15,2)</f>
        <v>90000.0</v>
      </c>
      <c r="W21" s="8">
        <f>ROUND(V21*'Premissas'!$B$19+V20*(1-'Premissas'!$B$19),2)</f>
        <v>90000.0</v>
      </c>
      <c r="X21" s="8">
        <f>ROUND(U21*'Premissas'!$B$17,2)</f>
        <v>43200.0</v>
      </c>
      <c r="Y21" s="8">
        <f>ROUND(V21*'Premissas'!$B$10,2)</f>
        <v>13500.0</v>
      </c>
      <c r="Z21" s="8">
        <f>ROUND(W21*'Premissas'!$B$18,2)</f>
        <v>4500.0</v>
      </c>
      <c r="AA21" s="8">
        <f>ROUND(V21*'Premissas'!$B$18,2)</f>
        <v>4500.0</v>
      </c>
      <c r="AB21" s="8">
        <f>ROUND(V21-X21-Y21-AA21,2)</f>
        <v>28800.0</v>
      </c>
      <c r="AC21" s="10">
        <f>D21*'Ofertas'!$C$5</f>
        <v>180.0</v>
      </c>
      <c r="AD21" s="8">
        <f>ROUND(D21*'Ofertas'!$B$5,2)</f>
        <v>67500.0</v>
      </c>
      <c r="AE21" s="8">
        <f>AD21</f>
        <v>67500.0</v>
      </c>
      <c r="AF21" s="8">
        <f>ROUND(AC21*'Ofertas'!$D$5,2)</f>
        <v>21600.0</v>
      </c>
      <c r="AG21" s="8">
        <f>ROUND(AD21*'Premissas'!$B$10,2)</f>
        <v>10125.0</v>
      </c>
      <c r="AH21" s="8">
        <f>ROUND(AD21*'Premissas'!$B$31,2)</f>
        <v>3375.0</v>
      </c>
      <c r="AI21" s="8">
        <f>ROUND(D21*'Ofertas'!$H$5,2)</f>
        <v>2400.0</v>
      </c>
      <c r="AJ21" s="8">
        <f>ROUND(AD21-AF21-AG21-AH21-AI21,2)</f>
        <v>30000.0</v>
      </c>
      <c r="AK21" s="10">
        <f>E21*'Ofertas'!$C$6</f>
        <v>200.0</v>
      </c>
      <c r="AL21" s="8">
        <f>ROUND(E21*'Ofertas'!$B$6,2)</f>
        <v>90000.0</v>
      </c>
      <c r="AM21" s="8">
        <f>ROUND(AL21*'Premissas'!$B$32+AL20*(1-'Premissas'!$B$32),2)</f>
        <v>90000.0</v>
      </c>
      <c r="AN21" s="8">
        <f>ROUND(AK21*'Ofertas'!$D$6,2)</f>
        <v>36000.0</v>
      </c>
      <c r="AO21" s="8">
        <f>ROUND(AL21*'Premissas'!$B$10,2)</f>
        <v>13500.0</v>
      </c>
      <c r="AP21" s="8">
        <f>ROUND(AL21*'Premissas'!$B$31,2)</f>
        <v>4500.0</v>
      </c>
      <c r="AQ21" s="8">
        <f>ROUND(E21*'Ofertas'!$H$6,2)</f>
        <v>3000.0</v>
      </c>
      <c r="AR21" s="8">
        <f>ROUND(AL21-AN21-AO21-AP21-AQ21,2)</f>
        <v>33000.0</v>
      </c>
      <c r="AS21" s="10">
        <f>F21*'Ofertas'!$C$7</f>
        <v>80.0</v>
      </c>
      <c r="AT21" s="8">
        <f>ROUND(F21*'Ofertas'!$B$7,2)</f>
        <v>35000.0</v>
      </c>
      <c r="AU21" s="8">
        <f>AT21</f>
        <v>35000.0</v>
      </c>
      <c r="AV21" s="8">
        <f>ROUND(AS21*'Ofertas'!$D$7,2)</f>
        <v>9600.0</v>
      </c>
      <c r="AW21" s="8">
        <f>ROUND(AT21*'Premissas'!$B$10,2)</f>
        <v>5250.0</v>
      </c>
      <c r="AX21" s="8">
        <f>ROUND(AT21*'Premissas'!$B$31,2)</f>
        <v>1750.0</v>
      </c>
      <c r="AY21" s="8">
        <f>ROUND(F21*'Ofertas'!$H$7,2)</f>
        <v>2100.0</v>
      </c>
      <c r="AZ21" s="8">
        <f>ROUND(AT21-AV21-AW21-AX21-AY21,2)</f>
        <v>16300.0</v>
      </c>
      <c r="BA21" s="10">
        <f>G21*'Ofertas'!$C$8</f>
        <v>0.0</v>
      </c>
      <c r="BB21" s="8">
        <f>ROUND(G21*'Ofertas'!$B$8,2)</f>
        <v>0.0</v>
      </c>
      <c r="BC21" s="8">
        <f>BB21</f>
        <v>0.0</v>
      </c>
      <c r="BD21" s="8">
        <f>ROUND(BA21*'Ofertas'!$D$8,2)</f>
        <v>0.0</v>
      </c>
      <c r="BE21" s="8">
        <f>ROUND(BB21*'Premissas'!$B$10,2)</f>
        <v>0.0</v>
      </c>
      <c r="BF21" s="8">
        <f>ROUND(BB21*'Premissas'!$B$31,2)</f>
        <v>0.0</v>
      </c>
      <c r="BG21" s="8">
        <f>ROUND(G21*'Ofertas'!$H$8,2)</f>
        <v>0.0</v>
      </c>
      <c r="BH21" s="8">
        <f>ROUND(BB21-BD21-BE21-BF21-BG21,2)</f>
        <v>0.0</v>
      </c>
      <c r="BI21" s="10">
        <f>U21+AC21+AK21+AS21+BA21</f>
        <v>700.0</v>
      </c>
      <c r="BJ21" s="11">
        <f>BI21/'Premissas'!$B$30</f>
        <v>4.375</v>
      </c>
      <c r="BK21" s="8">
        <f>IF(A21&lt;=12,'Premissas'!$B$24,'Premissas'!$B$25)</f>
        <v>42000</v>
      </c>
      <c r="BL21" s="8">
        <f>ROUND(J21+V21+AD21+AL21+AT21+BB21,2)</f>
        <v>1007500.0</v>
      </c>
      <c r="BM21" s="8">
        <f>ROUND(L21+V21+AD21+AL21+AT21+BB21,2)</f>
        <v>949500.0</v>
      </c>
      <c r="BN21" s="8">
        <f>ROUND(T21+AB21+AJ21+AR21+AZ21+BH21,2)</f>
        <v>291007.0</v>
      </c>
      <c r="BO21" s="8">
        <f>ROUND(O21+W21+AE21+AM21+AU21+BC21,2)</f>
        <v>860467.0</v>
      </c>
      <c r="BP21" s="8">
        <f>ROUND(P21+Q21+R21+S21+X21+Y21+Z21+BK21+AF21+AG21+AH21+AI21+AN21+AO21+AP21+AQ21+AV21+AW21+AX21+AY21+BD21+BE21+BF21+BG21,2)</f>
        <v>611460.0</v>
      </c>
      <c r="BQ21" s="8">
        <f>ROUND(BO21-BP21,2)</f>
        <v>249007.0</v>
      </c>
      <c r="BR21" s="8">
        <f>ROUND(BR20+BQ21,2)</f>
        <v>1394922.98</v>
      </c>
      <c r="BS21" s="8">
        <f>ROUND(BN21-BK21,2)</f>
        <v>249007.0</v>
      </c>
      <c r="BT21" s="8">
        <f>ROUND(BT20+N21-O21+V21-W21+AL21-AM21,2)</f>
        <v>667967.0</v>
      </c>
      <c r="BU21" s="10">
        <f>IF(BR21&gt;=0,A21,999)</f>
        <v>17</v>
      </c>
      <c r="BV21" s="8">
        <f>ROUND(BR21+200000,2)</f>
        <v>1594922.98</v>
      </c>
    </row>
    <row r="22" spans="1:74">
      <c r="A22" s="10">
        <v>18</v>
      </c>
      <c r="B22" s="7">
        <v>5000</v>
      </c>
      <c r="C22" s="7">
        <v>3</v>
      </c>
      <c r="D22" s="7">
        <v>15</v>
      </c>
      <c r="E22" s="7">
        <v>5</v>
      </c>
      <c r="F22" s="7">
        <v>10</v>
      </c>
      <c r="G22" s="10">
        <f>MAX(0,F22-F21)</f>
        <v>0</v>
      </c>
      <c r="H22" s="10">
        <f>ROUNDUP(B22/'Premissas'!$B$14,0)</f>
        <v>250000</v>
      </c>
      <c r="I22" s="8">
        <f>ROUND(B22*'Premissas'!$B$5,2)</f>
        <v>145000.0</v>
      </c>
      <c r="J22" s="8">
        <f>ROUND(I22*'Premissas'!$B$6,2)</f>
        <v>725000.0</v>
      </c>
      <c r="K22" s="8">
        <f>ROUND(J22*'Premissas'!$B$7,2)</f>
        <v>58000.0</v>
      </c>
      <c r="L22" s="8">
        <f>ROUND(J22-K22,2)</f>
        <v>667000.0</v>
      </c>
      <c r="M22" s="8">
        <f>ROUND(L22*'Premissas'!$B$8+B22*(1-'Premissas'!$B$7)*'Premissas'!$B$9*'Premissas'!$B$6,2)</f>
        <v>89033.0</v>
      </c>
      <c r="N22" s="8">
        <f>ROUND(L22-M22,2)</f>
        <v>577967.0</v>
      </c>
      <c r="O22" s="8">
        <f>IF(A22&gt;'Premissas'!$B$20,INDEX($N$5:$N$28,MAX(1,A22-'Premissas'!$B$20)),0)</f>
        <v>577967.0</v>
      </c>
      <c r="P22" s="8">
        <f>ROUND(L22*'Premissas'!$B$10,2)</f>
        <v>100050.0</v>
      </c>
      <c r="Q22" s="8">
        <f>ROUND(L22*'Premissas'!$B$11,2)</f>
        <v>20010.0</v>
      </c>
      <c r="R22" s="8">
        <f>ROUND(B22*'Premissas'!$B$12*'Premissas'!$B$6,2)</f>
        <v>250000.0</v>
      </c>
      <c r="S22" s="8">
        <f>ROUND(B22*'Premissas'!$B$13*'Premissas'!$B$6,2)</f>
        <v>25000.0</v>
      </c>
      <c r="T22" s="8">
        <f>ROUND(L22-M22-P22-Q22-R22-S22,2)</f>
        <v>182907.0</v>
      </c>
      <c r="U22" s="10">
        <f>C22*'Premissas'!$B$16</f>
        <v>240</v>
      </c>
      <c r="V22" s="8">
        <f>ROUND(C22*'Premissas'!$B$15,2)</f>
        <v>90000.0</v>
      </c>
      <c r="W22" s="8">
        <f>ROUND(V22*'Premissas'!$B$19+V21*(1-'Premissas'!$B$19),2)</f>
        <v>90000.0</v>
      </c>
      <c r="X22" s="8">
        <f>ROUND(U22*'Premissas'!$B$17,2)</f>
        <v>43200.0</v>
      </c>
      <c r="Y22" s="8">
        <f>ROUND(V22*'Premissas'!$B$10,2)</f>
        <v>13500.0</v>
      </c>
      <c r="Z22" s="8">
        <f>ROUND(W22*'Premissas'!$B$18,2)</f>
        <v>4500.0</v>
      </c>
      <c r="AA22" s="8">
        <f>ROUND(V22*'Premissas'!$B$18,2)</f>
        <v>4500.0</v>
      </c>
      <c r="AB22" s="8">
        <f>ROUND(V22-X22-Y22-AA22,2)</f>
        <v>28800.0</v>
      </c>
      <c r="AC22" s="10">
        <f>D22*'Ofertas'!$C$5</f>
        <v>180.0</v>
      </c>
      <c r="AD22" s="8">
        <f>ROUND(D22*'Ofertas'!$B$5,2)</f>
        <v>67500.0</v>
      </c>
      <c r="AE22" s="8">
        <f>AD22</f>
        <v>67500.0</v>
      </c>
      <c r="AF22" s="8">
        <f>ROUND(AC22*'Ofertas'!$D$5,2)</f>
        <v>21600.0</v>
      </c>
      <c r="AG22" s="8">
        <f>ROUND(AD22*'Premissas'!$B$10,2)</f>
        <v>10125.0</v>
      </c>
      <c r="AH22" s="8">
        <f>ROUND(AD22*'Premissas'!$B$31,2)</f>
        <v>3375.0</v>
      </c>
      <c r="AI22" s="8">
        <f>ROUND(D22*'Ofertas'!$H$5,2)</f>
        <v>2400.0</v>
      </c>
      <c r="AJ22" s="8">
        <f>ROUND(AD22-AF22-AG22-AH22-AI22,2)</f>
        <v>30000.0</v>
      </c>
      <c r="AK22" s="10">
        <f>E22*'Ofertas'!$C$6</f>
        <v>200.0</v>
      </c>
      <c r="AL22" s="8">
        <f>ROUND(E22*'Ofertas'!$B$6,2)</f>
        <v>90000.0</v>
      </c>
      <c r="AM22" s="8">
        <f>ROUND(AL22*'Premissas'!$B$32+AL21*(1-'Premissas'!$B$32),2)</f>
        <v>90000.0</v>
      </c>
      <c r="AN22" s="8">
        <f>ROUND(AK22*'Ofertas'!$D$6,2)</f>
        <v>36000.0</v>
      </c>
      <c r="AO22" s="8">
        <f>ROUND(AL22*'Premissas'!$B$10,2)</f>
        <v>13500.0</v>
      </c>
      <c r="AP22" s="8">
        <f>ROUND(AL22*'Premissas'!$B$31,2)</f>
        <v>4500.0</v>
      </c>
      <c r="AQ22" s="8">
        <f>ROUND(E22*'Ofertas'!$H$6,2)</f>
        <v>3000.0</v>
      </c>
      <c r="AR22" s="8">
        <f>ROUND(AL22-AN22-AO22-AP22-AQ22,2)</f>
        <v>33000.0</v>
      </c>
      <c r="AS22" s="10">
        <f>F22*'Ofertas'!$C$7</f>
        <v>80.0</v>
      </c>
      <c r="AT22" s="8">
        <f>ROUND(F22*'Ofertas'!$B$7,2)</f>
        <v>35000.0</v>
      </c>
      <c r="AU22" s="8">
        <f>AT22</f>
        <v>35000.0</v>
      </c>
      <c r="AV22" s="8">
        <f>ROUND(AS22*'Ofertas'!$D$7,2)</f>
        <v>9600.0</v>
      </c>
      <c r="AW22" s="8">
        <f>ROUND(AT22*'Premissas'!$B$10,2)</f>
        <v>5250.0</v>
      </c>
      <c r="AX22" s="8">
        <f>ROUND(AT22*'Premissas'!$B$31,2)</f>
        <v>1750.0</v>
      </c>
      <c r="AY22" s="8">
        <f>ROUND(F22*'Ofertas'!$H$7,2)</f>
        <v>2100.0</v>
      </c>
      <c r="AZ22" s="8">
        <f>ROUND(AT22-AV22-AW22-AX22-AY22,2)</f>
        <v>16300.0</v>
      </c>
      <c r="BA22" s="10">
        <f>G22*'Ofertas'!$C$8</f>
        <v>0.0</v>
      </c>
      <c r="BB22" s="8">
        <f>ROUND(G22*'Ofertas'!$B$8,2)</f>
        <v>0.0</v>
      </c>
      <c r="BC22" s="8">
        <f>BB22</f>
        <v>0.0</v>
      </c>
      <c r="BD22" s="8">
        <f>ROUND(BA22*'Ofertas'!$D$8,2)</f>
        <v>0.0</v>
      </c>
      <c r="BE22" s="8">
        <f>ROUND(BB22*'Premissas'!$B$10,2)</f>
        <v>0.0</v>
      </c>
      <c r="BF22" s="8">
        <f>ROUND(BB22*'Premissas'!$B$31,2)</f>
        <v>0.0</v>
      </c>
      <c r="BG22" s="8">
        <f>ROUND(G22*'Ofertas'!$H$8,2)</f>
        <v>0.0</v>
      </c>
      <c r="BH22" s="8">
        <f>ROUND(BB22-BD22-BE22-BF22-BG22,2)</f>
        <v>0.0</v>
      </c>
      <c r="BI22" s="10">
        <f>U22+AC22+AK22+AS22+BA22</f>
        <v>700.0</v>
      </c>
      <c r="BJ22" s="11">
        <f>BI22/'Premissas'!$B$30</f>
        <v>4.375</v>
      </c>
      <c r="BK22" s="8">
        <f>IF(A22&lt;=12,'Premissas'!$B$24,'Premissas'!$B$25)</f>
        <v>42000</v>
      </c>
      <c r="BL22" s="8">
        <f>ROUND(J22+V22+AD22+AL22+AT22+BB22,2)</f>
        <v>1007500.0</v>
      </c>
      <c r="BM22" s="8">
        <f>ROUND(L22+V22+AD22+AL22+AT22+BB22,2)</f>
        <v>949500.0</v>
      </c>
      <c r="BN22" s="8">
        <f>ROUND(T22+AB22+AJ22+AR22+AZ22+BH22,2)</f>
        <v>291007.0</v>
      </c>
      <c r="BO22" s="8">
        <f>ROUND(O22+W22+AE22+AM22+AU22+BC22,2)</f>
        <v>860467.0</v>
      </c>
      <c r="BP22" s="8">
        <f>ROUND(P22+Q22+R22+S22+X22+Y22+Z22+BK22+AF22+AG22+AH22+AI22+AN22+AO22+AP22+AQ22+AV22+AW22+AX22+AY22+BD22+BE22+BF22+BG22,2)</f>
        <v>611460.0</v>
      </c>
      <c r="BQ22" s="8">
        <f>ROUND(BO22-BP22,2)</f>
        <v>249007.0</v>
      </c>
      <c r="BR22" s="8">
        <f>ROUND(BR21+BQ22,2)</f>
        <v>1643929.98</v>
      </c>
      <c r="BS22" s="8">
        <f>ROUND(BN22-BK22,2)</f>
        <v>249007.0</v>
      </c>
      <c r="BT22" s="8">
        <f>ROUND(BT21+N22-O22+V22-W22+AL22-AM22,2)</f>
        <v>667967.0</v>
      </c>
      <c r="BU22" s="10">
        <f>IF(BR22&gt;=0,A22,999)</f>
        <v>18</v>
      </c>
      <c r="BV22" s="8">
        <f>ROUND(BR22+200000,2)</f>
        <v>1843929.98</v>
      </c>
    </row>
    <row r="23" spans="1:74">
      <c r="A23" s="10">
        <v>19</v>
      </c>
      <c r="B23" s="7">
        <v>5000</v>
      </c>
      <c r="C23" s="7">
        <v>3</v>
      </c>
      <c r="D23" s="7">
        <v>15</v>
      </c>
      <c r="E23" s="7">
        <v>5</v>
      </c>
      <c r="F23" s="7">
        <v>10</v>
      </c>
      <c r="G23" s="10">
        <f>MAX(0,F23-F22)</f>
        <v>0</v>
      </c>
      <c r="H23" s="10">
        <f>ROUNDUP(B23/'Premissas'!$B$14,0)</f>
        <v>250000</v>
      </c>
      <c r="I23" s="8">
        <f>ROUND(B23*'Premissas'!$B$5,2)</f>
        <v>145000.0</v>
      </c>
      <c r="J23" s="8">
        <f>ROUND(I23*'Premissas'!$B$6,2)</f>
        <v>725000.0</v>
      </c>
      <c r="K23" s="8">
        <f>ROUND(J23*'Premissas'!$B$7,2)</f>
        <v>58000.0</v>
      </c>
      <c r="L23" s="8">
        <f>ROUND(J23-K23,2)</f>
        <v>667000.0</v>
      </c>
      <c r="M23" s="8">
        <f>ROUND(L23*'Premissas'!$B$8+B23*(1-'Premissas'!$B$7)*'Premissas'!$B$9*'Premissas'!$B$6,2)</f>
        <v>89033.0</v>
      </c>
      <c r="N23" s="8">
        <f>ROUND(L23-M23,2)</f>
        <v>577967.0</v>
      </c>
      <c r="O23" s="8">
        <f>IF(A23&gt;'Premissas'!$B$20,INDEX($N$5:$N$28,MAX(1,A23-'Premissas'!$B$20)),0)</f>
        <v>577967.0</v>
      </c>
      <c r="P23" s="8">
        <f>ROUND(L23*'Premissas'!$B$10,2)</f>
        <v>100050.0</v>
      </c>
      <c r="Q23" s="8">
        <f>ROUND(L23*'Premissas'!$B$11,2)</f>
        <v>20010.0</v>
      </c>
      <c r="R23" s="8">
        <f>ROUND(B23*'Premissas'!$B$12*'Premissas'!$B$6,2)</f>
        <v>250000.0</v>
      </c>
      <c r="S23" s="8">
        <f>ROUND(B23*'Premissas'!$B$13*'Premissas'!$B$6,2)</f>
        <v>25000.0</v>
      </c>
      <c r="T23" s="8">
        <f>ROUND(L23-M23-P23-Q23-R23-S23,2)</f>
        <v>182907.0</v>
      </c>
      <c r="U23" s="10">
        <f>C23*'Premissas'!$B$16</f>
        <v>240</v>
      </c>
      <c r="V23" s="8">
        <f>ROUND(C23*'Premissas'!$B$15,2)</f>
        <v>90000.0</v>
      </c>
      <c r="W23" s="8">
        <f>ROUND(V23*'Premissas'!$B$19+V22*(1-'Premissas'!$B$19),2)</f>
        <v>90000.0</v>
      </c>
      <c r="X23" s="8">
        <f>ROUND(U23*'Premissas'!$B$17,2)</f>
        <v>43200.0</v>
      </c>
      <c r="Y23" s="8">
        <f>ROUND(V23*'Premissas'!$B$10,2)</f>
        <v>13500.0</v>
      </c>
      <c r="Z23" s="8">
        <f>ROUND(W23*'Premissas'!$B$18,2)</f>
        <v>4500.0</v>
      </c>
      <c r="AA23" s="8">
        <f>ROUND(V23*'Premissas'!$B$18,2)</f>
        <v>4500.0</v>
      </c>
      <c r="AB23" s="8">
        <f>ROUND(V23-X23-Y23-AA23,2)</f>
        <v>28800.0</v>
      </c>
      <c r="AC23" s="10">
        <f>D23*'Ofertas'!$C$5</f>
        <v>180.0</v>
      </c>
      <c r="AD23" s="8">
        <f>ROUND(D23*'Ofertas'!$B$5,2)</f>
        <v>67500.0</v>
      </c>
      <c r="AE23" s="8">
        <f>AD23</f>
        <v>67500.0</v>
      </c>
      <c r="AF23" s="8">
        <f>ROUND(AC23*'Ofertas'!$D$5,2)</f>
        <v>21600.0</v>
      </c>
      <c r="AG23" s="8">
        <f>ROUND(AD23*'Premissas'!$B$10,2)</f>
        <v>10125.0</v>
      </c>
      <c r="AH23" s="8">
        <f>ROUND(AD23*'Premissas'!$B$31,2)</f>
        <v>3375.0</v>
      </c>
      <c r="AI23" s="8">
        <f>ROUND(D23*'Ofertas'!$H$5,2)</f>
        <v>2400.0</v>
      </c>
      <c r="AJ23" s="8">
        <f>ROUND(AD23-AF23-AG23-AH23-AI23,2)</f>
        <v>30000.0</v>
      </c>
      <c r="AK23" s="10">
        <f>E23*'Ofertas'!$C$6</f>
        <v>200.0</v>
      </c>
      <c r="AL23" s="8">
        <f>ROUND(E23*'Ofertas'!$B$6,2)</f>
        <v>90000.0</v>
      </c>
      <c r="AM23" s="8">
        <f>ROUND(AL23*'Premissas'!$B$32+AL22*(1-'Premissas'!$B$32),2)</f>
        <v>90000.0</v>
      </c>
      <c r="AN23" s="8">
        <f>ROUND(AK23*'Ofertas'!$D$6,2)</f>
        <v>36000.0</v>
      </c>
      <c r="AO23" s="8">
        <f>ROUND(AL23*'Premissas'!$B$10,2)</f>
        <v>13500.0</v>
      </c>
      <c r="AP23" s="8">
        <f>ROUND(AL23*'Premissas'!$B$31,2)</f>
        <v>4500.0</v>
      </c>
      <c r="AQ23" s="8">
        <f>ROUND(E23*'Ofertas'!$H$6,2)</f>
        <v>3000.0</v>
      </c>
      <c r="AR23" s="8">
        <f>ROUND(AL23-AN23-AO23-AP23-AQ23,2)</f>
        <v>33000.0</v>
      </c>
      <c r="AS23" s="10">
        <f>F23*'Ofertas'!$C$7</f>
        <v>80.0</v>
      </c>
      <c r="AT23" s="8">
        <f>ROUND(F23*'Ofertas'!$B$7,2)</f>
        <v>35000.0</v>
      </c>
      <c r="AU23" s="8">
        <f>AT23</f>
        <v>35000.0</v>
      </c>
      <c r="AV23" s="8">
        <f>ROUND(AS23*'Ofertas'!$D$7,2)</f>
        <v>9600.0</v>
      </c>
      <c r="AW23" s="8">
        <f>ROUND(AT23*'Premissas'!$B$10,2)</f>
        <v>5250.0</v>
      </c>
      <c r="AX23" s="8">
        <f>ROUND(AT23*'Premissas'!$B$31,2)</f>
        <v>1750.0</v>
      </c>
      <c r="AY23" s="8">
        <f>ROUND(F23*'Ofertas'!$H$7,2)</f>
        <v>2100.0</v>
      </c>
      <c r="AZ23" s="8">
        <f>ROUND(AT23-AV23-AW23-AX23-AY23,2)</f>
        <v>16300.0</v>
      </c>
      <c r="BA23" s="10">
        <f>G23*'Ofertas'!$C$8</f>
        <v>0.0</v>
      </c>
      <c r="BB23" s="8">
        <f>ROUND(G23*'Ofertas'!$B$8,2)</f>
        <v>0.0</v>
      </c>
      <c r="BC23" s="8">
        <f>BB23</f>
        <v>0.0</v>
      </c>
      <c r="BD23" s="8">
        <f>ROUND(BA23*'Ofertas'!$D$8,2)</f>
        <v>0.0</v>
      </c>
      <c r="BE23" s="8">
        <f>ROUND(BB23*'Premissas'!$B$10,2)</f>
        <v>0.0</v>
      </c>
      <c r="BF23" s="8">
        <f>ROUND(BB23*'Premissas'!$B$31,2)</f>
        <v>0.0</v>
      </c>
      <c r="BG23" s="8">
        <f>ROUND(G23*'Ofertas'!$H$8,2)</f>
        <v>0.0</v>
      </c>
      <c r="BH23" s="8">
        <f>ROUND(BB23-BD23-BE23-BF23-BG23,2)</f>
        <v>0.0</v>
      </c>
      <c r="BI23" s="10">
        <f>U23+AC23+AK23+AS23+BA23</f>
        <v>700.0</v>
      </c>
      <c r="BJ23" s="11">
        <f>BI23/'Premissas'!$B$30</f>
        <v>4.375</v>
      </c>
      <c r="BK23" s="8">
        <f>IF(A23&lt;=12,'Premissas'!$B$24,'Premissas'!$B$25)</f>
        <v>42000</v>
      </c>
      <c r="BL23" s="8">
        <f>ROUND(J23+V23+AD23+AL23+AT23+BB23,2)</f>
        <v>1007500.0</v>
      </c>
      <c r="BM23" s="8">
        <f>ROUND(L23+V23+AD23+AL23+AT23+BB23,2)</f>
        <v>949500.0</v>
      </c>
      <c r="BN23" s="8">
        <f>ROUND(T23+AB23+AJ23+AR23+AZ23+BH23,2)</f>
        <v>291007.0</v>
      </c>
      <c r="BO23" s="8">
        <f>ROUND(O23+W23+AE23+AM23+AU23+BC23,2)</f>
        <v>860467.0</v>
      </c>
      <c r="BP23" s="8">
        <f>ROUND(P23+Q23+R23+S23+X23+Y23+Z23+BK23+AF23+AG23+AH23+AI23+AN23+AO23+AP23+AQ23+AV23+AW23+AX23+AY23+BD23+BE23+BF23+BG23,2)</f>
        <v>611460.0</v>
      </c>
      <c r="BQ23" s="8">
        <f>ROUND(BO23-BP23,2)</f>
        <v>249007.0</v>
      </c>
      <c r="BR23" s="8">
        <f>ROUND(BR22+BQ23,2)</f>
        <v>1892936.98</v>
      </c>
      <c r="BS23" s="8">
        <f>ROUND(BN23-BK23,2)</f>
        <v>249007.0</v>
      </c>
      <c r="BT23" s="8">
        <f>ROUND(BT22+N23-O23+V23-W23+AL23-AM23,2)</f>
        <v>667967.0</v>
      </c>
      <c r="BU23" s="10">
        <f>IF(BR23&gt;=0,A23,999)</f>
        <v>19</v>
      </c>
      <c r="BV23" s="8">
        <f>ROUND(BR23+200000,2)</f>
        <v>2092936.98</v>
      </c>
    </row>
    <row r="24" spans="1:74">
      <c r="A24" s="10">
        <v>20</v>
      </c>
      <c r="B24" s="7">
        <v>5000</v>
      </c>
      <c r="C24" s="7">
        <v>3</v>
      </c>
      <c r="D24" s="7">
        <v>15</v>
      </c>
      <c r="E24" s="7">
        <v>5</v>
      </c>
      <c r="F24" s="7">
        <v>10</v>
      </c>
      <c r="G24" s="10">
        <f>MAX(0,F24-F23)</f>
        <v>0</v>
      </c>
      <c r="H24" s="10">
        <f>ROUNDUP(B24/'Premissas'!$B$14,0)</f>
        <v>250000</v>
      </c>
      <c r="I24" s="8">
        <f>ROUND(B24*'Premissas'!$B$5,2)</f>
        <v>145000.0</v>
      </c>
      <c r="J24" s="8">
        <f>ROUND(I24*'Premissas'!$B$6,2)</f>
        <v>725000.0</v>
      </c>
      <c r="K24" s="8">
        <f>ROUND(J24*'Premissas'!$B$7,2)</f>
        <v>58000.0</v>
      </c>
      <c r="L24" s="8">
        <f>ROUND(J24-K24,2)</f>
        <v>667000.0</v>
      </c>
      <c r="M24" s="8">
        <f>ROUND(L24*'Premissas'!$B$8+B24*(1-'Premissas'!$B$7)*'Premissas'!$B$9*'Premissas'!$B$6,2)</f>
        <v>89033.0</v>
      </c>
      <c r="N24" s="8">
        <f>ROUND(L24-M24,2)</f>
        <v>577967.0</v>
      </c>
      <c r="O24" s="8">
        <f>IF(A24&gt;'Premissas'!$B$20,INDEX($N$5:$N$28,MAX(1,A24-'Premissas'!$B$20)),0)</f>
        <v>577967.0</v>
      </c>
      <c r="P24" s="8">
        <f>ROUND(L24*'Premissas'!$B$10,2)</f>
        <v>100050.0</v>
      </c>
      <c r="Q24" s="8">
        <f>ROUND(L24*'Premissas'!$B$11,2)</f>
        <v>20010.0</v>
      </c>
      <c r="R24" s="8">
        <f>ROUND(B24*'Premissas'!$B$12*'Premissas'!$B$6,2)</f>
        <v>250000.0</v>
      </c>
      <c r="S24" s="8">
        <f>ROUND(B24*'Premissas'!$B$13*'Premissas'!$B$6,2)</f>
        <v>25000.0</v>
      </c>
      <c r="T24" s="8">
        <f>ROUND(L24-M24-P24-Q24-R24-S24,2)</f>
        <v>182907.0</v>
      </c>
      <c r="U24" s="10">
        <f>C24*'Premissas'!$B$16</f>
        <v>240</v>
      </c>
      <c r="V24" s="8">
        <f>ROUND(C24*'Premissas'!$B$15,2)</f>
        <v>90000.0</v>
      </c>
      <c r="W24" s="8">
        <f>ROUND(V24*'Premissas'!$B$19+V23*(1-'Premissas'!$B$19),2)</f>
        <v>90000.0</v>
      </c>
      <c r="X24" s="8">
        <f>ROUND(U24*'Premissas'!$B$17,2)</f>
        <v>43200.0</v>
      </c>
      <c r="Y24" s="8">
        <f>ROUND(V24*'Premissas'!$B$10,2)</f>
        <v>13500.0</v>
      </c>
      <c r="Z24" s="8">
        <f>ROUND(W24*'Premissas'!$B$18,2)</f>
        <v>4500.0</v>
      </c>
      <c r="AA24" s="8">
        <f>ROUND(V24*'Premissas'!$B$18,2)</f>
        <v>4500.0</v>
      </c>
      <c r="AB24" s="8">
        <f>ROUND(V24-X24-Y24-AA24,2)</f>
        <v>28800.0</v>
      </c>
      <c r="AC24" s="10">
        <f>D24*'Ofertas'!$C$5</f>
        <v>180.0</v>
      </c>
      <c r="AD24" s="8">
        <f>ROUND(D24*'Ofertas'!$B$5,2)</f>
        <v>67500.0</v>
      </c>
      <c r="AE24" s="8">
        <f>AD24</f>
        <v>67500.0</v>
      </c>
      <c r="AF24" s="8">
        <f>ROUND(AC24*'Ofertas'!$D$5,2)</f>
        <v>21600.0</v>
      </c>
      <c r="AG24" s="8">
        <f>ROUND(AD24*'Premissas'!$B$10,2)</f>
        <v>10125.0</v>
      </c>
      <c r="AH24" s="8">
        <f>ROUND(AD24*'Premissas'!$B$31,2)</f>
        <v>3375.0</v>
      </c>
      <c r="AI24" s="8">
        <f>ROUND(D24*'Ofertas'!$H$5,2)</f>
        <v>2400.0</v>
      </c>
      <c r="AJ24" s="8">
        <f>ROUND(AD24-AF24-AG24-AH24-AI24,2)</f>
        <v>30000.0</v>
      </c>
      <c r="AK24" s="10">
        <f>E24*'Ofertas'!$C$6</f>
        <v>200.0</v>
      </c>
      <c r="AL24" s="8">
        <f>ROUND(E24*'Ofertas'!$B$6,2)</f>
        <v>90000.0</v>
      </c>
      <c r="AM24" s="8">
        <f>ROUND(AL24*'Premissas'!$B$32+AL23*(1-'Premissas'!$B$32),2)</f>
        <v>90000.0</v>
      </c>
      <c r="AN24" s="8">
        <f>ROUND(AK24*'Ofertas'!$D$6,2)</f>
        <v>36000.0</v>
      </c>
      <c r="AO24" s="8">
        <f>ROUND(AL24*'Premissas'!$B$10,2)</f>
        <v>13500.0</v>
      </c>
      <c r="AP24" s="8">
        <f>ROUND(AL24*'Premissas'!$B$31,2)</f>
        <v>4500.0</v>
      </c>
      <c r="AQ24" s="8">
        <f>ROUND(E24*'Ofertas'!$H$6,2)</f>
        <v>3000.0</v>
      </c>
      <c r="AR24" s="8">
        <f>ROUND(AL24-AN24-AO24-AP24-AQ24,2)</f>
        <v>33000.0</v>
      </c>
      <c r="AS24" s="10">
        <f>F24*'Ofertas'!$C$7</f>
        <v>80.0</v>
      </c>
      <c r="AT24" s="8">
        <f>ROUND(F24*'Ofertas'!$B$7,2)</f>
        <v>35000.0</v>
      </c>
      <c r="AU24" s="8">
        <f>AT24</f>
        <v>35000.0</v>
      </c>
      <c r="AV24" s="8">
        <f>ROUND(AS24*'Ofertas'!$D$7,2)</f>
        <v>9600.0</v>
      </c>
      <c r="AW24" s="8">
        <f>ROUND(AT24*'Premissas'!$B$10,2)</f>
        <v>5250.0</v>
      </c>
      <c r="AX24" s="8">
        <f>ROUND(AT24*'Premissas'!$B$31,2)</f>
        <v>1750.0</v>
      </c>
      <c r="AY24" s="8">
        <f>ROUND(F24*'Ofertas'!$H$7,2)</f>
        <v>2100.0</v>
      </c>
      <c r="AZ24" s="8">
        <f>ROUND(AT24-AV24-AW24-AX24-AY24,2)</f>
        <v>16300.0</v>
      </c>
      <c r="BA24" s="10">
        <f>G24*'Ofertas'!$C$8</f>
        <v>0.0</v>
      </c>
      <c r="BB24" s="8">
        <f>ROUND(G24*'Ofertas'!$B$8,2)</f>
        <v>0.0</v>
      </c>
      <c r="BC24" s="8">
        <f>BB24</f>
        <v>0.0</v>
      </c>
      <c r="BD24" s="8">
        <f>ROUND(BA24*'Ofertas'!$D$8,2)</f>
        <v>0.0</v>
      </c>
      <c r="BE24" s="8">
        <f>ROUND(BB24*'Premissas'!$B$10,2)</f>
        <v>0.0</v>
      </c>
      <c r="BF24" s="8">
        <f>ROUND(BB24*'Premissas'!$B$31,2)</f>
        <v>0.0</v>
      </c>
      <c r="BG24" s="8">
        <f>ROUND(G24*'Ofertas'!$H$8,2)</f>
        <v>0.0</v>
      </c>
      <c r="BH24" s="8">
        <f>ROUND(BB24-BD24-BE24-BF24-BG24,2)</f>
        <v>0.0</v>
      </c>
      <c r="BI24" s="10">
        <f>U24+AC24+AK24+AS24+BA24</f>
        <v>700.0</v>
      </c>
      <c r="BJ24" s="11">
        <f>BI24/'Premissas'!$B$30</f>
        <v>4.375</v>
      </c>
      <c r="BK24" s="8">
        <f>IF(A24&lt;=12,'Premissas'!$B$24,'Premissas'!$B$25)</f>
        <v>42000</v>
      </c>
      <c r="BL24" s="8">
        <f>ROUND(J24+V24+AD24+AL24+AT24+BB24,2)</f>
        <v>1007500.0</v>
      </c>
      <c r="BM24" s="8">
        <f>ROUND(L24+V24+AD24+AL24+AT24+BB24,2)</f>
        <v>949500.0</v>
      </c>
      <c r="BN24" s="8">
        <f>ROUND(T24+AB24+AJ24+AR24+AZ24+BH24,2)</f>
        <v>291007.0</v>
      </c>
      <c r="BO24" s="8">
        <f>ROUND(O24+W24+AE24+AM24+AU24+BC24,2)</f>
        <v>860467.0</v>
      </c>
      <c r="BP24" s="8">
        <f>ROUND(P24+Q24+R24+S24+X24+Y24+Z24+BK24+AF24+AG24+AH24+AI24+AN24+AO24+AP24+AQ24+AV24+AW24+AX24+AY24+BD24+BE24+BF24+BG24,2)</f>
        <v>611460.0</v>
      </c>
      <c r="BQ24" s="8">
        <f>ROUND(BO24-BP24,2)</f>
        <v>249007.0</v>
      </c>
      <c r="BR24" s="8">
        <f>ROUND(BR23+BQ24,2)</f>
        <v>2141943.98</v>
      </c>
      <c r="BS24" s="8">
        <f>ROUND(BN24-BK24,2)</f>
        <v>249007.0</v>
      </c>
      <c r="BT24" s="8">
        <f>ROUND(BT23+N24-O24+V24-W24+AL24-AM24,2)</f>
        <v>667967.0</v>
      </c>
      <c r="BU24" s="10">
        <f>IF(BR24&gt;=0,A24,999)</f>
        <v>20</v>
      </c>
      <c r="BV24" s="8">
        <f>ROUND(BR24+200000,2)</f>
        <v>2341943.98</v>
      </c>
    </row>
    <row r="25" spans="1:74">
      <c r="A25" s="10">
        <v>21</v>
      </c>
      <c r="B25" s="7">
        <v>5000</v>
      </c>
      <c r="C25" s="7">
        <v>3</v>
      </c>
      <c r="D25" s="7">
        <v>15</v>
      </c>
      <c r="E25" s="7">
        <v>5</v>
      </c>
      <c r="F25" s="7">
        <v>10</v>
      </c>
      <c r="G25" s="10">
        <f>MAX(0,F25-F24)</f>
        <v>0</v>
      </c>
      <c r="H25" s="10">
        <f>ROUNDUP(B25/'Premissas'!$B$14,0)</f>
        <v>250000</v>
      </c>
      <c r="I25" s="8">
        <f>ROUND(B25*'Premissas'!$B$5,2)</f>
        <v>145000.0</v>
      </c>
      <c r="J25" s="8">
        <f>ROUND(I25*'Premissas'!$B$6,2)</f>
        <v>725000.0</v>
      </c>
      <c r="K25" s="8">
        <f>ROUND(J25*'Premissas'!$B$7,2)</f>
        <v>58000.0</v>
      </c>
      <c r="L25" s="8">
        <f>ROUND(J25-K25,2)</f>
        <v>667000.0</v>
      </c>
      <c r="M25" s="8">
        <f>ROUND(L25*'Premissas'!$B$8+B25*(1-'Premissas'!$B$7)*'Premissas'!$B$9*'Premissas'!$B$6,2)</f>
        <v>89033.0</v>
      </c>
      <c r="N25" s="8">
        <f>ROUND(L25-M25,2)</f>
        <v>577967.0</v>
      </c>
      <c r="O25" s="8">
        <f>IF(A25&gt;'Premissas'!$B$20,INDEX($N$5:$N$28,MAX(1,A25-'Premissas'!$B$20)),0)</f>
        <v>577967.0</v>
      </c>
      <c r="P25" s="8">
        <f>ROUND(L25*'Premissas'!$B$10,2)</f>
        <v>100050.0</v>
      </c>
      <c r="Q25" s="8">
        <f>ROUND(L25*'Premissas'!$B$11,2)</f>
        <v>20010.0</v>
      </c>
      <c r="R25" s="8">
        <f>ROUND(B25*'Premissas'!$B$12*'Premissas'!$B$6,2)</f>
        <v>250000.0</v>
      </c>
      <c r="S25" s="8">
        <f>ROUND(B25*'Premissas'!$B$13*'Premissas'!$B$6,2)</f>
        <v>25000.0</v>
      </c>
      <c r="T25" s="8">
        <f>ROUND(L25-M25-P25-Q25-R25-S25,2)</f>
        <v>182907.0</v>
      </c>
      <c r="U25" s="10">
        <f>C25*'Premissas'!$B$16</f>
        <v>240</v>
      </c>
      <c r="V25" s="8">
        <f>ROUND(C25*'Premissas'!$B$15,2)</f>
        <v>90000.0</v>
      </c>
      <c r="W25" s="8">
        <f>ROUND(V25*'Premissas'!$B$19+V24*(1-'Premissas'!$B$19),2)</f>
        <v>90000.0</v>
      </c>
      <c r="X25" s="8">
        <f>ROUND(U25*'Premissas'!$B$17,2)</f>
        <v>43200.0</v>
      </c>
      <c r="Y25" s="8">
        <f>ROUND(V25*'Premissas'!$B$10,2)</f>
        <v>13500.0</v>
      </c>
      <c r="Z25" s="8">
        <f>ROUND(W25*'Premissas'!$B$18,2)</f>
        <v>4500.0</v>
      </c>
      <c r="AA25" s="8">
        <f>ROUND(V25*'Premissas'!$B$18,2)</f>
        <v>4500.0</v>
      </c>
      <c r="AB25" s="8">
        <f>ROUND(V25-X25-Y25-AA25,2)</f>
        <v>28800.0</v>
      </c>
      <c r="AC25" s="10">
        <f>D25*'Ofertas'!$C$5</f>
        <v>180.0</v>
      </c>
      <c r="AD25" s="8">
        <f>ROUND(D25*'Ofertas'!$B$5,2)</f>
        <v>67500.0</v>
      </c>
      <c r="AE25" s="8">
        <f>AD25</f>
        <v>67500.0</v>
      </c>
      <c r="AF25" s="8">
        <f>ROUND(AC25*'Ofertas'!$D$5,2)</f>
        <v>21600.0</v>
      </c>
      <c r="AG25" s="8">
        <f>ROUND(AD25*'Premissas'!$B$10,2)</f>
        <v>10125.0</v>
      </c>
      <c r="AH25" s="8">
        <f>ROUND(AD25*'Premissas'!$B$31,2)</f>
        <v>3375.0</v>
      </c>
      <c r="AI25" s="8">
        <f>ROUND(D25*'Ofertas'!$H$5,2)</f>
        <v>2400.0</v>
      </c>
      <c r="AJ25" s="8">
        <f>ROUND(AD25-AF25-AG25-AH25-AI25,2)</f>
        <v>30000.0</v>
      </c>
      <c r="AK25" s="10">
        <f>E25*'Ofertas'!$C$6</f>
        <v>200.0</v>
      </c>
      <c r="AL25" s="8">
        <f>ROUND(E25*'Ofertas'!$B$6,2)</f>
        <v>90000.0</v>
      </c>
      <c r="AM25" s="8">
        <f>ROUND(AL25*'Premissas'!$B$32+AL24*(1-'Premissas'!$B$32),2)</f>
        <v>90000.0</v>
      </c>
      <c r="AN25" s="8">
        <f>ROUND(AK25*'Ofertas'!$D$6,2)</f>
        <v>36000.0</v>
      </c>
      <c r="AO25" s="8">
        <f>ROUND(AL25*'Premissas'!$B$10,2)</f>
        <v>13500.0</v>
      </c>
      <c r="AP25" s="8">
        <f>ROUND(AL25*'Premissas'!$B$31,2)</f>
        <v>4500.0</v>
      </c>
      <c r="AQ25" s="8">
        <f>ROUND(E25*'Ofertas'!$H$6,2)</f>
        <v>3000.0</v>
      </c>
      <c r="AR25" s="8">
        <f>ROUND(AL25-AN25-AO25-AP25-AQ25,2)</f>
        <v>33000.0</v>
      </c>
      <c r="AS25" s="10">
        <f>F25*'Ofertas'!$C$7</f>
        <v>80.0</v>
      </c>
      <c r="AT25" s="8">
        <f>ROUND(F25*'Ofertas'!$B$7,2)</f>
        <v>35000.0</v>
      </c>
      <c r="AU25" s="8">
        <f>AT25</f>
        <v>35000.0</v>
      </c>
      <c r="AV25" s="8">
        <f>ROUND(AS25*'Ofertas'!$D$7,2)</f>
        <v>9600.0</v>
      </c>
      <c r="AW25" s="8">
        <f>ROUND(AT25*'Premissas'!$B$10,2)</f>
        <v>5250.0</v>
      </c>
      <c r="AX25" s="8">
        <f>ROUND(AT25*'Premissas'!$B$31,2)</f>
        <v>1750.0</v>
      </c>
      <c r="AY25" s="8">
        <f>ROUND(F25*'Ofertas'!$H$7,2)</f>
        <v>2100.0</v>
      </c>
      <c r="AZ25" s="8">
        <f>ROUND(AT25-AV25-AW25-AX25-AY25,2)</f>
        <v>16300.0</v>
      </c>
      <c r="BA25" s="10">
        <f>G25*'Ofertas'!$C$8</f>
        <v>0.0</v>
      </c>
      <c r="BB25" s="8">
        <f>ROUND(G25*'Ofertas'!$B$8,2)</f>
        <v>0.0</v>
      </c>
      <c r="BC25" s="8">
        <f>BB25</f>
        <v>0.0</v>
      </c>
      <c r="BD25" s="8">
        <f>ROUND(BA25*'Ofertas'!$D$8,2)</f>
        <v>0.0</v>
      </c>
      <c r="BE25" s="8">
        <f>ROUND(BB25*'Premissas'!$B$10,2)</f>
        <v>0.0</v>
      </c>
      <c r="BF25" s="8">
        <f>ROUND(BB25*'Premissas'!$B$31,2)</f>
        <v>0.0</v>
      </c>
      <c r="BG25" s="8">
        <f>ROUND(G25*'Ofertas'!$H$8,2)</f>
        <v>0.0</v>
      </c>
      <c r="BH25" s="8">
        <f>ROUND(BB25-BD25-BE25-BF25-BG25,2)</f>
        <v>0.0</v>
      </c>
      <c r="BI25" s="10">
        <f>U25+AC25+AK25+AS25+BA25</f>
        <v>700.0</v>
      </c>
      <c r="BJ25" s="11">
        <f>BI25/'Premissas'!$B$30</f>
        <v>4.375</v>
      </c>
      <c r="BK25" s="8">
        <f>IF(A25&lt;=12,'Premissas'!$B$24,'Premissas'!$B$25)</f>
        <v>42000</v>
      </c>
      <c r="BL25" s="8">
        <f>ROUND(J25+V25+AD25+AL25+AT25+BB25,2)</f>
        <v>1007500.0</v>
      </c>
      <c r="BM25" s="8">
        <f>ROUND(L25+V25+AD25+AL25+AT25+BB25,2)</f>
        <v>949500.0</v>
      </c>
      <c r="BN25" s="8">
        <f>ROUND(T25+AB25+AJ25+AR25+AZ25+BH25,2)</f>
        <v>291007.0</v>
      </c>
      <c r="BO25" s="8">
        <f>ROUND(O25+W25+AE25+AM25+AU25+BC25,2)</f>
        <v>860467.0</v>
      </c>
      <c r="BP25" s="8">
        <f>ROUND(P25+Q25+R25+S25+X25+Y25+Z25+BK25+AF25+AG25+AH25+AI25+AN25+AO25+AP25+AQ25+AV25+AW25+AX25+AY25+BD25+BE25+BF25+BG25,2)</f>
        <v>611460.0</v>
      </c>
      <c r="BQ25" s="8">
        <f>ROUND(BO25-BP25,2)</f>
        <v>249007.0</v>
      </c>
      <c r="BR25" s="8">
        <f>ROUND(BR24+BQ25,2)</f>
        <v>2390950.98</v>
      </c>
      <c r="BS25" s="8">
        <f>ROUND(BN25-BK25,2)</f>
        <v>249007.0</v>
      </c>
      <c r="BT25" s="8">
        <f>ROUND(BT24+N25-O25+V25-W25+AL25-AM25,2)</f>
        <v>667967.0</v>
      </c>
      <c r="BU25" s="10">
        <f>IF(BR25&gt;=0,A25,999)</f>
        <v>21</v>
      </c>
      <c r="BV25" s="8">
        <f>ROUND(BR25+200000,2)</f>
        <v>2590950.98</v>
      </c>
    </row>
    <row r="26" spans="1:74">
      <c r="A26" s="10">
        <v>22</v>
      </c>
      <c r="B26" s="7">
        <v>5000</v>
      </c>
      <c r="C26" s="7">
        <v>3</v>
      </c>
      <c r="D26" s="7">
        <v>15</v>
      </c>
      <c r="E26" s="7">
        <v>5</v>
      </c>
      <c r="F26" s="7">
        <v>10</v>
      </c>
      <c r="G26" s="10">
        <f>MAX(0,F26-F25)</f>
        <v>0</v>
      </c>
      <c r="H26" s="10">
        <f>ROUNDUP(B26/'Premissas'!$B$14,0)</f>
        <v>250000</v>
      </c>
      <c r="I26" s="8">
        <f>ROUND(B26*'Premissas'!$B$5,2)</f>
        <v>145000.0</v>
      </c>
      <c r="J26" s="8">
        <f>ROUND(I26*'Premissas'!$B$6,2)</f>
        <v>725000.0</v>
      </c>
      <c r="K26" s="8">
        <f>ROUND(J26*'Premissas'!$B$7,2)</f>
        <v>58000.0</v>
      </c>
      <c r="L26" s="8">
        <f>ROUND(J26-K26,2)</f>
        <v>667000.0</v>
      </c>
      <c r="M26" s="8">
        <f>ROUND(L26*'Premissas'!$B$8+B26*(1-'Premissas'!$B$7)*'Premissas'!$B$9*'Premissas'!$B$6,2)</f>
        <v>89033.0</v>
      </c>
      <c r="N26" s="8">
        <f>ROUND(L26-M26,2)</f>
        <v>577967.0</v>
      </c>
      <c r="O26" s="8">
        <f>IF(A26&gt;'Premissas'!$B$20,INDEX($N$5:$N$28,MAX(1,A26-'Premissas'!$B$20)),0)</f>
        <v>577967.0</v>
      </c>
      <c r="P26" s="8">
        <f>ROUND(L26*'Premissas'!$B$10,2)</f>
        <v>100050.0</v>
      </c>
      <c r="Q26" s="8">
        <f>ROUND(L26*'Premissas'!$B$11,2)</f>
        <v>20010.0</v>
      </c>
      <c r="R26" s="8">
        <f>ROUND(B26*'Premissas'!$B$12*'Premissas'!$B$6,2)</f>
        <v>250000.0</v>
      </c>
      <c r="S26" s="8">
        <f>ROUND(B26*'Premissas'!$B$13*'Premissas'!$B$6,2)</f>
        <v>25000.0</v>
      </c>
      <c r="T26" s="8">
        <f>ROUND(L26-M26-P26-Q26-R26-S26,2)</f>
        <v>182907.0</v>
      </c>
      <c r="U26" s="10">
        <f>C26*'Premissas'!$B$16</f>
        <v>240</v>
      </c>
      <c r="V26" s="8">
        <f>ROUND(C26*'Premissas'!$B$15,2)</f>
        <v>90000.0</v>
      </c>
      <c r="W26" s="8">
        <f>ROUND(V26*'Premissas'!$B$19+V25*(1-'Premissas'!$B$19),2)</f>
        <v>90000.0</v>
      </c>
      <c r="X26" s="8">
        <f>ROUND(U26*'Premissas'!$B$17,2)</f>
        <v>43200.0</v>
      </c>
      <c r="Y26" s="8">
        <f>ROUND(V26*'Premissas'!$B$10,2)</f>
        <v>13500.0</v>
      </c>
      <c r="Z26" s="8">
        <f>ROUND(W26*'Premissas'!$B$18,2)</f>
        <v>4500.0</v>
      </c>
      <c r="AA26" s="8">
        <f>ROUND(V26*'Premissas'!$B$18,2)</f>
        <v>4500.0</v>
      </c>
      <c r="AB26" s="8">
        <f>ROUND(V26-X26-Y26-AA26,2)</f>
        <v>28800.0</v>
      </c>
      <c r="AC26" s="10">
        <f>D26*'Ofertas'!$C$5</f>
        <v>180.0</v>
      </c>
      <c r="AD26" s="8">
        <f>ROUND(D26*'Ofertas'!$B$5,2)</f>
        <v>67500.0</v>
      </c>
      <c r="AE26" s="8">
        <f>AD26</f>
        <v>67500.0</v>
      </c>
      <c r="AF26" s="8">
        <f>ROUND(AC26*'Ofertas'!$D$5,2)</f>
        <v>21600.0</v>
      </c>
      <c r="AG26" s="8">
        <f>ROUND(AD26*'Premissas'!$B$10,2)</f>
        <v>10125.0</v>
      </c>
      <c r="AH26" s="8">
        <f>ROUND(AD26*'Premissas'!$B$31,2)</f>
        <v>3375.0</v>
      </c>
      <c r="AI26" s="8">
        <f>ROUND(D26*'Ofertas'!$H$5,2)</f>
        <v>2400.0</v>
      </c>
      <c r="AJ26" s="8">
        <f>ROUND(AD26-AF26-AG26-AH26-AI26,2)</f>
        <v>30000.0</v>
      </c>
      <c r="AK26" s="10">
        <f>E26*'Ofertas'!$C$6</f>
        <v>200.0</v>
      </c>
      <c r="AL26" s="8">
        <f>ROUND(E26*'Ofertas'!$B$6,2)</f>
        <v>90000.0</v>
      </c>
      <c r="AM26" s="8">
        <f>ROUND(AL26*'Premissas'!$B$32+AL25*(1-'Premissas'!$B$32),2)</f>
        <v>90000.0</v>
      </c>
      <c r="AN26" s="8">
        <f>ROUND(AK26*'Ofertas'!$D$6,2)</f>
        <v>36000.0</v>
      </c>
      <c r="AO26" s="8">
        <f>ROUND(AL26*'Premissas'!$B$10,2)</f>
        <v>13500.0</v>
      </c>
      <c r="AP26" s="8">
        <f>ROUND(AL26*'Premissas'!$B$31,2)</f>
        <v>4500.0</v>
      </c>
      <c r="AQ26" s="8">
        <f>ROUND(E26*'Ofertas'!$H$6,2)</f>
        <v>3000.0</v>
      </c>
      <c r="AR26" s="8">
        <f>ROUND(AL26-AN26-AO26-AP26-AQ26,2)</f>
        <v>33000.0</v>
      </c>
      <c r="AS26" s="10">
        <f>F26*'Ofertas'!$C$7</f>
        <v>80.0</v>
      </c>
      <c r="AT26" s="8">
        <f>ROUND(F26*'Ofertas'!$B$7,2)</f>
        <v>35000.0</v>
      </c>
      <c r="AU26" s="8">
        <f>AT26</f>
        <v>35000.0</v>
      </c>
      <c r="AV26" s="8">
        <f>ROUND(AS26*'Ofertas'!$D$7,2)</f>
        <v>9600.0</v>
      </c>
      <c r="AW26" s="8">
        <f>ROUND(AT26*'Premissas'!$B$10,2)</f>
        <v>5250.0</v>
      </c>
      <c r="AX26" s="8">
        <f>ROUND(AT26*'Premissas'!$B$31,2)</f>
        <v>1750.0</v>
      </c>
      <c r="AY26" s="8">
        <f>ROUND(F26*'Ofertas'!$H$7,2)</f>
        <v>2100.0</v>
      </c>
      <c r="AZ26" s="8">
        <f>ROUND(AT26-AV26-AW26-AX26-AY26,2)</f>
        <v>16300.0</v>
      </c>
      <c r="BA26" s="10">
        <f>G26*'Ofertas'!$C$8</f>
        <v>0.0</v>
      </c>
      <c r="BB26" s="8">
        <f>ROUND(G26*'Ofertas'!$B$8,2)</f>
        <v>0.0</v>
      </c>
      <c r="BC26" s="8">
        <f>BB26</f>
        <v>0.0</v>
      </c>
      <c r="BD26" s="8">
        <f>ROUND(BA26*'Ofertas'!$D$8,2)</f>
        <v>0.0</v>
      </c>
      <c r="BE26" s="8">
        <f>ROUND(BB26*'Premissas'!$B$10,2)</f>
        <v>0.0</v>
      </c>
      <c r="BF26" s="8">
        <f>ROUND(BB26*'Premissas'!$B$31,2)</f>
        <v>0.0</v>
      </c>
      <c r="BG26" s="8">
        <f>ROUND(G26*'Ofertas'!$H$8,2)</f>
        <v>0.0</v>
      </c>
      <c r="BH26" s="8">
        <f>ROUND(BB26-BD26-BE26-BF26-BG26,2)</f>
        <v>0.0</v>
      </c>
      <c r="BI26" s="10">
        <f>U26+AC26+AK26+AS26+BA26</f>
        <v>700.0</v>
      </c>
      <c r="BJ26" s="11">
        <f>BI26/'Premissas'!$B$30</f>
        <v>4.375</v>
      </c>
      <c r="BK26" s="8">
        <f>IF(A26&lt;=12,'Premissas'!$B$24,'Premissas'!$B$25)</f>
        <v>42000</v>
      </c>
      <c r="BL26" s="8">
        <f>ROUND(J26+V26+AD26+AL26+AT26+BB26,2)</f>
        <v>1007500.0</v>
      </c>
      <c r="BM26" s="8">
        <f>ROUND(L26+V26+AD26+AL26+AT26+BB26,2)</f>
        <v>949500.0</v>
      </c>
      <c r="BN26" s="8">
        <f>ROUND(T26+AB26+AJ26+AR26+AZ26+BH26,2)</f>
        <v>291007.0</v>
      </c>
      <c r="BO26" s="8">
        <f>ROUND(O26+W26+AE26+AM26+AU26+BC26,2)</f>
        <v>860467.0</v>
      </c>
      <c r="BP26" s="8">
        <f>ROUND(P26+Q26+R26+S26+X26+Y26+Z26+BK26+AF26+AG26+AH26+AI26+AN26+AO26+AP26+AQ26+AV26+AW26+AX26+AY26+BD26+BE26+BF26+BG26,2)</f>
        <v>611460.0</v>
      </c>
      <c r="BQ26" s="8">
        <f>ROUND(BO26-BP26,2)</f>
        <v>249007.0</v>
      </c>
      <c r="BR26" s="8">
        <f>ROUND(BR25+BQ26,2)</f>
        <v>2639957.98</v>
      </c>
      <c r="BS26" s="8">
        <f>ROUND(BN26-BK26,2)</f>
        <v>249007.0</v>
      </c>
      <c r="BT26" s="8">
        <f>ROUND(BT25+N26-O26+V26-W26+AL26-AM26,2)</f>
        <v>667967.0</v>
      </c>
      <c r="BU26" s="10">
        <f>IF(BR26&gt;=0,A26,999)</f>
        <v>22</v>
      </c>
      <c r="BV26" s="8">
        <f>ROUND(BR26+200000,2)</f>
        <v>2839957.98</v>
      </c>
    </row>
    <row r="27" spans="1:74">
      <c r="A27" s="10">
        <v>23</v>
      </c>
      <c r="B27" s="7">
        <v>5000</v>
      </c>
      <c r="C27" s="7">
        <v>3</v>
      </c>
      <c r="D27" s="7">
        <v>15</v>
      </c>
      <c r="E27" s="7">
        <v>5</v>
      </c>
      <c r="F27" s="7">
        <v>10</v>
      </c>
      <c r="G27" s="10">
        <f>MAX(0,F27-F26)</f>
        <v>0</v>
      </c>
      <c r="H27" s="10">
        <f>ROUNDUP(B27/'Premissas'!$B$14,0)</f>
        <v>250000</v>
      </c>
      <c r="I27" s="8">
        <f>ROUND(B27*'Premissas'!$B$5,2)</f>
        <v>145000.0</v>
      </c>
      <c r="J27" s="8">
        <f>ROUND(I27*'Premissas'!$B$6,2)</f>
        <v>725000.0</v>
      </c>
      <c r="K27" s="8">
        <f>ROUND(J27*'Premissas'!$B$7,2)</f>
        <v>58000.0</v>
      </c>
      <c r="L27" s="8">
        <f>ROUND(J27-K27,2)</f>
        <v>667000.0</v>
      </c>
      <c r="M27" s="8">
        <f>ROUND(L27*'Premissas'!$B$8+B27*(1-'Premissas'!$B$7)*'Premissas'!$B$9*'Premissas'!$B$6,2)</f>
        <v>89033.0</v>
      </c>
      <c r="N27" s="8">
        <f>ROUND(L27-M27,2)</f>
        <v>577967.0</v>
      </c>
      <c r="O27" s="8">
        <f>IF(A27&gt;'Premissas'!$B$20,INDEX($N$5:$N$28,MAX(1,A27-'Premissas'!$B$20)),0)</f>
        <v>577967.0</v>
      </c>
      <c r="P27" s="8">
        <f>ROUND(L27*'Premissas'!$B$10,2)</f>
        <v>100050.0</v>
      </c>
      <c r="Q27" s="8">
        <f>ROUND(L27*'Premissas'!$B$11,2)</f>
        <v>20010.0</v>
      </c>
      <c r="R27" s="8">
        <f>ROUND(B27*'Premissas'!$B$12*'Premissas'!$B$6,2)</f>
        <v>250000.0</v>
      </c>
      <c r="S27" s="8">
        <f>ROUND(B27*'Premissas'!$B$13*'Premissas'!$B$6,2)</f>
        <v>25000.0</v>
      </c>
      <c r="T27" s="8">
        <f>ROUND(L27-M27-P27-Q27-R27-S27,2)</f>
        <v>182907.0</v>
      </c>
      <c r="U27" s="10">
        <f>C27*'Premissas'!$B$16</f>
        <v>240</v>
      </c>
      <c r="V27" s="8">
        <f>ROUND(C27*'Premissas'!$B$15,2)</f>
        <v>90000.0</v>
      </c>
      <c r="W27" s="8">
        <f>ROUND(V27*'Premissas'!$B$19+V26*(1-'Premissas'!$B$19),2)</f>
        <v>90000.0</v>
      </c>
      <c r="X27" s="8">
        <f>ROUND(U27*'Premissas'!$B$17,2)</f>
        <v>43200.0</v>
      </c>
      <c r="Y27" s="8">
        <f>ROUND(V27*'Premissas'!$B$10,2)</f>
        <v>13500.0</v>
      </c>
      <c r="Z27" s="8">
        <f>ROUND(W27*'Premissas'!$B$18,2)</f>
        <v>4500.0</v>
      </c>
      <c r="AA27" s="8">
        <f>ROUND(V27*'Premissas'!$B$18,2)</f>
        <v>4500.0</v>
      </c>
      <c r="AB27" s="8">
        <f>ROUND(V27-X27-Y27-AA27,2)</f>
        <v>28800.0</v>
      </c>
      <c r="AC27" s="10">
        <f>D27*'Ofertas'!$C$5</f>
        <v>180.0</v>
      </c>
      <c r="AD27" s="8">
        <f>ROUND(D27*'Ofertas'!$B$5,2)</f>
        <v>67500.0</v>
      </c>
      <c r="AE27" s="8">
        <f>AD27</f>
        <v>67500.0</v>
      </c>
      <c r="AF27" s="8">
        <f>ROUND(AC27*'Ofertas'!$D$5,2)</f>
        <v>21600.0</v>
      </c>
      <c r="AG27" s="8">
        <f>ROUND(AD27*'Premissas'!$B$10,2)</f>
        <v>10125.0</v>
      </c>
      <c r="AH27" s="8">
        <f>ROUND(AD27*'Premissas'!$B$31,2)</f>
        <v>3375.0</v>
      </c>
      <c r="AI27" s="8">
        <f>ROUND(D27*'Ofertas'!$H$5,2)</f>
        <v>2400.0</v>
      </c>
      <c r="AJ27" s="8">
        <f>ROUND(AD27-AF27-AG27-AH27-AI27,2)</f>
        <v>30000.0</v>
      </c>
      <c r="AK27" s="10">
        <f>E27*'Ofertas'!$C$6</f>
        <v>200.0</v>
      </c>
      <c r="AL27" s="8">
        <f>ROUND(E27*'Ofertas'!$B$6,2)</f>
        <v>90000.0</v>
      </c>
      <c r="AM27" s="8">
        <f>ROUND(AL27*'Premissas'!$B$32+AL26*(1-'Premissas'!$B$32),2)</f>
        <v>90000.0</v>
      </c>
      <c r="AN27" s="8">
        <f>ROUND(AK27*'Ofertas'!$D$6,2)</f>
        <v>36000.0</v>
      </c>
      <c r="AO27" s="8">
        <f>ROUND(AL27*'Premissas'!$B$10,2)</f>
        <v>13500.0</v>
      </c>
      <c r="AP27" s="8">
        <f>ROUND(AL27*'Premissas'!$B$31,2)</f>
        <v>4500.0</v>
      </c>
      <c r="AQ27" s="8">
        <f>ROUND(E27*'Ofertas'!$H$6,2)</f>
        <v>3000.0</v>
      </c>
      <c r="AR27" s="8">
        <f>ROUND(AL27-AN27-AO27-AP27-AQ27,2)</f>
        <v>33000.0</v>
      </c>
      <c r="AS27" s="10">
        <f>F27*'Ofertas'!$C$7</f>
        <v>80.0</v>
      </c>
      <c r="AT27" s="8">
        <f>ROUND(F27*'Ofertas'!$B$7,2)</f>
        <v>35000.0</v>
      </c>
      <c r="AU27" s="8">
        <f>AT27</f>
        <v>35000.0</v>
      </c>
      <c r="AV27" s="8">
        <f>ROUND(AS27*'Ofertas'!$D$7,2)</f>
        <v>9600.0</v>
      </c>
      <c r="AW27" s="8">
        <f>ROUND(AT27*'Premissas'!$B$10,2)</f>
        <v>5250.0</v>
      </c>
      <c r="AX27" s="8">
        <f>ROUND(AT27*'Premissas'!$B$31,2)</f>
        <v>1750.0</v>
      </c>
      <c r="AY27" s="8">
        <f>ROUND(F27*'Ofertas'!$H$7,2)</f>
        <v>2100.0</v>
      </c>
      <c r="AZ27" s="8">
        <f>ROUND(AT27-AV27-AW27-AX27-AY27,2)</f>
        <v>16300.0</v>
      </c>
      <c r="BA27" s="10">
        <f>G27*'Ofertas'!$C$8</f>
        <v>0.0</v>
      </c>
      <c r="BB27" s="8">
        <f>ROUND(G27*'Ofertas'!$B$8,2)</f>
        <v>0.0</v>
      </c>
      <c r="BC27" s="8">
        <f>BB27</f>
        <v>0.0</v>
      </c>
      <c r="BD27" s="8">
        <f>ROUND(BA27*'Ofertas'!$D$8,2)</f>
        <v>0.0</v>
      </c>
      <c r="BE27" s="8">
        <f>ROUND(BB27*'Premissas'!$B$10,2)</f>
        <v>0.0</v>
      </c>
      <c r="BF27" s="8">
        <f>ROUND(BB27*'Premissas'!$B$31,2)</f>
        <v>0.0</v>
      </c>
      <c r="BG27" s="8">
        <f>ROUND(G27*'Ofertas'!$H$8,2)</f>
        <v>0.0</v>
      </c>
      <c r="BH27" s="8">
        <f>ROUND(BB27-BD27-BE27-BF27-BG27,2)</f>
        <v>0.0</v>
      </c>
      <c r="BI27" s="10">
        <f>U27+AC27+AK27+AS27+BA27</f>
        <v>700.0</v>
      </c>
      <c r="BJ27" s="11">
        <f>BI27/'Premissas'!$B$30</f>
        <v>4.375</v>
      </c>
      <c r="BK27" s="8">
        <f>IF(A27&lt;=12,'Premissas'!$B$24,'Premissas'!$B$25)</f>
        <v>42000</v>
      </c>
      <c r="BL27" s="8">
        <f>ROUND(J27+V27+AD27+AL27+AT27+BB27,2)</f>
        <v>1007500.0</v>
      </c>
      <c r="BM27" s="8">
        <f>ROUND(L27+V27+AD27+AL27+AT27+BB27,2)</f>
        <v>949500.0</v>
      </c>
      <c r="BN27" s="8">
        <f>ROUND(T27+AB27+AJ27+AR27+AZ27+BH27,2)</f>
        <v>291007.0</v>
      </c>
      <c r="BO27" s="8">
        <f>ROUND(O27+W27+AE27+AM27+AU27+BC27,2)</f>
        <v>860467.0</v>
      </c>
      <c r="BP27" s="8">
        <f>ROUND(P27+Q27+R27+S27+X27+Y27+Z27+BK27+AF27+AG27+AH27+AI27+AN27+AO27+AP27+AQ27+AV27+AW27+AX27+AY27+BD27+BE27+BF27+BG27,2)</f>
        <v>611460.0</v>
      </c>
      <c r="BQ27" s="8">
        <f>ROUND(BO27-BP27,2)</f>
        <v>249007.0</v>
      </c>
      <c r="BR27" s="8">
        <f>ROUND(BR26+BQ27,2)</f>
        <v>2888964.98</v>
      </c>
      <c r="BS27" s="8">
        <f>ROUND(BN27-BK27,2)</f>
        <v>249007.0</v>
      </c>
      <c r="BT27" s="8">
        <f>ROUND(BT26+N27-O27+V27-W27+AL27-AM27,2)</f>
        <v>667967.0</v>
      </c>
      <c r="BU27" s="10">
        <f>IF(BR27&gt;=0,A27,999)</f>
        <v>23</v>
      </c>
      <c r="BV27" s="8">
        <f>ROUND(BR27+200000,2)</f>
        <v>3088964.98</v>
      </c>
    </row>
    <row r="28" spans="1:74">
      <c r="A28" s="10">
        <v>24</v>
      </c>
      <c r="B28" s="7">
        <v>5000</v>
      </c>
      <c r="C28" s="7">
        <v>3</v>
      </c>
      <c r="D28" s="7">
        <v>15</v>
      </c>
      <c r="E28" s="7">
        <v>5</v>
      </c>
      <c r="F28" s="7">
        <v>10</v>
      </c>
      <c r="G28" s="10">
        <f>MAX(0,F28-F27)</f>
        <v>0</v>
      </c>
      <c r="H28" s="10">
        <f>ROUNDUP(B28/'Premissas'!$B$14,0)</f>
        <v>250000</v>
      </c>
      <c r="I28" s="8">
        <f>ROUND(B28*'Premissas'!$B$5,2)</f>
        <v>145000.0</v>
      </c>
      <c r="J28" s="8">
        <f>ROUND(I28*'Premissas'!$B$6,2)</f>
        <v>725000.0</v>
      </c>
      <c r="K28" s="8">
        <f>ROUND(J28*'Premissas'!$B$7,2)</f>
        <v>58000.0</v>
      </c>
      <c r="L28" s="8">
        <f>ROUND(J28-K28,2)</f>
        <v>667000.0</v>
      </c>
      <c r="M28" s="8">
        <f>ROUND(L28*'Premissas'!$B$8+B28*(1-'Premissas'!$B$7)*'Premissas'!$B$9*'Premissas'!$B$6,2)</f>
        <v>89033.0</v>
      </c>
      <c r="N28" s="8">
        <f>ROUND(L28-M28,2)</f>
        <v>577967.0</v>
      </c>
      <c r="O28" s="8">
        <f>IF(A28&gt;'Premissas'!$B$20,INDEX($N$5:$N$28,MAX(1,A28-'Premissas'!$B$20)),0)</f>
        <v>577967.0</v>
      </c>
      <c r="P28" s="8">
        <f>ROUND(L28*'Premissas'!$B$10,2)</f>
        <v>100050.0</v>
      </c>
      <c r="Q28" s="8">
        <f>ROUND(L28*'Premissas'!$B$11,2)</f>
        <v>20010.0</v>
      </c>
      <c r="R28" s="8">
        <f>ROUND(B28*'Premissas'!$B$12*'Premissas'!$B$6,2)</f>
        <v>250000.0</v>
      </c>
      <c r="S28" s="8">
        <f>ROUND(B28*'Premissas'!$B$13*'Premissas'!$B$6,2)</f>
        <v>25000.0</v>
      </c>
      <c r="T28" s="8">
        <f>ROUND(L28-M28-P28-Q28-R28-S28,2)</f>
        <v>182907.0</v>
      </c>
      <c r="U28" s="10">
        <f>C28*'Premissas'!$B$16</f>
        <v>240</v>
      </c>
      <c r="V28" s="8">
        <f>ROUND(C28*'Premissas'!$B$15,2)</f>
        <v>90000.0</v>
      </c>
      <c r="W28" s="8">
        <f>ROUND(V28*'Premissas'!$B$19+V27*(1-'Premissas'!$B$19),2)</f>
        <v>90000.0</v>
      </c>
      <c r="X28" s="8">
        <f>ROUND(U28*'Premissas'!$B$17,2)</f>
        <v>43200.0</v>
      </c>
      <c r="Y28" s="8">
        <f>ROUND(V28*'Premissas'!$B$10,2)</f>
        <v>13500.0</v>
      </c>
      <c r="Z28" s="8">
        <f>ROUND(W28*'Premissas'!$B$18,2)</f>
        <v>4500.0</v>
      </c>
      <c r="AA28" s="8">
        <f>ROUND(V28*'Premissas'!$B$18,2)</f>
        <v>4500.0</v>
      </c>
      <c r="AB28" s="8">
        <f>ROUND(V28-X28-Y28-AA28,2)</f>
        <v>28800.0</v>
      </c>
      <c r="AC28" s="10">
        <f>D28*'Ofertas'!$C$5</f>
        <v>180.0</v>
      </c>
      <c r="AD28" s="8">
        <f>ROUND(D28*'Ofertas'!$B$5,2)</f>
        <v>67500.0</v>
      </c>
      <c r="AE28" s="8">
        <f>AD28</f>
        <v>67500.0</v>
      </c>
      <c r="AF28" s="8">
        <f>ROUND(AC28*'Ofertas'!$D$5,2)</f>
        <v>21600.0</v>
      </c>
      <c r="AG28" s="8">
        <f>ROUND(AD28*'Premissas'!$B$10,2)</f>
        <v>10125.0</v>
      </c>
      <c r="AH28" s="8">
        <f>ROUND(AD28*'Premissas'!$B$31,2)</f>
        <v>3375.0</v>
      </c>
      <c r="AI28" s="8">
        <f>ROUND(D28*'Ofertas'!$H$5,2)</f>
        <v>2400.0</v>
      </c>
      <c r="AJ28" s="8">
        <f>ROUND(AD28-AF28-AG28-AH28-AI28,2)</f>
        <v>30000.0</v>
      </c>
      <c r="AK28" s="10">
        <f>E28*'Ofertas'!$C$6</f>
        <v>200.0</v>
      </c>
      <c r="AL28" s="8">
        <f>ROUND(E28*'Ofertas'!$B$6,2)</f>
        <v>90000.0</v>
      </c>
      <c r="AM28" s="8">
        <f>ROUND(AL28*'Premissas'!$B$32+AL27*(1-'Premissas'!$B$32),2)</f>
        <v>90000.0</v>
      </c>
      <c r="AN28" s="8">
        <f>ROUND(AK28*'Ofertas'!$D$6,2)</f>
        <v>36000.0</v>
      </c>
      <c r="AO28" s="8">
        <f>ROUND(AL28*'Premissas'!$B$10,2)</f>
        <v>13500.0</v>
      </c>
      <c r="AP28" s="8">
        <f>ROUND(AL28*'Premissas'!$B$31,2)</f>
        <v>4500.0</v>
      </c>
      <c r="AQ28" s="8">
        <f>ROUND(E28*'Ofertas'!$H$6,2)</f>
        <v>3000.0</v>
      </c>
      <c r="AR28" s="8">
        <f>ROUND(AL28-AN28-AO28-AP28-AQ28,2)</f>
        <v>33000.0</v>
      </c>
      <c r="AS28" s="10">
        <f>F28*'Ofertas'!$C$7</f>
        <v>80.0</v>
      </c>
      <c r="AT28" s="8">
        <f>ROUND(F28*'Ofertas'!$B$7,2)</f>
        <v>35000.0</v>
      </c>
      <c r="AU28" s="8">
        <f>AT28</f>
        <v>35000.0</v>
      </c>
      <c r="AV28" s="8">
        <f>ROUND(AS28*'Ofertas'!$D$7,2)</f>
        <v>9600.0</v>
      </c>
      <c r="AW28" s="8">
        <f>ROUND(AT28*'Premissas'!$B$10,2)</f>
        <v>5250.0</v>
      </c>
      <c r="AX28" s="8">
        <f>ROUND(AT28*'Premissas'!$B$31,2)</f>
        <v>1750.0</v>
      </c>
      <c r="AY28" s="8">
        <f>ROUND(F28*'Ofertas'!$H$7,2)</f>
        <v>2100.0</v>
      </c>
      <c r="AZ28" s="8">
        <f>ROUND(AT28-AV28-AW28-AX28-AY28,2)</f>
        <v>16300.0</v>
      </c>
      <c r="BA28" s="10">
        <f>G28*'Ofertas'!$C$8</f>
        <v>0.0</v>
      </c>
      <c r="BB28" s="8">
        <f>ROUND(G28*'Ofertas'!$B$8,2)</f>
        <v>0.0</v>
      </c>
      <c r="BC28" s="8">
        <f>BB28</f>
        <v>0.0</v>
      </c>
      <c r="BD28" s="8">
        <f>ROUND(BA28*'Ofertas'!$D$8,2)</f>
        <v>0.0</v>
      </c>
      <c r="BE28" s="8">
        <f>ROUND(BB28*'Premissas'!$B$10,2)</f>
        <v>0.0</v>
      </c>
      <c r="BF28" s="8">
        <f>ROUND(BB28*'Premissas'!$B$31,2)</f>
        <v>0.0</v>
      </c>
      <c r="BG28" s="8">
        <f>ROUND(G28*'Ofertas'!$H$8,2)</f>
        <v>0.0</v>
      </c>
      <c r="BH28" s="8">
        <f>ROUND(BB28-BD28-BE28-BF28-BG28,2)</f>
        <v>0.0</v>
      </c>
      <c r="BI28" s="10">
        <f>U28+AC28+AK28+AS28+BA28</f>
        <v>700.0</v>
      </c>
      <c r="BJ28" s="11">
        <f>BI28/'Premissas'!$B$30</f>
        <v>4.375</v>
      </c>
      <c r="BK28" s="8">
        <f>IF(A28&lt;=12,'Premissas'!$B$24,'Premissas'!$B$25)</f>
        <v>42000</v>
      </c>
      <c r="BL28" s="8">
        <f>ROUND(J28+V28+AD28+AL28+AT28+BB28,2)</f>
        <v>1007500.0</v>
      </c>
      <c r="BM28" s="8">
        <f>ROUND(L28+V28+AD28+AL28+AT28+BB28,2)</f>
        <v>949500.0</v>
      </c>
      <c r="BN28" s="8">
        <f>ROUND(T28+AB28+AJ28+AR28+AZ28+BH28,2)</f>
        <v>291007.0</v>
      </c>
      <c r="BO28" s="8">
        <f>ROUND(O28+W28+AE28+AM28+AU28+BC28,2)</f>
        <v>860467.0</v>
      </c>
      <c r="BP28" s="8">
        <f>ROUND(P28+Q28+R28+S28+X28+Y28+Z28+BK28+AF28+AG28+AH28+AI28+AN28+AO28+AP28+AQ28+AV28+AW28+AX28+AY28+BD28+BE28+BF28+BG28,2)</f>
        <v>611460.0</v>
      </c>
      <c r="BQ28" s="8">
        <f>ROUND(BO28-BP28,2)</f>
        <v>249007.0</v>
      </c>
      <c r="BR28" s="8">
        <f>ROUND(BR27+BQ28,2)</f>
        <v>3137971.98</v>
      </c>
      <c r="BS28" s="8">
        <f>ROUND(BN28-BK28,2)</f>
        <v>249007.0</v>
      </c>
      <c r="BT28" s="8">
        <f>ROUND(BT27+N28-O28+V28-W28+AL28-AM28,2)</f>
        <v>667967.0</v>
      </c>
      <c r="BU28" s="10">
        <f>IF(BR28&gt;=0,A28,999)</f>
        <v>24</v>
      </c>
      <c r="BV28" s="8">
        <f>ROUND(BR28+200000,2)</f>
        <v>3337971.98</v>
      </c>
    </row>
  </sheetData>
  <autoFilter ref="A4:BV28"/>
  <mergeCells count="2">
    <mergeCell ref="A1:BV1"/>
    <mergeCell ref="A2:BV2"/>
  </mergeCells>
  <conditionalFormatting sqref="BR5:BR28">
    <cfRule type="cellIs" dxfId="0" priority="1" operator="lessThan">
      <formula>0</formula>
    </cfRule>
  </conditionalFormatting>
  <dataValidations count="120">
    <dataValidation type="whole" allowBlank="1" showInputMessage="1" showErrorMessage="1" sqref="B5">
      <formula1>0</formula1>
      <formula2>1000000000</formula2>
    </dataValidation>
    <dataValidation type="whole" allowBlank="1" showInputMessage="1" showErrorMessage="1" sqref="C5">
      <formula1>0</formula1>
      <formula2>1000000000</formula2>
    </dataValidation>
    <dataValidation type="whole" allowBlank="1" showInputMessage="1" showErrorMessage="1" sqref="D5">
      <formula1>0</formula1>
      <formula2>1000000000</formula2>
    </dataValidation>
    <dataValidation type="whole" allowBlank="1" showInputMessage="1" showErrorMessage="1" sqref="E5">
      <formula1>0</formula1>
      <formula2>1000000000</formula2>
    </dataValidation>
    <dataValidation type="whole" allowBlank="1" showInputMessage="1" showErrorMessage="1" sqref="F5">
      <formula1>0</formula1>
      <formula2>1000000000</formula2>
    </dataValidation>
    <dataValidation type="whole" allowBlank="1" showInputMessage="1" showErrorMessage="1" sqref="B6">
      <formula1>0</formula1>
      <formula2>1000000000</formula2>
    </dataValidation>
    <dataValidation type="whole" allowBlank="1" showInputMessage="1" showErrorMessage="1" sqref="C6">
      <formula1>0</formula1>
      <formula2>1000000000</formula2>
    </dataValidation>
    <dataValidation type="whole" allowBlank="1" showInputMessage="1" showErrorMessage="1" sqref="D6">
      <formula1>0</formula1>
      <formula2>1000000000</formula2>
    </dataValidation>
    <dataValidation type="whole" allowBlank="1" showInputMessage="1" showErrorMessage="1" sqref="E6">
      <formula1>0</formula1>
      <formula2>1000000000</formula2>
    </dataValidation>
    <dataValidation type="whole" allowBlank="1" showInputMessage="1" showErrorMessage="1" sqref="F6">
      <formula1>0</formula1>
      <formula2>1000000000</formula2>
    </dataValidation>
    <dataValidation type="whole" allowBlank="1" showInputMessage="1" showErrorMessage="1" sqref="B7">
      <formula1>0</formula1>
      <formula2>1000000000</formula2>
    </dataValidation>
    <dataValidation type="whole" allowBlank="1" showInputMessage="1" showErrorMessage="1" sqref="C7">
      <formula1>0</formula1>
      <formula2>1000000000</formula2>
    </dataValidation>
    <dataValidation type="whole" allowBlank="1" showInputMessage="1" showErrorMessage="1" sqref="D7">
      <formula1>0</formula1>
      <formula2>1000000000</formula2>
    </dataValidation>
    <dataValidation type="whole" allowBlank="1" showInputMessage="1" showErrorMessage="1" sqref="E7">
      <formula1>0</formula1>
      <formula2>1000000000</formula2>
    </dataValidation>
    <dataValidation type="whole" allowBlank="1" showInputMessage="1" showErrorMessage="1" sqref="F7">
      <formula1>0</formula1>
      <formula2>1000000000</formula2>
    </dataValidation>
    <dataValidation type="whole" allowBlank="1" showInputMessage="1" showErrorMessage="1" sqref="B8">
      <formula1>0</formula1>
      <formula2>1000000000</formula2>
    </dataValidation>
    <dataValidation type="whole" allowBlank="1" showInputMessage="1" showErrorMessage="1" sqref="C8">
      <formula1>0</formula1>
      <formula2>1000000000</formula2>
    </dataValidation>
    <dataValidation type="whole" allowBlank="1" showInputMessage="1" showErrorMessage="1" sqref="D8">
      <formula1>0</formula1>
      <formula2>1000000000</formula2>
    </dataValidation>
    <dataValidation type="whole" allowBlank="1" showInputMessage="1" showErrorMessage="1" sqref="E8">
      <formula1>0</formula1>
      <formula2>1000000000</formula2>
    </dataValidation>
    <dataValidation type="whole" allowBlank="1" showInputMessage="1" showErrorMessage="1" sqref="F8">
      <formula1>0</formula1>
      <formula2>1000000000</formula2>
    </dataValidation>
    <dataValidation type="whole" allowBlank="1" showInputMessage="1" showErrorMessage="1" sqref="B9">
      <formula1>0</formula1>
      <formula2>1000000000</formula2>
    </dataValidation>
    <dataValidation type="whole" allowBlank="1" showInputMessage="1" showErrorMessage="1" sqref="C9">
      <formula1>0</formula1>
      <formula2>1000000000</formula2>
    </dataValidation>
    <dataValidation type="whole" allowBlank="1" showInputMessage="1" showErrorMessage="1" sqref="D9">
      <formula1>0</formula1>
      <formula2>1000000000</formula2>
    </dataValidation>
    <dataValidation type="whole" allowBlank="1" showInputMessage="1" showErrorMessage="1" sqref="E9">
      <formula1>0</formula1>
      <formula2>1000000000</formula2>
    </dataValidation>
    <dataValidation type="whole" allowBlank="1" showInputMessage="1" showErrorMessage="1" sqref="F9">
      <formula1>0</formula1>
      <formula2>1000000000</formula2>
    </dataValidation>
    <dataValidation type="whole" allowBlank="1" showInputMessage="1" showErrorMessage="1" sqref="B10">
      <formula1>0</formula1>
      <formula2>1000000000</formula2>
    </dataValidation>
    <dataValidation type="whole" allowBlank="1" showInputMessage="1" showErrorMessage="1" sqref="C10">
      <formula1>0</formula1>
      <formula2>1000000000</formula2>
    </dataValidation>
    <dataValidation type="whole" allowBlank="1" showInputMessage="1" showErrorMessage="1" sqref="D10">
      <formula1>0</formula1>
      <formula2>1000000000</formula2>
    </dataValidation>
    <dataValidation type="whole" allowBlank="1" showInputMessage="1" showErrorMessage="1" sqref="E10">
      <formula1>0</formula1>
      <formula2>1000000000</formula2>
    </dataValidation>
    <dataValidation type="whole" allowBlank="1" showInputMessage="1" showErrorMessage="1" sqref="F10">
      <formula1>0</formula1>
      <formula2>1000000000</formula2>
    </dataValidation>
    <dataValidation type="whole" allowBlank="1" showInputMessage="1" showErrorMessage="1" sqref="B11">
      <formula1>0</formula1>
      <formula2>1000000000</formula2>
    </dataValidation>
    <dataValidation type="whole" allowBlank="1" showInputMessage="1" showErrorMessage="1" sqref="C11">
      <formula1>0</formula1>
      <formula2>1000000000</formula2>
    </dataValidation>
    <dataValidation type="whole" allowBlank="1" showInputMessage="1" showErrorMessage="1" sqref="D11">
      <formula1>0</formula1>
      <formula2>1000000000</formula2>
    </dataValidation>
    <dataValidation type="whole" allowBlank="1" showInputMessage="1" showErrorMessage="1" sqref="E11">
      <formula1>0</formula1>
      <formula2>1000000000</formula2>
    </dataValidation>
    <dataValidation type="whole" allowBlank="1" showInputMessage="1" showErrorMessage="1" sqref="F11">
      <formula1>0</formula1>
      <formula2>1000000000</formula2>
    </dataValidation>
    <dataValidation type="whole" allowBlank="1" showInputMessage="1" showErrorMessage="1" sqref="B12">
      <formula1>0</formula1>
      <formula2>1000000000</formula2>
    </dataValidation>
    <dataValidation type="whole" allowBlank="1" showInputMessage="1" showErrorMessage="1" sqref="C12">
      <formula1>0</formula1>
      <formula2>1000000000</formula2>
    </dataValidation>
    <dataValidation type="whole" allowBlank="1" showInputMessage="1" showErrorMessage="1" sqref="D12">
      <formula1>0</formula1>
      <formula2>1000000000</formula2>
    </dataValidation>
    <dataValidation type="whole" allowBlank="1" showInputMessage="1" showErrorMessage="1" sqref="E12">
      <formula1>0</formula1>
      <formula2>1000000000</formula2>
    </dataValidation>
    <dataValidation type="whole" allowBlank="1" showInputMessage="1" showErrorMessage="1" sqref="F12">
      <formula1>0</formula1>
      <formula2>1000000000</formula2>
    </dataValidation>
    <dataValidation type="whole" allowBlank="1" showInputMessage="1" showErrorMessage="1" sqref="B13">
      <formula1>0</formula1>
      <formula2>1000000000</formula2>
    </dataValidation>
    <dataValidation type="whole" allowBlank="1" showInputMessage="1" showErrorMessage="1" sqref="C13">
      <formula1>0</formula1>
      <formula2>1000000000</formula2>
    </dataValidation>
    <dataValidation type="whole" allowBlank="1" showInputMessage="1" showErrorMessage="1" sqref="D13">
      <formula1>0</formula1>
      <formula2>1000000000</formula2>
    </dataValidation>
    <dataValidation type="whole" allowBlank="1" showInputMessage="1" showErrorMessage="1" sqref="E13">
      <formula1>0</formula1>
      <formula2>1000000000</formula2>
    </dataValidation>
    <dataValidation type="whole" allowBlank="1" showInputMessage="1" showErrorMessage="1" sqref="F13">
      <formula1>0</formula1>
      <formula2>1000000000</formula2>
    </dataValidation>
    <dataValidation type="whole" allowBlank="1" showInputMessage="1" showErrorMessage="1" sqref="B14">
      <formula1>0</formula1>
      <formula2>1000000000</formula2>
    </dataValidation>
    <dataValidation type="whole" allowBlank="1" showInputMessage="1" showErrorMessage="1" sqref="C14">
      <formula1>0</formula1>
      <formula2>1000000000</formula2>
    </dataValidation>
    <dataValidation type="whole" allowBlank="1" showInputMessage="1" showErrorMessage="1" sqref="D14">
      <formula1>0</formula1>
      <formula2>1000000000</formula2>
    </dataValidation>
    <dataValidation type="whole" allowBlank="1" showInputMessage="1" showErrorMessage="1" sqref="E14">
      <formula1>0</formula1>
      <formula2>1000000000</formula2>
    </dataValidation>
    <dataValidation type="whole" allowBlank="1" showInputMessage="1" showErrorMessage="1" sqref="F14">
      <formula1>0</formula1>
      <formula2>1000000000</formula2>
    </dataValidation>
    <dataValidation type="whole" allowBlank="1" showInputMessage="1" showErrorMessage="1" sqref="B15">
      <formula1>0</formula1>
      <formula2>1000000000</formula2>
    </dataValidation>
    <dataValidation type="whole" allowBlank="1" showInputMessage="1" showErrorMessage="1" sqref="C15">
      <formula1>0</formula1>
      <formula2>1000000000</formula2>
    </dataValidation>
    <dataValidation type="whole" allowBlank="1" showInputMessage="1" showErrorMessage="1" sqref="D15">
      <formula1>0</formula1>
      <formula2>1000000000</formula2>
    </dataValidation>
    <dataValidation type="whole" allowBlank="1" showInputMessage="1" showErrorMessage="1" sqref="E15">
      <formula1>0</formula1>
      <formula2>1000000000</formula2>
    </dataValidation>
    <dataValidation type="whole" allowBlank="1" showInputMessage="1" showErrorMessage="1" sqref="F15">
      <formula1>0</formula1>
      <formula2>1000000000</formula2>
    </dataValidation>
    <dataValidation type="whole" allowBlank="1" showInputMessage="1" showErrorMessage="1" sqref="B16">
      <formula1>0</formula1>
      <formula2>1000000000</formula2>
    </dataValidation>
    <dataValidation type="whole" allowBlank="1" showInputMessage="1" showErrorMessage="1" sqref="C16">
      <formula1>0</formula1>
      <formula2>1000000000</formula2>
    </dataValidation>
    <dataValidation type="whole" allowBlank="1" showInputMessage="1" showErrorMessage="1" sqref="D16">
      <formula1>0</formula1>
      <formula2>1000000000</formula2>
    </dataValidation>
    <dataValidation type="whole" allowBlank="1" showInputMessage="1" showErrorMessage="1" sqref="E16">
      <formula1>0</formula1>
      <formula2>1000000000</formula2>
    </dataValidation>
    <dataValidation type="whole" allowBlank="1" showInputMessage="1" showErrorMessage="1" sqref="F16">
      <formula1>0</formula1>
      <formula2>1000000000</formula2>
    </dataValidation>
    <dataValidation type="whole" allowBlank="1" showInputMessage="1" showErrorMessage="1" sqref="B17">
      <formula1>0</formula1>
      <formula2>1000000000</formula2>
    </dataValidation>
    <dataValidation type="whole" allowBlank="1" showInputMessage="1" showErrorMessage="1" sqref="C17">
      <formula1>0</formula1>
      <formula2>1000000000</formula2>
    </dataValidation>
    <dataValidation type="whole" allowBlank="1" showInputMessage="1" showErrorMessage="1" sqref="D17">
      <formula1>0</formula1>
      <formula2>1000000000</formula2>
    </dataValidation>
    <dataValidation type="whole" allowBlank="1" showInputMessage="1" showErrorMessage="1" sqref="E17">
      <formula1>0</formula1>
      <formula2>1000000000</formula2>
    </dataValidation>
    <dataValidation type="whole" allowBlank="1" showInputMessage="1" showErrorMessage="1" sqref="F17">
      <formula1>0</formula1>
      <formula2>1000000000</formula2>
    </dataValidation>
    <dataValidation type="whole" allowBlank="1" showInputMessage="1" showErrorMessage="1" sqref="B18">
      <formula1>0</formula1>
      <formula2>1000000000</formula2>
    </dataValidation>
    <dataValidation type="whole" allowBlank="1" showInputMessage="1" showErrorMessage="1" sqref="C18">
      <formula1>0</formula1>
      <formula2>1000000000</formula2>
    </dataValidation>
    <dataValidation type="whole" allowBlank="1" showInputMessage="1" showErrorMessage="1" sqref="D18">
      <formula1>0</formula1>
      <formula2>1000000000</formula2>
    </dataValidation>
    <dataValidation type="whole" allowBlank="1" showInputMessage="1" showErrorMessage="1" sqref="E18">
      <formula1>0</formula1>
      <formula2>1000000000</formula2>
    </dataValidation>
    <dataValidation type="whole" allowBlank="1" showInputMessage="1" showErrorMessage="1" sqref="F18">
      <formula1>0</formula1>
      <formula2>1000000000</formula2>
    </dataValidation>
    <dataValidation type="whole" allowBlank="1" showInputMessage="1" showErrorMessage="1" sqref="B19">
      <formula1>0</formula1>
      <formula2>1000000000</formula2>
    </dataValidation>
    <dataValidation type="whole" allowBlank="1" showInputMessage="1" showErrorMessage="1" sqref="C19">
      <formula1>0</formula1>
      <formula2>1000000000</formula2>
    </dataValidation>
    <dataValidation type="whole" allowBlank="1" showInputMessage="1" showErrorMessage="1" sqref="D19">
      <formula1>0</formula1>
      <formula2>1000000000</formula2>
    </dataValidation>
    <dataValidation type="whole" allowBlank="1" showInputMessage="1" showErrorMessage="1" sqref="E19">
      <formula1>0</formula1>
      <formula2>1000000000</formula2>
    </dataValidation>
    <dataValidation type="whole" allowBlank="1" showInputMessage="1" showErrorMessage="1" sqref="F19">
      <formula1>0</formula1>
      <formula2>1000000000</formula2>
    </dataValidation>
    <dataValidation type="whole" allowBlank="1" showInputMessage="1" showErrorMessage="1" sqref="B20">
      <formula1>0</formula1>
      <formula2>1000000000</formula2>
    </dataValidation>
    <dataValidation type="whole" allowBlank="1" showInputMessage="1" showErrorMessage="1" sqref="C20">
      <formula1>0</formula1>
      <formula2>1000000000</formula2>
    </dataValidation>
    <dataValidation type="whole" allowBlank="1" showInputMessage="1" showErrorMessage="1" sqref="D20">
      <formula1>0</formula1>
      <formula2>1000000000</formula2>
    </dataValidation>
    <dataValidation type="whole" allowBlank="1" showInputMessage="1" showErrorMessage="1" sqref="E20">
      <formula1>0</formula1>
      <formula2>1000000000</formula2>
    </dataValidation>
    <dataValidation type="whole" allowBlank="1" showInputMessage="1" showErrorMessage="1" sqref="F20">
      <formula1>0</formula1>
      <formula2>1000000000</formula2>
    </dataValidation>
    <dataValidation type="whole" allowBlank="1" showInputMessage="1" showErrorMessage="1" sqref="B21">
      <formula1>0</formula1>
      <formula2>1000000000</formula2>
    </dataValidation>
    <dataValidation type="whole" allowBlank="1" showInputMessage="1" showErrorMessage="1" sqref="C21">
      <formula1>0</formula1>
      <formula2>1000000000</formula2>
    </dataValidation>
    <dataValidation type="whole" allowBlank="1" showInputMessage="1" showErrorMessage="1" sqref="D21">
      <formula1>0</formula1>
      <formula2>1000000000</formula2>
    </dataValidation>
    <dataValidation type="whole" allowBlank="1" showInputMessage="1" showErrorMessage="1" sqref="E21">
      <formula1>0</formula1>
      <formula2>1000000000</formula2>
    </dataValidation>
    <dataValidation type="whole" allowBlank="1" showInputMessage="1" showErrorMessage="1" sqref="F21">
      <formula1>0</formula1>
      <formula2>1000000000</formula2>
    </dataValidation>
    <dataValidation type="whole" allowBlank="1" showInputMessage="1" showErrorMessage="1" sqref="B22">
      <formula1>0</formula1>
      <formula2>1000000000</formula2>
    </dataValidation>
    <dataValidation type="whole" allowBlank="1" showInputMessage="1" showErrorMessage="1" sqref="C22">
      <formula1>0</formula1>
      <formula2>1000000000</formula2>
    </dataValidation>
    <dataValidation type="whole" allowBlank="1" showInputMessage="1" showErrorMessage="1" sqref="D22">
      <formula1>0</formula1>
      <formula2>1000000000</formula2>
    </dataValidation>
    <dataValidation type="whole" allowBlank="1" showInputMessage="1" showErrorMessage="1" sqref="E22">
      <formula1>0</formula1>
      <formula2>1000000000</formula2>
    </dataValidation>
    <dataValidation type="whole" allowBlank="1" showInputMessage="1" showErrorMessage="1" sqref="F22">
      <formula1>0</formula1>
      <formula2>1000000000</formula2>
    </dataValidation>
    <dataValidation type="whole" allowBlank="1" showInputMessage="1" showErrorMessage="1" sqref="B23">
      <formula1>0</formula1>
      <formula2>1000000000</formula2>
    </dataValidation>
    <dataValidation type="whole" allowBlank="1" showInputMessage="1" showErrorMessage="1" sqref="C23">
      <formula1>0</formula1>
      <formula2>1000000000</formula2>
    </dataValidation>
    <dataValidation type="whole" allowBlank="1" showInputMessage="1" showErrorMessage="1" sqref="D23">
      <formula1>0</formula1>
      <formula2>1000000000</formula2>
    </dataValidation>
    <dataValidation type="whole" allowBlank="1" showInputMessage="1" showErrorMessage="1" sqref="E23">
      <formula1>0</formula1>
      <formula2>1000000000</formula2>
    </dataValidation>
    <dataValidation type="whole" allowBlank="1" showInputMessage="1" showErrorMessage="1" sqref="F23">
      <formula1>0</formula1>
      <formula2>1000000000</formula2>
    </dataValidation>
    <dataValidation type="whole" allowBlank="1" showInputMessage="1" showErrorMessage="1" sqref="B24">
      <formula1>0</formula1>
      <formula2>1000000000</formula2>
    </dataValidation>
    <dataValidation type="whole" allowBlank="1" showInputMessage="1" showErrorMessage="1" sqref="C24">
      <formula1>0</formula1>
      <formula2>1000000000</formula2>
    </dataValidation>
    <dataValidation type="whole" allowBlank="1" showInputMessage="1" showErrorMessage="1" sqref="D24">
      <formula1>0</formula1>
      <formula2>1000000000</formula2>
    </dataValidation>
    <dataValidation type="whole" allowBlank="1" showInputMessage="1" showErrorMessage="1" sqref="E24">
      <formula1>0</formula1>
      <formula2>1000000000</formula2>
    </dataValidation>
    <dataValidation type="whole" allowBlank="1" showInputMessage="1" showErrorMessage="1" sqref="F24">
      <formula1>0</formula1>
      <formula2>1000000000</formula2>
    </dataValidation>
    <dataValidation type="whole" allowBlank="1" showInputMessage="1" showErrorMessage="1" sqref="B25">
      <formula1>0</formula1>
      <formula2>1000000000</formula2>
    </dataValidation>
    <dataValidation type="whole" allowBlank="1" showInputMessage="1" showErrorMessage="1" sqref="C25">
      <formula1>0</formula1>
      <formula2>1000000000</formula2>
    </dataValidation>
    <dataValidation type="whole" allowBlank="1" showInputMessage="1" showErrorMessage="1" sqref="D25">
      <formula1>0</formula1>
      <formula2>1000000000</formula2>
    </dataValidation>
    <dataValidation type="whole" allowBlank="1" showInputMessage="1" showErrorMessage="1" sqref="E25">
      <formula1>0</formula1>
      <formula2>1000000000</formula2>
    </dataValidation>
    <dataValidation type="whole" allowBlank="1" showInputMessage="1" showErrorMessage="1" sqref="F25">
      <formula1>0</formula1>
      <formula2>1000000000</formula2>
    </dataValidation>
    <dataValidation type="whole" allowBlank="1" showInputMessage="1" showErrorMessage="1" sqref="B26">
      <formula1>0</formula1>
      <formula2>1000000000</formula2>
    </dataValidation>
    <dataValidation type="whole" allowBlank="1" showInputMessage="1" showErrorMessage="1" sqref="C26">
      <formula1>0</formula1>
      <formula2>1000000000</formula2>
    </dataValidation>
    <dataValidation type="whole" allowBlank="1" showInputMessage="1" showErrorMessage="1" sqref="D26">
      <formula1>0</formula1>
      <formula2>1000000000</formula2>
    </dataValidation>
    <dataValidation type="whole" allowBlank="1" showInputMessage="1" showErrorMessage="1" sqref="E26">
      <formula1>0</formula1>
      <formula2>1000000000</formula2>
    </dataValidation>
    <dataValidation type="whole" allowBlank="1" showInputMessage="1" showErrorMessage="1" sqref="F26">
      <formula1>0</formula1>
      <formula2>1000000000</formula2>
    </dataValidation>
    <dataValidation type="whole" allowBlank="1" showInputMessage="1" showErrorMessage="1" sqref="B27">
      <formula1>0</formula1>
      <formula2>1000000000</formula2>
    </dataValidation>
    <dataValidation type="whole" allowBlank="1" showInputMessage="1" showErrorMessage="1" sqref="C27">
      <formula1>0</formula1>
      <formula2>1000000000</formula2>
    </dataValidation>
    <dataValidation type="whole" allowBlank="1" showInputMessage="1" showErrorMessage="1" sqref="D27">
      <formula1>0</formula1>
      <formula2>1000000000</formula2>
    </dataValidation>
    <dataValidation type="whole" allowBlank="1" showInputMessage="1" showErrorMessage="1" sqref="E27">
      <formula1>0</formula1>
      <formula2>1000000000</formula2>
    </dataValidation>
    <dataValidation type="whole" allowBlank="1" showInputMessage="1" showErrorMessage="1" sqref="F27">
      <formula1>0</formula1>
      <formula2>1000000000</formula2>
    </dataValidation>
    <dataValidation type="whole" allowBlank="1" showInputMessage="1" showErrorMessage="1" sqref="B28">
      <formula1>0</formula1>
      <formula2>1000000000</formula2>
    </dataValidation>
    <dataValidation type="whole" allowBlank="1" showInputMessage="1" showErrorMessage="1" sqref="C28">
      <formula1>0</formula1>
      <formula2>1000000000</formula2>
    </dataValidation>
    <dataValidation type="whole" allowBlank="1" showInputMessage="1" showErrorMessage="1" sqref="D28">
      <formula1>0</formula1>
      <formula2>1000000000</formula2>
    </dataValidation>
    <dataValidation type="whole" allowBlank="1" showInputMessage="1" showErrorMessage="1" sqref="E28">
      <formula1>0</formula1>
      <formula2>1000000000</formula2>
    </dataValidation>
    <dataValidation type="whole" allowBlank="1" showInputMessage="1" showErrorMessage="1" sqref="F28">
      <formula1>0</formula1>
      <formula2>1000000000</formula2>
    </dataValidation>
  </dataValidations>
  <pageMargins left="0.7" right="0.7" top="0.75" bottom="0.75" header="0.3" footer="0.3"/>
  <pageSetup scale="75" orientation="landscape"/>
  <headerFooter>
    <oddFooter>&amp;LAUMI | Hipóteses, não promessa&amp;R&amp;P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dimension ref="A1:BV28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/>
    </sheetView>
  </sheetViews>
  <sheetFormatPr defaultRowHeight="15"/>
  <cols>
    <col min="1" max="1" width="7.7109375" customWidth="1"/>
    <col min="2" max="74" width="19.7109375" customWidth="1"/>
  </cols>
  <sheetData>
    <row r="1" spans="1:74" ht="36" customHeight="1">
      <c r="A1" s="1" t="s">
        <v>216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spans="1:74" ht="32" customHeight="1">
      <c r="A2" s="2" t="s">
        <v>217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</row>
    <row r="4" spans="1:74" ht="54" customHeight="1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148</v>
      </c>
      <c r="J4" s="3" t="s">
        <v>149</v>
      </c>
      <c r="K4" s="3" t="s">
        <v>150</v>
      </c>
      <c r="L4" s="3" t="s">
        <v>151</v>
      </c>
      <c r="M4" s="3" t="s">
        <v>152</v>
      </c>
      <c r="N4" s="3" t="s">
        <v>153</v>
      </c>
      <c r="O4" s="3" t="s">
        <v>154</v>
      </c>
      <c r="P4" s="3" t="s">
        <v>155</v>
      </c>
      <c r="Q4" s="3" t="s">
        <v>156</v>
      </c>
      <c r="R4" s="3" t="s">
        <v>157</v>
      </c>
      <c r="S4" s="3" t="s">
        <v>158</v>
      </c>
      <c r="T4" s="3" t="s">
        <v>159</v>
      </c>
      <c r="U4" s="3" t="s">
        <v>160</v>
      </c>
      <c r="V4" s="3" t="s">
        <v>161</v>
      </c>
      <c r="W4" s="3" t="s">
        <v>162</v>
      </c>
      <c r="X4" s="3" t="s">
        <v>163</v>
      </c>
      <c r="Y4" s="3" t="s">
        <v>164</v>
      </c>
      <c r="Z4" s="3" t="s">
        <v>165</v>
      </c>
      <c r="AA4" s="3" t="s">
        <v>166</v>
      </c>
      <c r="AB4" s="3" t="s">
        <v>167</v>
      </c>
      <c r="AC4" s="3" t="s">
        <v>168</v>
      </c>
      <c r="AD4" s="3" t="s">
        <v>169</v>
      </c>
      <c r="AE4" s="3" t="s">
        <v>170</v>
      </c>
      <c r="AF4" s="3" t="s">
        <v>171</v>
      </c>
      <c r="AG4" s="3" t="s">
        <v>172</v>
      </c>
      <c r="AH4" s="3" t="s">
        <v>173</v>
      </c>
      <c r="AI4" s="3" t="s">
        <v>174</v>
      </c>
      <c r="AJ4" s="3" t="s">
        <v>175</v>
      </c>
      <c r="AK4" s="3" t="s">
        <v>176</v>
      </c>
      <c r="AL4" s="3" t="s">
        <v>177</v>
      </c>
      <c r="AM4" s="3" t="s">
        <v>178</v>
      </c>
      <c r="AN4" s="3" t="s">
        <v>179</v>
      </c>
      <c r="AO4" s="3" t="s">
        <v>180</v>
      </c>
      <c r="AP4" s="3" t="s">
        <v>181</v>
      </c>
      <c r="AQ4" s="3" t="s">
        <v>182</v>
      </c>
      <c r="AR4" s="3" t="s">
        <v>183</v>
      </c>
      <c r="AS4" s="3" t="s">
        <v>184</v>
      </c>
      <c r="AT4" s="3" t="s">
        <v>185</v>
      </c>
      <c r="AU4" s="3" t="s">
        <v>186</v>
      </c>
      <c r="AV4" s="3" t="s">
        <v>187</v>
      </c>
      <c r="AW4" s="3" t="s">
        <v>188</v>
      </c>
      <c r="AX4" s="3" t="s">
        <v>189</v>
      </c>
      <c r="AY4" s="3" t="s">
        <v>190</v>
      </c>
      <c r="AZ4" s="3" t="s">
        <v>191</v>
      </c>
      <c r="BA4" s="3" t="s">
        <v>192</v>
      </c>
      <c r="BB4" s="3" t="s">
        <v>193</v>
      </c>
      <c r="BC4" s="3" t="s">
        <v>194</v>
      </c>
      <c r="BD4" s="3" t="s">
        <v>195</v>
      </c>
      <c r="BE4" s="3" t="s">
        <v>196</v>
      </c>
      <c r="BF4" s="3" t="s">
        <v>197</v>
      </c>
      <c r="BG4" s="3" t="s">
        <v>198</v>
      </c>
      <c r="BH4" s="3" t="s">
        <v>199</v>
      </c>
      <c r="BI4" s="3" t="s">
        <v>200</v>
      </c>
      <c r="BJ4" s="3" t="s">
        <v>201</v>
      </c>
      <c r="BK4" s="3" t="s">
        <v>202</v>
      </c>
      <c r="BL4" s="3" t="s">
        <v>203</v>
      </c>
      <c r="BM4" s="3" t="s">
        <v>204</v>
      </c>
      <c r="BN4" s="3" t="s">
        <v>205</v>
      </c>
      <c r="BO4" s="3" t="s">
        <v>206</v>
      </c>
      <c r="BP4" s="3" t="s">
        <v>207</v>
      </c>
      <c r="BQ4" s="3" t="s">
        <v>208</v>
      </c>
      <c r="BR4" s="3" t="s">
        <v>209</v>
      </c>
      <c r="BS4" s="3" t="s">
        <v>210</v>
      </c>
      <c r="BT4" s="3" t="s">
        <v>211</v>
      </c>
      <c r="BU4" s="3" t="s">
        <v>212</v>
      </c>
      <c r="BV4" s="3" t="s">
        <v>213</v>
      </c>
    </row>
    <row r="5" spans="1:74">
      <c r="A5" s="10">
        <v>1</v>
      </c>
      <c r="B5" s="10">
        <f>'Base'!B5</f>
        <v>0</v>
      </c>
      <c r="C5" s="10">
        <f>'Base'!C5</f>
        <v>0</v>
      </c>
      <c r="D5" s="10">
        <f>'Base'!D5</f>
        <v>0</v>
      </c>
      <c r="E5" s="10">
        <f>'Base'!E5</f>
        <v>0</v>
      </c>
      <c r="F5" s="10">
        <f>'Base'!F5</f>
        <v>0</v>
      </c>
      <c r="G5" s="10">
        <f>MAX(0,F5-0)</f>
        <v>0</v>
      </c>
      <c r="H5" s="10">
        <f>ROUNDUP(B5/'Premissas'!$B$14,0)</f>
        <v>0</v>
      </c>
      <c r="I5" s="8">
        <f>ROUND(B5*'Premissas'!$B$5,2)</f>
        <v>0.0</v>
      </c>
      <c r="J5" s="8">
        <f>ROUND(I5*'Premissas'!$B$6,2)</f>
        <v>0.0</v>
      </c>
      <c r="K5" s="8">
        <f>ROUND(J5*'Premissas'!$B$7,2)</f>
        <v>0.0</v>
      </c>
      <c r="L5" s="8">
        <f>ROUND(J5-K5,2)</f>
        <v>0.0</v>
      </c>
      <c r="M5" s="8">
        <f>ROUND(L5*'Premissas'!$B$8+B5*(1-'Premissas'!$B$7)*'Premissas'!$B$9*'Premissas'!$B$6,2)</f>
        <v>0.0</v>
      </c>
      <c r="N5" s="8">
        <f>ROUND(L5-M5,2)</f>
        <v>0.0</v>
      </c>
      <c r="O5" s="8">
        <f>IF(A5&gt;'Premissas'!$B$20,INDEX($N$5:$N$28,MAX(1,A5-'Premissas'!$B$20)),0)</f>
        <v>0</v>
      </c>
      <c r="P5" s="8">
        <f>ROUND(L5*'Premissas'!$B$10,2)</f>
        <v>0.0</v>
      </c>
      <c r="Q5" s="8">
        <f>ROUND(L5*'Premissas'!$B$11,2)</f>
        <v>0.0</v>
      </c>
      <c r="R5" s="8">
        <f>ROUND(B5*'Premissas'!$B$28*'Premissas'!$B$6,2)</f>
        <v>0.0</v>
      </c>
      <c r="S5" s="8">
        <f>ROUND(B5*'Premissas'!$B$13*'Premissas'!$B$6,2)</f>
        <v>0.0</v>
      </c>
      <c r="T5" s="8">
        <f>ROUND(L5-M5-P5-Q5-R5-S5,2)</f>
        <v>0.0</v>
      </c>
      <c r="U5" s="10">
        <f>C5*'Premissas'!$B$16</f>
        <v>0</v>
      </c>
      <c r="V5" s="8">
        <f>ROUND(C5*'Premissas'!$B$15,2)</f>
        <v>0.0</v>
      </c>
      <c r="W5" s="8">
        <f>ROUND(V5*'Premissas'!$B$19+0*(1-'Premissas'!$B$19),2)</f>
        <v>0.0</v>
      </c>
      <c r="X5" s="8">
        <f>ROUND(U5*'Premissas'!$B$17,2)</f>
        <v>0.0</v>
      </c>
      <c r="Y5" s="8">
        <f>ROUND(V5*'Premissas'!$B$10,2)</f>
        <v>0.0</v>
      </c>
      <c r="Z5" s="8">
        <f>ROUND(W5*'Premissas'!$B$18,2)</f>
        <v>0.0</v>
      </c>
      <c r="AA5" s="8">
        <f>ROUND(V5*'Premissas'!$B$18,2)</f>
        <v>0.0</v>
      </c>
      <c r="AB5" s="8">
        <f>ROUND(V5-X5-Y5-AA5,2)</f>
        <v>0.0</v>
      </c>
      <c r="AC5" s="10">
        <f>D5*'Ofertas'!$C$5</f>
        <v>0.0</v>
      </c>
      <c r="AD5" s="8">
        <f>ROUND(D5*'Ofertas'!$B$5,2)</f>
        <v>0.0</v>
      </c>
      <c r="AE5" s="8">
        <f>AD5</f>
        <v>0.0</v>
      </c>
      <c r="AF5" s="8">
        <f>ROUND(AC5*'Ofertas'!$D$5,2)</f>
        <v>0.0</v>
      </c>
      <c r="AG5" s="8">
        <f>ROUND(AD5*'Premissas'!$B$10,2)</f>
        <v>0.0</v>
      </c>
      <c r="AH5" s="8">
        <f>ROUND(AD5*'Premissas'!$B$31,2)</f>
        <v>0.0</v>
      </c>
      <c r="AI5" s="8">
        <f>ROUND(D5*'Ofertas'!$H$5,2)</f>
        <v>0.0</v>
      </c>
      <c r="AJ5" s="8">
        <f>ROUND(AD5-AF5-AG5-AH5-AI5,2)</f>
        <v>0.0</v>
      </c>
      <c r="AK5" s="10">
        <f>E5*'Ofertas'!$C$6</f>
        <v>0.0</v>
      </c>
      <c r="AL5" s="8">
        <f>ROUND(E5*'Ofertas'!$B$6,2)</f>
        <v>0.0</v>
      </c>
      <c r="AM5" s="8">
        <f>ROUND(AL5*'Premissas'!$B$32+0*(1-'Premissas'!$B$32),2)</f>
        <v>0.0</v>
      </c>
      <c r="AN5" s="8">
        <f>ROUND(AK5*'Ofertas'!$D$6,2)</f>
        <v>0.0</v>
      </c>
      <c r="AO5" s="8">
        <f>ROUND(AL5*'Premissas'!$B$10,2)</f>
        <v>0.0</v>
      </c>
      <c r="AP5" s="8">
        <f>ROUND(AL5*'Premissas'!$B$31,2)</f>
        <v>0.0</v>
      </c>
      <c r="AQ5" s="8">
        <f>ROUND(E5*'Ofertas'!$H$6,2)</f>
        <v>0.0</v>
      </c>
      <c r="AR5" s="8">
        <f>ROUND(AL5-AN5-AO5-AP5-AQ5,2)</f>
        <v>0.0</v>
      </c>
      <c r="AS5" s="10">
        <f>F5*'Ofertas'!$C$7</f>
        <v>0.0</v>
      </c>
      <c r="AT5" s="8">
        <f>ROUND(F5*'Ofertas'!$B$7,2)</f>
        <v>0.0</v>
      </c>
      <c r="AU5" s="8">
        <f>AT5</f>
        <v>0.0</v>
      </c>
      <c r="AV5" s="8">
        <f>ROUND(AS5*'Ofertas'!$D$7,2)</f>
        <v>0.0</v>
      </c>
      <c r="AW5" s="8">
        <f>ROUND(AT5*'Premissas'!$B$10,2)</f>
        <v>0.0</v>
      </c>
      <c r="AX5" s="8">
        <f>ROUND(AT5*'Premissas'!$B$31,2)</f>
        <v>0.0</v>
      </c>
      <c r="AY5" s="8">
        <f>ROUND(F5*'Ofertas'!$H$7,2)</f>
        <v>0.0</v>
      </c>
      <c r="AZ5" s="8">
        <f>ROUND(AT5-AV5-AW5-AX5-AY5,2)</f>
        <v>0.0</v>
      </c>
      <c r="BA5" s="10">
        <f>G5*'Ofertas'!$C$8</f>
        <v>0.0</v>
      </c>
      <c r="BB5" s="8">
        <f>ROUND(G5*'Ofertas'!$B$8,2)</f>
        <v>0.0</v>
      </c>
      <c r="BC5" s="8">
        <f>BB5</f>
        <v>0.0</v>
      </c>
      <c r="BD5" s="8">
        <f>ROUND(BA5*'Ofertas'!$D$8,2)</f>
        <v>0.0</v>
      </c>
      <c r="BE5" s="8">
        <f>ROUND(BB5*'Premissas'!$B$10,2)</f>
        <v>0.0</v>
      </c>
      <c r="BF5" s="8">
        <f>ROUND(BB5*'Premissas'!$B$31,2)</f>
        <v>0.0</v>
      </c>
      <c r="BG5" s="8">
        <f>ROUND(G5*'Ofertas'!$H$8,2)</f>
        <v>0.0</v>
      </c>
      <c r="BH5" s="8">
        <f>ROUND(BB5-BD5-BE5-BF5-BG5,2)</f>
        <v>0.0</v>
      </c>
      <c r="BI5" s="10">
        <f>U5+AC5+AK5+AS5+BA5</f>
        <v>0.0</v>
      </c>
      <c r="BJ5" s="11">
        <f>BI5/'Premissas'!$B$30</f>
        <v>0.0</v>
      </c>
      <c r="BK5" s="8">
        <f>IF(A5&lt;=12,'Premissas'!$B$24,'Premissas'!$B$25)</f>
        <v>37000</v>
      </c>
      <c r="BL5" s="8">
        <f>ROUND(J5+V5+AD5+AL5+AT5+BB5,2)</f>
        <v>0.0</v>
      </c>
      <c r="BM5" s="8">
        <f>ROUND(L5+V5+AD5+AL5+AT5+BB5,2)</f>
        <v>0.0</v>
      </c>
      <c r="BN5" s="8">
        <f>ROUND(T5+AB5+AJ5+AR5+AZ5+BH5,2)</f>
        <v>0.0</v>
      </c>
      <c r="BO5" s="8">
        <f>ROUND(O5+W5+AE5+AM5+AU5+BC5,2)</f>
        <v>0.0</v>
      </c>
      <c r="BP5" s="8">
        <f>ROUND(P5+Q5+R5+S5+X5+Y5+Z5+BK5+AF5+AG5+AH5+AI5+AN5+AO5+AP5+AQ5+AV5+AW5+AX5+AY5+BD5+BE5+BF5+BG5,2)</f>
        <v>37000.0</v>
      </c>
      <c r="BQ5" s="8">
        <f>ROUND(BO5-BP5,2)</f>
        <v>-37000.0</v>
      </c>
      <c r="BR5" s="8">
        <f>ROUND(-'Premissas'!$B$23+BQ5,2)</f>
        <v>-137000.0</v>
      </c>
      <c r="BS5" s="8">
        <f>ROUND(BN5-BK5,2)</f>
        <v>-37000.0</v>
      </c>
      <c r="BT5" s="8">
        <f>ROUND(0+N5-O5+V5-W5+AL5-AM5,2)</f>
        <v>0.0</v>
      </c>
      <c r="BU5" s="10">
        <f>IF(BR5&gt;=0,A5,999)</f>
        <v>999</v>
      </c>
      <c r="BV5" s="8">
        <f>ROUND(BR5+200000,2)</f>
        <v>63000.0</v>
      </c>
    </row>
    <row r="6" spans="1:74">
      <c r="A6" s="10">
        <v>2</v>
      </c>
      <c r="B6" s="10">
        <f>'Base'!B6</f>
        <v>0</v>
      </c>
      <c r="C6" s="10">
        <f>'Base'!C6</f>
        <v>0</v>
      </c>
      <c r="D6" s="10">
        <f>'Base'!D6</f>
        <v>0</v>
      </c>
      <c r="E6" s="10">
        <f>'Base'!E6</f>
        <v>0</v>
      </c>
      <c r="F6" s="10">
        <f>'Base'!F6</f>
        <v>0</v>
      </c>
      <c r="G6" s="10">
        <f>MAX(0,F6-F5)</f>
        <v>0</v>
      </c>
      <c r="H6" s="10">
        <f>ROUNDUP(B6/'Premissas'!$B$14,0)</f>
        <v>0</v>
      </c>
      <c r="I6" s="8">
        <f>ROUND(B6*'Premissas'!$B$5,2)</f>
        <v>0.0</v>
      </c>
      <c r="J6" s="8">
        <f>ROUND(I6*'Premissas'!$B$6,2)</f>
        <v>0.0</v>
      </c>
      <c r="K6" s="8">
        <f>ROUND(J6*'Premissas'!$B$7,2)</f>
        <v>0.0</v>
      </c>
      <c r="L6" s="8">
        <f>ROUND(J6-K6,2)</f>
        <v>0.0</v>
      </c>
      <c r="M6" s="8">
        <f>ROUND(L6*'Premissas'!$B$8+B6*(1-'Premissas'!$B$7)*'Premissas'!$B$9*'Premissas'!$B$6,2)</f>
        <v>0.0</v>
      </c>
      <c r="N6" s="8">
        <f>ROUND(L6-M6,2)</f>
        <v>0.0</v>
      </c>
      <c r="O6" s="8">
        <f>IF(A6&gt;'Premissas'!$B$20,INDEX($N$5:$N$28,MAX(1,A6-'Premissas'!$B$20)),0)</f>
        <v>0.0</v>
      </c>
      <c r="P6" s="8">
        <f>ROUND(L6*'Premissas'!$B$10,2)</f>
        <v>0.0</v>
      </c>
      <c r="Q6" s="8">
        <f>ROUND(L6*'Premissas'!$B$11,2)</f>
        <v>0.0</v>
      </c>
      <c r="R6" s="8">
        <f>ROUND(B6*'Premissas'!$B$28*'Premissas'!$B$6,2)</f>
        <v>0.0</v>
      </c>
      <c r="S6" s="8">
        <f>ROUND(B6*'Premissas'!$B$13*'Premissas'!$B$6,2)</f>
        <v>0.0</v>
      </c>
      <c r="T6" s="8">
        <f>ROUND(L6-M6-P6-Q6-R6-S6,2)</f>
        <v>0.0</v>
      </c>
      <c r="U6" s="10">
        <f>C6*'Premissas'!$B$16</f>
        <v>0</v>
      </c>
      <c r="V6" s="8">
        <f>ROUND(C6*'Premissas'!$B$15,2)</f>
        <v>0.0</v>
      </c>
      <c r="W6" s="8">
        <f>ROUND(V6*'Premissas'!$B$19+V5*(1-'Premissas'!$B$19),2)</f>
        <v>0.0</v>
      </c>
      <c r="X6" s="8">
        <f>ROUND(U6*'Premissas'!$B$17,2)</f>
        <v>0.0</v>
      </c>
      <c r="Y6" s="8">
        <f>ROUND(V6*'Premissas'!$B$10,2)</f>
        <v>0.0</v>
      </c>
      <c r="Z6" s="8">
        <f>ROUND(W6*'Premissas'!$B$18,2)</f>
        <v>0.0</v>
      </c>
      <c r="AA6" s="8">
        <f>ROUND(V6*'Premissas'!$B$18,2)</f>
        <v>0.0</v>
      </c>
      <c r="AB6" s="8">
        <f>ROUND(V6-X6-Y6-AA6,2)</f>
        <v>0.0</v>
      </c>
      <c r="AC6" s="10">
        <f>D6*'Ofertas'!$C$5</f>
        <v>0.0</v>
      </c>
      <c r="AD6" s="8">
        <f>ROUND(D6*'Ofertas'!$B$5,2)</f>
        <v>0.0</v>
      </c>
      <c r="AE6" s="8">
        <f>AD6</f>
        <v>0.0</v>
      </c>
      <c r="AF6" s="8">
        <f>ROUND(AC6*'Ofertas'!$D$5,2)</f>
        <v>0.0</v>
      </c>
      <c r="AG6" s="8">
        <f>ROUND(AD6*'Premissas'!$B$10,2)</f>
        <v>0.0</v>
      </c>
      <c r="AH6" s="8">
        <f>ROUND(AD6*'Premissas'!$B$31,2)</f>
        <v>0.0</v>
      </c>
      <c r="AI6" s="8">
        <f>ROUND(D6*'Ofertas'!$H$5,2)</f>
        <v>0.0</v>
      </c>
      <c r="AJ6" s="8">
        <f>ROUND(AD6-AF6-AG6-AH6-AI6,2)</f>
        <v>0.0</v>
      </c>
      <c r="AK6" s="10">
        <f>E6*'Ofertas'!$C$6</f>
        <v>0.0</v>
      </c>
      <c r="AL6" s="8">
        <f>ROUND(E6*'Ofertas'!$B$6,2)</f>
        <v>0.0</v>
      </c>
      <c r="AM6" s="8">
        <f>ROUND(AL6*'Premissas'!$B$32+AL5*(1-'Premissas'!$B$32),2)</f>
        <v>0.0</v>
      </c>
      <c r="AN6" s="8">
        <f>ROUND(AK6*'Ofertas'!$D$6,2)</f>
        <v>0.0</v>
      </c>
      <c r="AO6" s="8">
        <f>ROUND(AL6*'Premissas'!$B$10,2)</f>
        <v>0.0</v>
      </c>
      <c r="AP6" s="8">
        <f>ROUND(AL6*'Premissas'!$B$31,2)</f>
        <v>0.0</v>
      </c>
      <c r="AQ6" s="8">
        <f>ROUND(E6*'Ofertas'!$H$6,2)</f>
        <v>0.0</v>
      </c>
      <c r="AR6" s="8">
        <f>ROUND(AL6-AN6-AO6-AP6-AQ6,2)</f>
        <v>0.0</v>
      </c>
      <c r="AS6" s="10">
        <f>F6*'Ofertas'!$C$7</f>
        <v>0.0</v>
      </c>
      <c r="AT6" s="8">
        <f>ROUND(F6*'Ofertas'!$B$7,2)</f>
        <v>0.0</v>
      </c>
      <c r="AU6" s="8">
        <f>AT6</f>
        <v>0.0</v>
      </c>
      <c r="AV6" s="8">
        <f>ROUND(AS6*'Ofertas'!$D$7,2)</f>
        <v>0.0</v>
      </c>
      <c r="AW6" s="8">
        <f>ROUND(AT6*'Premissas'!$B$10,2)</f>
        <v>0.0</v>
      </c>
      <c r="AX6" s="8">
        <f>ROUND(AT6*'Premissas'!$B$31,2)</f>
        <v>0.0</v>
      </c>
      <c r="AY6" s="8">
        <f>ROUND(F6*'Ofertas'!$H$7,2)</f>
        <v>0.0</v>
      </c>
      <c r="AZ6" s="8">
        <f>ROUND(AT6-AV6-AW6-AX6-AY6,2)</f>
        <v>0.0</v>
      </c>
      <c r="BA6" s="10">
        <f>G6*'Ofertas'!$C$8</f>
        <v>0.0</v>
      </c>
      <c r="BB6" s="8">
        <f>ROUND(G6*'Ofertas'!$B$8,2)</f>
        <v>0.0</v>
      </c>
      <c r="BC6" s="8">
        <f>BB6</f>
        <v>0.0</v>
      </c>
      <c r="BD6" s="8">
        <f>ROUND(BA6*'Ofertas'!$D$8,2)</f>
        <v>0.0</v>
      </c>
      <c r="BE6" s="8">
        <f>ROUND(BB6*'Premissas'!$B$10,2)</f>
        <v>0.0</v>
      </c>
      <c r="BF6" s="8">
        <f>ROUND(BB6*'Premissas'!$B$31,2)</f>
        <v>0.0</v>
      </c>
      <c r="BG6" s="8">
        <f>ROUND(G6*'Ofertas'!$H$8,2)</f>
        <v>0.0</v>
      </c>
      <c r="BH6" s="8">
        <f>ROUND(BB6-BD6-BE6-BF6-BG6,2)</f>
        <v>0.0</v>
      </c>
      <c r="BI6" s="10">
        <f>U6+AC6+AK6+AS6+BA6</f>
        <v>0.0</v>
      </c>
      <c r="BJ6" s="11">
        <f>BI6/'Premissas'!$B$30</f>
        <v>0.0</v>
      </c>
      <c r="BK6" s="8">
        <f>IF(A6&lt;=12,'Premissas'!$B$24,'Premissas'!$B$25)</f>
        <v>37000</v>
      </c>
      <c r="BL6" s="8">
        <f>ROUND(J6+V6+AD6+AL6+AT6+BB6,2)</f>
        <v>0.0</v>
      </c>
      <c r="BM6" s="8">
        <f>ROUND(L6+V6+AD6+AL6+AT6+BB6,2)</f>
        <v>0.0</v>
      </c>
      <c r="BN6" s="8">
        <f>ROUND(T6+AB6+AJ6+AR6+AZ6+BH6,2)</f>
        <v>0.0</v>
      </c>
      <c r="BO6" s="8">
        <f>ROUND(O6+W6+AE6+AM6+AU6+BC6,2)</f>
        <v>0.0</v>
      </c>
      <c r="BP6" s="8">
        <f>ROUND(P6+Q6+R6+S6+X6+Y6+Z6+BK6+AF6+AG6+AH6+AI6+AN6+AO6+AP6+AQ6+AV6+AW6+AX6+AY6+BD6+BE6+BF6+BG6,2)</f>
        <v>37000.0</v>
      </c>
      <c r="BQ6" s="8">
        <f>ROUND(BO6-BP6,2)</f>
        <v>-37000.0</v>
      </c>
      <c r="BR6" s="8">
        <f>ROUND(BR5+BQ6,2)</f>
        <v>-174000.0</v>
      </c>
      <c r="BS6" s="8">
        <f>ROUND(BN6-BK6,2)</f>
        <v>-37000.0</v>
      </c>
      <c r="BT6" s="8">
        <f>ROUND(BT5+N6-O6+V6-W6+AL6-AM6,2)</f>
        <v>0.0</v>
      </c>
      <c r="BU6" s="10">
        <f>IF(BR6&gt;=0,A6,999)</f>
        <v>999</v>
      </c>
      <c r="BV6" s="8">
        <f>ROUND(BR6+200000,2)</f>
        <v>26000.0</v>
      </c>
    </row>
    <row r="7" spans="1:74">
      <c r="A7" s="10">
        <v>3</v>
      </c>
      <c r="B7" s="10">
        <f>'Base'!B7</f>
        <v>50</v>
      </c>
      <c r="C7" s="10">
        <f>'Base'!C7</f>
        <v>1</v>
      </c>
      <c r="D7" s="10">
        <f>'Base'!D7</f>
        <v>1</v>
      </c>
      <c r="E7" s="10">
        <f>'Base'!E7</f>
        <v>1</v>
      </c>
      <c r="F7" s="10">
        <f>'Base'!F7</f>
        <v>0</v>
      </c>
      <c r="G7" s="10">
        <f>MAX(0,F7-F6)</f>
        <v>0</v>
      </c>
      <c r="H7" s="10">
        <f>ROUNDUP(B7/'Premissas'!$B$14,0)</f>
        <v>2500</v>
      </c>
      <c r="I7" s="8">
        <f>ROUND(B7*'Premissas'!$B$5,2)</f>
        <v>1450.0</v>
      </c>
      <c r="J7" s="8">
        <f>ROUND(I7*'Premissas'!$B$6,2)</f>
        <v>7250.0</v>
      </c>
      <c r="K7" s="8">
        <f>ROUND(J7*'Premissas'!$B$7,2)</f>
        <v>580.0</v>
      </c>
      <c r="L7" s="8">
        <f>ROUND(J7-K7,2)</f>
        <v>6670.0</v>
      </c>
      <c r="M7" s="8">
        <f>ROUND(L7*'Premissas'!$B$8+B7*(1-'Premissas'!$B$7)*'Premissas'!$B$9*'Premissas'!$B$6,2)</f>
        <v>890.33</v>
      </c>
      <c r="N7" s="8">
        <f>ROUND(L7-M7,2)</f>
        <v>5779.67</v>
      </c>
      <c r="O7" s="8">
        <f>IF(A7&gt;'Premissas'!$B$20,INDEX($N$5:$N$28,MAX(1,A7-'Premissas'!$B$20)),0)</f>
        <v>0.0</v>
      </c>
      <c r="P7" s="8">
        <f>ROUND(L7*'Premissas'!$B$10,2)</f>
        <v>1000.5</v>
      </c>
      <c r="Q7" s="8">
        <f>ROUND(L7*'Premissas'!$B$11,2)</f>
        <v>200.1</v>
      </c>
      <c r="R7" s="8">
        <f>ROUND(B7*'Premissas'!$B$28*'Premissas'!$B$6,2)</f>
        <v>3750.0</v>
      </c>
      <c r="S7" s="8">
        <f>ROUND(B7*'Premissas'!$B$13*'Premissas'!$B$6,2)</f>
        <v>250.0</v>
      </c>
      <c r="T7" s="8">
        <f>ROUND(L7-M7-P7-Q7-R7-S7,2)</f>
        <v>579.07</v>
      </c>
      <c r="U7" s="10">
        <f>C7*'Premissas'!$B$16</f>
        <v>80</v>
      </c>
      <c r="V7" s="8">
        <f>ROUND(C7*'Premissas'!$B$15,2)</f>
        <v>30000.0</v>
      </c>
      <c r="W7" s="8">
        <f>ROUND(V7*'Premissas'!$B$19+V6*(1-'Premissas'!$B$19),2)</f>
        <v>15000.0</v>
      </c>
      <c r="X7" s="8">
        <f>ROUND(U7*'Premissas'!$B$17,2)</f>
        <v>14400.0</v>
      </c>
      <c r="Y7" s="8">
        <f>ROUND(V7*'Premissas'!$B$10,2)</f>
        <v>4500.0</v>
      </c>
      <c r="Z7" s="8">
        <f>ROUND(W7*'Premissas'!$B$18,2)</f>
        <v>750.0</v>
      </c>
      <c r="AA7" s="8">
        <f>ROUND(V7*'Premissas'!$B$18,2)</f>
        <v>1500.0</v>
      </c>
      <c r="AB7" s="8">
        <f>ROUND(V7-X7-Y7-AA7,2)</f>
        <v>9600.0</v>
      </c>
      <c r="AC7" s="10">
        <f>D7*'Ofertas'!$C$5</f>
        <v>12.0</v>
      </c>
      <c r="AD7" s="8">
        <f>ROUND(D7*'Ofertas'!$B$5,2)</f>
        <v>4500.0</v>
      </c>
      <c r="AE7" s="8">
        <f>AD7</f>
        <v>4500.0</v>
      </c>
      <c r="AF7" s="8">
        <f>ROUND(AC7*'Ofertas'!$D$5,2)</f>
        <v>1440.0</v>
      </c>
      <c r="AG7" s="8">
        <f>ROUND(AD7*'Premissas'!$B$10,2)</f>
        <v>675.0</v>
      </c>
      <c r="AH7" s="8">
        <f>ROUND(AD7*'Premissas'!$B$31,2)</f>
        <v>225.0</v>
      </c>
      <c r="AI7" s="8">
        <f>ROUND(D7*'Ofertas'!$H$5,2)</f>
        <v>160.0</v>
      </c>
      <c r="AJ7" s="8">
        <f>ROUND(AD7-AF7-AG7-AH7-AI7,2)</f>
        <v>2000.0</v>
      </c>
      <c r="AK7" s="10">
        <f>E7*'Ofertas'!$C$6</f>
        <v>40.0</v>
      </c>
      <c r="AL7" s="8">
        <f>ROUND(E7*'Ofertas'!$B$6,2)</f>
        <v>18000.0</v>
      </c>
      <c r="AM7" s="8">
        <f>ROUND(AL7*'Premissas'!$B$32+AL6*(1-'Premissas'!$B$32),2)</f>
        <v>9000.0</v>
      </c>
      <c r="AN7" s="8">
        <f>ROUND(AK7*'Ofertas'!$D$6,2)</f>
        <v>7200.0</v>
      </c>
      <c r="AO7" s="8">
        <f>ROUND(AL7*'Premissas'!$B$10,2)</f>
        <v>2700.0</v>
      </c>
      <c r="AP7" s="8">
        <f>ROUND(AL7*'Premissas'!$B$31,2)</f>
        <v>900.0</v>
      </c>
      <c r="AQ7" s="8">
        <f>ROUND(E7*'Ofertas'!$H$6,2)</f>
        <v>600.0</v>
      </c>
      <c r="AR7" s="8">
        <f>ROUND(AL7-AN7-AO7-AP7-AQ7,2)</f>
        <v>6600.0</v>
      </c>
      <c r="AS7" s="10">
        <f>F7*'Ofertas'!$C$7</f>
        <v>0.0</v>
      </c>
      <c r="AT7" s="8">
        <f>ROUND(F7*'Ofertas'!$B$7,2)</f>
        <v>0.0</v>
      </c>
      <c r="AU7" s="8">
        <f>AT7</f>
        <v>0.0</v>
      </c>
      <c r="AV7" s="8">
        <f>ROUND(AS7*'Ofertas'!$D$7,2)</f>
        <v>0.0</v>
      </c>
      <c r="AW7" s="8">
        <f>ROUND(AT7*'Premissas'!$B$10,2)</f>
        <v>0.0</v>
      </c>
      <c r="AX7" s="8">
        <f>ROUND(AT7*'Premissas'!$B$31,2)</f>
        <v>0.0</v>
      </c>
      <c r="AY7" s="8">
        <f>ROUND(F7*'Ofertas'!$H$7,2)</f>
        <v>0.0</v>
      </c>
      <c r="AZ7" s="8">
        <f>ROUND(AT7-AV7-AW7-AX7-AY7,2)</f>
        <v>0.0</v>
      </c>
      <c r="BA7" s="10">
        <f>G7*'Ofertas'!$C$8</f>
        <v>0.0</v>
      </c>
      <c r="BB7" s="8">
        <f>ROUND(G7*'Ofertas'!$B$8,2)</f>
        <v>0.0</v>
      </c>
      <c r="BC7" s="8">
        <f>BB7</f>
        <v>0.0</v>
      </c>
      <c r="BD7" s="8">
        <f>ROUND(BA7*'Ofertas'!$D$8,2)</f>
        <v>0.0</v>
      </c>
      <c r="BE7" s="8">
        <f>ROUND(BB7*'Premissas'!$B$10,2)</f>
        <v>0.0</v>
      </c>
      <c r="BF7" s="8">
        <f>ROUND(BB7*'Premissas'!$B$31,2)</f>
        <v>0.0</v>
      </c>
      <c r="BG7" s="8">
        <f>ROUND(G7*'Ofertas'!$H$8,2)</f>
        <v>0.0</v>
      </c>
      <c r="BH7" s="8">
        <f>ROUND(BB7-BD7-BE7-BF7-BG7,2)</f>
        <v>0.0</v>
      </c>
      <c r="BI7" s="10">
        <f>U7+AC7+AK7+AS7+BA7</f>
        <v>132.0</v>
      </c>
      <c r="BJ7" s="11">
        <f>BI7/'Premissas'!$B$30</f>
        <v>0.825</v>
      </c>
      <c r="BK7" s="8">
        <f>IF(A7&lt;=12,'Premissas'!$B$24,'Premissas'!$B$25)</f>
        <v>37000</v>
      </c>
      <c r="BL7" s="8">
        <f>ROUND(J7+V7+AD7+AL7+AT7+BB7,2)</f>
        <v>59750.0</v>
      </c>
      <c r="BM7" s="8">
        <f>ROUND(L7+V7+AD7+AL7+AT7+BB7,2)</f>
        <v>59170.0</v>
      </c>
      <c r="BN7" s="8">
        <f>ROUND(T7+AB7+AJ7+AR7+AZ7+BH7,2)</f>
        <v>18779.07</v>
      </c>
      <c r="BO7" s="8">
        <f>ROUND(O7+W7+AE7+AM7+AU7+BC7,2)</f>
        <v>28500.0</v>
      </c>
      <c r="BP7" s="8">
        <f>ROUND(P7+Q7+R7+S7+X7+Y7+Z7+BK7+AF7+AG7+AH7+AI7+AN7+AO7+AP7+AQ7+AV7+AW7+AX7+AY7+BD7+BE7+BF7+BG7,2)</f>
        <v>75750.6</v>
      </c>
      <c r="BQ7" s="8">
        <f>ROUND(BO7-BP7,2)</f>
        <v>-47250.6</v>
      </c>
      <c r="BR7" s="8">
        <f>ROUND(BR6+BQ7,2)</f>
        <v>-221250.6</v>
      </c>
      <c r="BS7" s="8">
        <f>ROUND(BN7-BK7,2)</f>
        <v>-18220.93</v>
      </c>
      <c r="BT7" s="8">
        <f>ROUND(BT6+N7-O7+V7-W7+AL7-AM7,2)</f>
        <v>29779.67</v>
      </c>
      <c r="BU7" s="10">
        <f>IF(BR7&gt;=0,A7,999)</f>
        <v>999</v>
      </c>
      <c r="BV7" s="8">
        <f>ROUND(BR7+200000,2)</f>
        <v>-21250.6</v>
      </c>
    </row>
    <row r="8" spans="1:74">
      <c r="A8" s="10">
        <v>4</v>
      </c>
      <c r="B8" s="10">
        <f>'Base'!B8</f>
        <v>150</v>
      </c>
      <c r="C8" s="10">
        <f>'Base'!C8</f>
        <v>0</v>
      </c>
      <c r="D8" s="10">
        <f>'Base'!D8</f>
        <v>2</v>
      </c>
      <c r="E8" s="10">
        <f>'Base'!E8</f>
        <v>1</v>
      </c>
      <c r="F8" s="10">
        <f>'Base'!F8</f>
        <v>1</v>
      </c>
      <c r="G8" s="10">
        <f>MAX(0,F8-F7)</f>
        <v>1</v>
      </c>
      <c r="H8" s="10">
        <f>ROUNDUP(B8/'Premissas'!$B$14,0)</f>
        <v>7500</v>
      </c>
      <c r="I8" s="8">
        <f>ROUND(B8*'Premissas'!$B$5,2)</f>
        <v>4350.0</v>
      </c>
      <c r="J8" s="8">
        <f>ROUND(I8*'Premissas'!$B$6,2)</f>
        <v>21750.0</v>
      </c>
      <c r="K8" s="8">
        <f>ROUND(J8*'Premissas'!$B$7,2)</f>
        <v>1740.0</v>
      </c>
      <c r="L8" s="8">
        <f>ROUND(J8-K8,2)</f>
        <v>20010.0</v>
      </c>
      <c r="M8" s="8">
        <f>ROUND(L8*'Premissas'!$B$8+B8*(1-'Premissas'!$B$7)*'Premissas'!$B$9*'Premissas'!$B$6,2)</f>
        <v>2670.99</v>
      </c>
      <c r="N8" s="8">
        <f>ROUND(L8-M8,2)</f>
        <v>17339.01</v>
      </c>
      <c r="O8" s="8">
        <f>IF(A8&gt;'Premissas'!$B$20,INDEX($N$5:$N$28,MAX(1,A8-'Premissas'!$B$20)),0)</f>
        <v>5779.67</v>
      </c>
      <c r="P8" s="8">
        <f>ROUND(L8*'Premissas'!$B$10,2)</f>
        <v>3001.5</v>
      </c>
      <c r="Q8" s="8">
        <f>ROUND(L8*'Premissas'!$B$11,2)</f>
        <v>600.3</v>
      </c>
      <c r="R8" s="8">
        <f>ROUND(B8*'Premissas'!$B$28*'Premissas'!$B$6,2)</f>
        <v>11250.0</v>
      </c>
      <c r="S8" s="8">
        <f>ROUND(B8*'Premissas'!$B$13*'Premissas'!$B$6,2)</f>
        <v>750.0</v>
      </c>
      <c r="T8" s="8">
        <f>ROUND(L8-M8-P8-Q8-R8-S8,2)</f>
        <v>1737.21</v>
      </c>
      <c r="U8" s="10">
        <f>C8*'Premissas'!$B$16</f>
        <v>0</v>
      </c>
      <c r="V8" s="8">
        <f>ROUND(C8*'Premissas'!$B$15,2)</f>
        <v>0.0</v>
      </c>
      <c r="W8" s="8">
        <f>ROUND(V8*'Premissas'!$B$19+V7*(1-'Premissas'!$B$19),2)</f>
        <v>15000.0</v>
      </c>
      <c r="X8" s="8">
        <f>ROUND(U8*'Premissas'!$B$17,2)</f>
        <v>0.0</v>
      </c>
      <c r="Y8" s="8">
        <f>ROUND(V8*'Premissas'!$B$10,2)</f>
        <v>0.0</v>
      </c>
      <c r="Z8" s="8">
        <f>ROUND(W8*'Premissas'!$B$18,2)</f>
        <v>750.0</v>
      </c>
      <c r="AA8" s="8">
        <f>ROUND(V8*'Premissas'!$B$18,2)</f>
        <v>0.0</v>
      </c>
      <c r="AB8" s="8">
        <f>ROUND(V8-X8-Y8-AA8,2)</f>
        <v>0.0</v>
      </c>
      <c r="AC8" s="10">
        <f>D8*'Ofertas'!$C$5</f>
        <v>24.0</v>
      </c>
      <c r="AD8" s="8">
        <f>ROUND(D8*'Ofertas'!$B$5,2)</f>
        <v>9000.0</v>
      </c>
      <c r="AE8" s="8">
        <f>AD8</f>
        <v>9000.0</v>
      </c>
      <c r="AF8" s="8">
        <f>ROUND(AC8*'Ofertas'!$D$5,2)</f>
        <v>2880.0</v>
      </c>
      <c r="AG8" s="8">
        <f>ROUND(AD8*'Premissas'!$B$10,2)</f>
        <v>1350.0</v>
      </c>
      <c r="AH8" s="8">
        <f>ROUND(AD8*'Premissas'!$B$31,2)</f>
        <v>450.0</v>
      </c>
      <c r="AI8" s="8">
        <f>ROUND(D8*'Ofertas'!$H$5,2)</f>
        <v>320.0</v>
      </c>
      <c r="AJ8" s="8">
        <f>ROUND(AD8-AF8-AG8-AH8-AI8,2)</f>
        <v>4000.0</v>
      </c>
      <c r="AK8" s="10">
        <f>E8*'Ofertas'!$C$6</f>
        <v>40.0</v>
      </c>
      <c r="AL8" s="8">
        <f>ROUND(E8*'Ofertas'!$B$6,2)</f>
        <v>18000.0</v>
      </c>
      <c r="AM8" s="8">
        <f>ROUND(AL8*'Premissas'!$B$32+AL7*(1-'Premissas'!$B$32),2)</f>
        <v>18000.0</v>
      </c>
      <c r="AN8" s="8">
        <f>ROUND(AK8*'Ofertas'!$D$6,2)</f>
        <v>7200.0</v>
      </c>
      <c r="AO8" s="8">
        <f>ROUND(AL8*'Premissas'!$B$10,2)</f>
        <v>2700.0</v>
      </c>
      <c r="AP8" s="8">
        <f>ROUND(AL8*'Premissas'!$B$31,2)</f>
        <v>900.0</v>
      </c>
      <c r="AQ8" s="8">
        <f>ROUND(E8*'Ofertas'!$H$6,2)</f>
        <v>600.0</v>
      </c>
      <c r="AR8" s="8">
        <f>ROUND(AL8-AN8-AO8-AP8-AQ8,2)</f>
        <v>6600.0</v>
      </c>
      <c r="AS8" s="10">
        <f>F8*'Ofertas'!$C$7</f>
        <v>8.0</v>
      </c>
      <c r="AT8" s="8">
        <f>ROUND(F8*'Ofertas'!$B$7,2)</f>
        <v>3500.0</v>
      </c>
      <c r="AU8" s="8">
        <f>AT8</f>
        <v>3500.0</v>
      </c>
      <c r="AV8" s="8">
        <f>ROUND(AS8*'Ofertas'!$D$7,2)</f>
        <v>960.0</v>
      </c>
      <c r="AW8" s="8">
        <f>ROUND(AT8*'Premissas'!$B$10,2)</f>
        <v>525.0</v>
      </c>
      <c r="AX8" s="8">
        <f>ROUND(AT8*'Premissas'!$B$31,2)</f>
        <v>175.0</v>
      </c>
      <c r="AY8" s="8">
        <f>ROUND(F8*'Ofertas'!$H$7,2)</f>
        <v>210.0</v>
      </c>
      <c r="AZ8" s="8">
        <f>ROUND(AT8-AV8-AW8-AX8-AY8,2)</f>
        <v>1630.0</v>
      </c>
      <c r="BA8" s="10">
        <f>G8*'Ofertas'!$C$8</f>
        <v>20.0</v>
      </c>
      <c r="BB8" s="8">
        <f>ROUND(G8*'Ofertas'!$B$8,2)</f>
        <v>6000.0</v>
      </c>
      <c r="BC8" s="8">
        <f>BB8</f>
        <v>6000.0</v>
      </c>
      <c r="BD8" s="8">
        <f>ROUND(BA8*'Ofertas'!$D$8,2)</f>
        <v>3600.0</v>
      </c>
      <c r="BE8" s="8">
        <f>ROUND(BB8*'Premissas'!$B$10,2)</f>
        <v>900.0</v>
      </c>
      <c r="BF8" s="8">
        <f>ROUND(BB8*'Premissas'!$B$31,2)</f>
        <v>300.0</v>
      </c>
      <c r="BG8" s="8">
        <f>ROUND(G8*'Ofertas'!$H$8,2)</f>
        <v>200.0</v>
      </c>
      <c r="BH8" s="8">
        <f>ROUND(BB8-BD8-BE8-BF8-BG8,2)</f>
        <v>1000.0</v>
      </c>
      <c r="BI8" s="10">
        <f>U8+AC8+AK8+AS8+BA8</f>
        <v>92.0</v>
      </c>
      <c r="BJ8" s="11">
        <f>BI8/'Premissas'!$B$30</f>
        <v>0.575</v>
      </c>
      <c r="BK8" s="8">
        <f>IF(A8&lt;=12,'Premissas'!$B$24,'Premissas'!$B$25)</f>
        <v>37000</v>
      </c>
      <c r="BL8" s="8">
        <f>ROUND(J8+V8+AD8+AL8+AT8+BB8,2)</f>
        <v>58250.0</v>
      </c>
      <c r="BM8" s="8">
        <f>ROUND(L8+V8+AD8+AL8+AT8+BB8,2)</f>
        <v>56510.0</v>
      </c>
      <c r="BN8" s="8">
        <f>ROUND(T8+AB8+AJ8+AR8+AZ8+BH8,2)</f>
        <v>14967.21</v>
      </c>
      <c r="BO8" s="8">
        <f>ROUND(O8+W8+AE8+AM8+AU8+BC8,2)</f>
        <v>57279.67</v>
      </c>
      <c r="BP8" s="8">
        <f>ROUND(P8+Q8+R8+S8+X8+Y8+Z8+BK8+AF8+AG8+AH8+AI8+AN8+AO8+AP8+AQ8+AV8+AW8+AX8+AY8+BD8+BE8+BF8+BG8,2)</f>
        <v>76621.8</v>
      </c>
      <c r="BQ8" s="8">
        <f>ROUND(BO8-BP8,2)</f>
        <v>-19342.13</v>
      </c>
      <c r="BR8" s="8">
        <f>ROUND(BR7+BQ8,2)</f>
        <v>-240592.73</v>
      </c>
      <c r="BS8" s="8">
        <f>ROUND(BN8-BK8,2)</f>
        <v>-22032.79</v>
      </c>
      <c r="BT8" s="8">
        <f>ROUND(BT7+N8-O8+V8-W8+AL8-AM8,2)</f>
        <v>26339.01</v>
      </c>
      <c r="BU8" s="10">
        <f>IF(BR8&gt;=0,A8,999)</f>
        <v>999</v>
      </c>
      <c r="BV8" s="8">
        <f>ROUND(BR8+200000,2)</f>
        <v>-40592.73</v>
      </c>
    </row>
    <row r="9" spans="1:74">
      <c r="A9" s="10">
        <v>5</v>
      </c>
      <c r="B9" s="10">
        <f>'Base'!B9</f>
        <v>300</v>
      </c>
      <c r="C9" s="10">
        <f>'Base'!C9</f>
        <v>1</v>
      </c>
      <c r="D9" s="10">
        <f>'Base'!D9</f>
        <v>3</v>
      </c>
      <c r="E9" s="10">
        <f>'Base'!E9</f>
        <v>1</v>
      </c>
      <c r="F9" s="10">
        <f>'Base'!F9</f>
        <v>2</v>
      </c>
      <c r="G9" s="10">
        <f>MAX(0,F9-F8)</f>
        <v>1</v>
      </c>
      <c r="H9" s="10">
        <f>ROUNDUP(B9/'Premissas'!$B$14,0)</f>
        <v>15000</v>
      </c>
      <c r="I9" s="8">
        <f>ROUND(B9*'Premissas'!$B$5,2)</f>
        <v>8700.0</v>
      </c>
      <c r="J9" s="8">
        <f>ROUND(I9*'Premissas'!$B$6,2)</f>
        <v>43500.0</v>
      </c>
      <c r="K9" s="8">
        <f>ROUND(J9*'Premissas'!$B$7,2)</f>
        <v>3480.0</v>
      </c>
      <c r="L9" s="8">
        <f>ROUND(J9-K9,2)</f>
        <v>40020.0</v>
      </c>
      <c r="M9" s="8">
        <f>ROUND(L9*'Premissas'!$B$8+B9*(1-'Premissas'!$B$7)*'Premissas'!$B$9*'Premissas'!$B$6,2)</f>
        <v>5341.98</v>
      </c>
      <c r="N9" s="8">
        <f>ROUND(L9-M9,2)</f>
        <v>34678.02</v>
      </c>
      <c r="O9" s="8">
        <f>IF(A9&gt;'Premissas'!$B$20,INDEX($N$5:$N$28,MAX(1,A9-'Premissas'!$B$20)),0)</f>
        <v>17339.01</v>
      </c>
      <c r="P9" s="8">
        <f>ROUND(L9*'Premissas'!$B$10,2)</f>
        <v>6003.0</v>
      </c>
      <c r="Q9" s="8">
        <f>ROUND(L9*'Premissas'!$B$11,2)</f>
        <v>1200.6</v>
      </c>
      <c r="R9" s="8">
        <f>ROUND(B9*'Premissas'!$B$28*'Premissas'!$B$6,2)</f>
        <v>22500.0</v>
      </c>
      <c r="S9" s="8">
        <f>ROUND(B9*'Premissas'!$B$13*'Premissas'!$B$6,2)</f>
        <v>1500.0</v>
      </c>
      <c r="T9" s="8">
        <f>ROUND(L9-M9-P9-Q9-R9-S9,2)</f>
        <v>3474.42</v>
      </c>
      <c r="U9" s="10">
        <f>C9*'Premissas'!$B$16</f>
        <v>80</v>
      </c>
      <c r="V9" s="8">
        <f>ROUND(C9*'Premissas'!$B$15,2)</f>
        <v>30000.0</v>
      </c>
      <c r="W9" s="8">
        <f>ROUND(V9*'Premissas'!$B$19+V8*(1-'Premissas'!$B$19),2)</f>
        <v>15000.0</v>
      </c>
      <c r="X9" s="8">
        <f>ROUND(U9*'Premissas'!$B$17,2)</f>
        <v>14400.0</v>
      </c>
      <c r="Y9" s="8">
        <f>ROUND(V9*'Premissas'!$B$10,2)</f>
        <v>4500.0</v>
      </c>
      <c r="Z9" s="8">
        <f>ROUND(W9*'Premissas'!$B$18,2)</f>
        <v>750.0</v>
      </c>
      <c r="AA9" s="8">
        <f>ROUND(V9*'Premissas'!$B$18,2)</f>
        <v>1500.0</v>
      </c>
      <c r="AB9" s="8">
        <f>ROUND(V9-X9-Y9-AA9,2)</f>
        <v>9600.0</v>
      </c>
      <c r="AC9" s="10">
        <f>D9*'Ofertas'!$C$5</f>
        <v>36.0</v>
      </c>
      <c r="AD9" s="8">
        <f>ROUND(D9*'Ofertas'!$B$5,2)</f>
        <v>13500.0</v>
      </c>
      <c r="AE9" s="8">
        <f>AD9</f>
        <v>13500.0</v>
      </c>
      <c r="AF9" s="8">
        <f>ROUND(AC9*'Ofertas'!$D$5,2)</f>
        <v>4320.0</v>
      </c>
      <c r="AG9" s="8">
        <f>ROUND(AD9*'Premissas'!$B$10,2)</f>
        <v>2025.0</v>
      </c>
      <c r="AH9" s="8">
        <f>ROUND(AD9*'Premissas'!$B$31,2)</f>
        <v>675.0</v>
      </c>
      <c r="AI9" s="8">
        <f>ROUND(D9*'Ofertas'!$H$5,2)</f>
        <v>480.0</v>
      </c>
      <c r="AJ9" s="8">
        <f>ROUND(AD9-AF9-AG9-AH9-AI9,2)</f>
        <v>6000.0</v>
      </c>
      <c r="AK9" s="10">
        <f>E9*'Ofertas'!$C$6</f>
        <v>40.0</v>
      </c>
      <c r="AL9" s="8">
        <f>ROUND(E9*'Ofertas'!$B$6,2)</f>
        <v>18000.0</v>
      </c>
      <c r="AM9" s="8">
        <f>ROUND(AL9*'Premissas'!$B$32+AL8*(1-'Premissas'!$B$32),2)</f>
        <v>18000.0</v>
      </c>
      <c r="AN9" s="8">
        <f>ROUND(AK9*'Ofertas'!$D$6,2)</f>
        <v>7200.0</v>
      </c>
      <c r="AO9" s="8">
        <f>ROUND(AL9*'Premissas'!$B$10,2)</f>
        <v>2700.0</v>
      </c>
      <c r="AP9" s="8">
        <f>ROUND(AL9*'Premissas'!$B$31,2)</f>
        <v>900.0</v>
      </c>
      <c r="AQ9" s="8">
        <f>ROUND(E9*'Ofertas'!$H$6,2)</f>
        <v>600.0</v>
      </c>
      <c r="AR9" s="8">
        <f>ROUND(AL9-AN9-AO9-AP9-AQ9,2)</f>
        <v>6600.0</v>
      </c>
      <c r="AS9" s="10">
        <f>F9*'Ofertas'!$C$7</f>
        <v>16.0</v>
      </c>
      <c r="AT9" s="8">
        <f>ROUND(F9*'Ofertas'!$B$7,2)</f>
        <v>7000.0</v>
      </c>
      <c r="AU9" s="8">
        <f>AT9</f>
        <v>7000.0</v>
      </c>
      <c r="AV9" s="8">
        <f>ROUND(AS9*'Ofertas'!$D$7,2)</f>
        <v>1920.0</v>
      </c>
      <c r="AW9" s="8">
        <f>ROUND(AT9*'Premissas'!$B$10,2)</f>
        <v>1050.0</v>
      </c>
      <c r="AX9" s="8">
        <f>ROUND(AT9*'Premissas'!$B$31,2)</f>
        <v>350.0</v>
      </c>
      <c r="AY9" s="8">
        <f>ROUND(F9*'Ofertas'!$H$7,2)</f>
        <v>420.0</v>
      </c>
      <c r="AZ9" s="8">
        <f>ROUND(AT9-AV9-AW9-AX9-AY9,2)</f>
        <v>3260.0</v>
      </c>
      <c r="BA9" s="10">
        <f>G9*'Ofertas'!$C$8</f>
        <v>20.0</v>
      </c>
      <c r="BB9" s="8">
        <f>ROUND(G9*'Ofertas'!$B$8,2)</f>
        <v>6000.0</v>
      </c>
      <c r="BC9" s="8">
        <f>BB9</f>
        <v>6000.0</v>
      </c>
      <c r="BD9" s="8">
        <f>ROUND(BA9*'Ofertas'!$D$8,2)</f>
        <v>3600.0</v>
      </c>
      <c r="BE9" s="8">
        <f>ROUND(BB9*'Premissas'!$B$10,2)</f>
        <v>900.0</v>
      </c>
      <c r="BF9" s="8">
        <f>ROUND(BB9*'Premissas'!$B$31,2)</f>
        <v>300.0</v>
      </c>
      <c r="BG9" s="8">
        <f>ROUND(G9*'Ofertas'!$H$8,2)</f>
        <v>200.0</v>
      </c>
      <c r="BH9" s="8">
        <f>ROUND(BB9-BD9-BE9-BF9-BG9,2)</f>
        <v>1000.0</v>
      </c>
      <c r="BI9" s="10">
        <f>U9+AC9+AK9+AS9+BA9</f>
        <v>192.0</v>
      </c>
      <c r="BJ9" s="11">
        <f>BI9/'Premissas'!$B$30</f>
        <v>1.2</v>
      </c>
      <c r="BK9" s="8">
        <f>IF(A9&lt;=12,'Premissas'!$B$24,'Premissas'!$B$25)</f>
        <v>37000</v>
      </c>
      <c r="BL9" s="8">
        <f>ROUND(J9+V9+AD9+AL9+AT9+BB9,2)</f>
        <v>118000.0</v>
      </c>
      <c r="BM9" s="8">
        <f>ROUND(L9+V9+AD9+AL9+AT9+BB9,2)</f>
        <v>114520.0</v>
      </c>
      <c r="BN9" s="8">
        <f>ROUND(T9+AB9+AJ9+AR9+AZ9+BH9,2)</f>
        <v>29934.42</v>
      </c>
      <c r="BO9" s="8">
        <f>ROUND(O9+W9+AE9+AM9+AU9+BC9,2)</f>
        <v>76839.01</v>
      </c>
      <c r="BP9" s="8">
        <f>ROUND(P9+Q9+R9+S9+X9+Y9+Z9+BK9+AF9+AG9+AH9+AI9+AN9+AO9+AP9+AQ9+AV9+AW9+AX9+AY9+BD9+BE9+BF9+BG9,2)</f>
        <v>115493.6</v>
      </c>
      <c r="BQ9" s="8">
        <f>ROUND(BO9-BP9,2)</f>
        <v>-38654.59</v>
      </c>
      <c r="BR9" s="8">
        <f>ROUND(BR8+BQ9,2)</f>
        <v>-279247.32</v>
      </c>
      <c r="BS9" s="8">
        <f>ROUND(BN9-BK9,2)</f>
        <v>-7065.58</v>
      </c>
      <c r="BT9" s="8">
        <f>ROUND(BT8+N9-O9+V9-W9+AL9-AM9,2)</f>
        <v>58678.02</v>
      </c>
      <c r="BU9" s="10">
        <f>IF(BR9&gt;=0,A9,999)</f>
        <v>999</v>
      </c>
      <c r="BV9" s="8">
        <f>ROUND(BR9+200000,2)</f>
        <v>-79247.32</v>
      </c>
    </row>
    <row r="10" spans="1:74">
      <c r="A10" s="10">
        <v>6</v>
      </c>
      <c r="B10" s="10">
        <f>'Base'!B10</f>
        <v>500</v>
      </c>
      <c r="C10" s="10">
        <f>'Base'!C10</f>
        <v>0</v>
      </c>
      <c r="D10" s="10">
        <f>'Base'!D10</f>
        <v>4</v>
      </c>
      <c r="E10" s="10">
        <f>'Base'!E10</f>
        <v>1</v>
      </c>
      <c r="F10" s="10">
        <f>'Base'!F10</f>
        <v>2</v>
      </c>
      <c r="G10" s="10">
        <f>MAX(0,F10-F9)</f>
        <v>0</v>
      </c>
      <c r="H10" s="10">
        <f>ROUNDUP(B10/'Premissas'!$B$14,0)</f>
        <v>25000</v>
      </c>
      <c r="I10" s="8">
        <f>ROUND(B10*'Premissas'!$B$5,2)</f>
        <v>14500.0</v>
      </c>
      <c r="J10" s="8">
        <f>ROUND(I10*'Premissas'!$B$6,2)</f>
        <v>72500.0</v>
      </c>
      <c r="K10" s="8">
        <f>ROUND(J10*'Premissas'!$B$7,2)</f>
        <v>5800.0</v>
      </c>
      <c r="L10" s="8">
        <f>ROUND(J10-K10,2)</f>
        <v>66700.0</v>
      </c>
      <c r="M10" s="8">
        <f>ROUND(L10*'Premissas'!$B$8+B10*(1-'Premissas'!$B$7)*'Premissas'!$B$9*'Premissas'!$B$6,2)</f>
        <v>8903.3</v>
      </c>
      <c r="N10" s="8">
        <f>ROUND(L10-M10,2)</f>
        <v>57796.7</v>
      </c>
      <c r="O10" s="8">
        <f>IF(A10&gt;'Premissas'!$B$20,INDEX($N$5:$N$28,MAX(1,A10-'Premissas'!$B$20)),0)</f>
        <v>34678.02</v>
      </c>
      <c r="P10" s="8">
        <f>ROUND(L10*'Premissas'!$B$10,2)</f>
        <v>10005.0</v>
      </c>
      <c r="Q10" s="8">
        <f>ROUND(L10*'Premissas'!$B$11,2)</f>
        <v>2001.0</v>
      </c>
      <c r="R10" s="8">
        <f>ROUND(B10*'Premissas'!$B$28*'Premissas'!$B$6,2)</f>
        <v>37500.0</v>
      </c>
      <c r="S10" s="8">
        <f>ROUND(B10*'Premissas'!$B$13*'Premissas'!$B$6,2)</f>
        <v>2500.0</v>
      </c>
      <c r="T10" s="8">
        <f>ROUND(L10-M10-P10-Q10-R10-S10,2)</f>
        <v>5790.7</v>
      </c>
      <c r="U10" s="10">
        <f>C10*'Premissas'!$B$16</f>
        <v>0</v>
      </c>
      <c r="V10" s="8">
        <f>ROUND(C10*'Premissas'!$B$15,2)</f>
        <v>0.0</v>
      </c>
      <c r="W10" s="8">
        <f>ROUND(V10*'Premissas'!$B$19+V9*(1-'Premissas'!$B$19),2)</f>
        <v>15000.0</v>
      </c>
      <c r="X10" s="8">
        <f>ROUND(U10*'Premissas'!$B$17,2)</f>
        <v>0.0</v>
      </c>
      <c r="Y10" s="8">
        <f>ROUND(V10*'Premissas'!$B$10,2)</f>
        <v>0.0</v>
      </c>
      <c r="Z10" s="8">
        <f>ROUND(W10*'Premissas'!$B$18,2)</f>
        <v>750.0</v>
      </c>
      <c r="AA10" s="8">
        <f>ROUND(V10*'Premissas'!$B$18,2)</f>
        <v>0.0</v>
      </c>
      <c r="AB10" s="8">
        <f>ROUND(V10-X10-Y10-AA10,2)</f>
        <v>0.0</v>
      </c>
      <c r="AC10" s="10">
        <f>D10*'Ofertas'!$C$5</f>
        <v>48.0</v>
      </c>
      <c r="AD10" s="8">
        <f>ROUND(D10*'Ofertas'!$B$5,2)</f>
        <v>18000.0</v>
      </c>
      <c r="AE10" s="8">
        <f>AD10</f>
        <v>18000.0</v>
      </c>
      <c r="AF10" s="8">
        <f>ROUND(AC10*'Ofertas'!$D$5,2)</f>
        <v>5760.0</v>
      </c>
      <c r="AG10" s="8">
        <f>ROUND(AD10*'Premissas'!$B$10,2)</f>
        <v>2700.0</v>
      </c>
      <c r="AH10" s="8">
        <f>ROUND(AD10*'Premissas'!$B$31,2)</f>
        <v>900.0</v>
      </c>
      <c r="AI10" s="8">
        <f>ROUND(D10*'Ofertas'!$H$5,2)</f>
        <v>640.0</v>
      </c>
      <c r="AJ10" s="8">
        <f>ROUND(AD10-AF10-AG10-AH10-AI10,2)</f>
        <v>8000.0</v>
      </c>
      <c r="AK10" s="10">
        <f>E10*'Ofertas'!$C$6</f>
        <v>40.0</v>
      </c>
      <c r="AL10" s="8">
        <f>ROUND(E10*'Ofertas'!$B$6,2)</f>
        <v>18000.0</v>
      </c>
      <c r="AM10" s="8">
        <f>ROUND(AL10*'Premissas'!$B$32+AL9*(1-'Premissas'!$B$32),2)</f>
        <v>18000.0</v>
      </c>
      <c r="AN10" s="8">
        <f>ROUND(AK10*'Ofertas'!$D$6,2)</f>
        <v>7200.0</v>
      </c>
      <c r="AO10" s="8">
        <f>ROUND(AL10*'Premissas'!$B$10,2)</f>
        <v>2700.0</v>
      </c>
      <c r="AP10" s="8">
        <f>ROUND(AL10*'Premissas'!$B$31,2)</f>
        <v>900.0</v>
      </c>
      <c r="AQ10" s="8">
        <f>ROUND(E10*'Ofertas'!$H$6,2)</f>
        <v>600.0</v>
      </c>
      <c r="AR10" s="8">
        <f>ROUND(AL10-AN10-AO10-AP10-AQ10,2)</f>
        <v>6600.0</v>
      </c>
      <c r="AS10" s="10">
        <f>F10*'Ofertas'!$C$7</f>
        <v>16.0</v>
      </c>
      <c r="AT10" s="8">
        <f>ROUND(F10*'Ofertas'!$B$7,2)</f>
        <v>7000.0</v>
      </c>
      <c r="AU10" s="8">
        <f>AT10</f>
        <v>7000.0</v>
      </c>
      <c r="AV10" s="8">
        <f>ROUND(AS10*'Ofertas'!$D$7,2)</f>
        <v>1920.0</v>
      </c>
      <c r="AW10" s="8">
        <f>ROUND(AT10*'Premissas'!$B$10,2)</f>
        <v>1050.0</v>
      </c>
      <c r="AX10" s="8">
        <f>ROUND(AT10*'Premissas'!$B$31,2)</f>
        <v>350.0</v>
      </c>
      <c r="AY10" s="8">
        <f>ROUND(F10*'Ofertas'!$H$7,2)</f>
        <v>420.0</v>
      </c>
      <c r="AZ10" s="8">
        <f>ROUND(AT10-AV10-AW10-AX10-AY10,2)</f>
        <v>3260.0</v>
      </c>
      <c r="BA10" s="10">
        <f>G10*'Ofertas'!$C$8</f>
        <v>0.0</v>
      </c>
      <c r="BB10" s="8">
        <f>ROUND(G10*'Ofertas'!$B$8,2)</f>
        <v>0.0</v>
      </c>
      <c r="BC10" s="8">
        <f>BB10</f>
        <v>0.0</v>
      </c>
      <c r="BD10" s="8">
        <f>ROUND(BA10*'Ofertas'!$D$8,2)</f>
        <v>0.0</v>
      </c>
      <c r="BE10" s="8">
        <f>ROUND(BB10*'Premissas'!$B$10,2)</f>
        <v>0.0</v>
      </c>
      <c r="BF10" s="8">
        <f>ROUND(BB10*'Premissas'!$B$31,2)</f>
        <v>0.0</v>
      </c>
      <c r="BG10" s="8">
        <f>ROUND(G10*'Ofertas'!$H$8,2)</f>
        <v>0.0</v>
      </c>
      <c r="BH10" s="8">
        <f>ROUND(BB10-BD10-BE10-BF10-BG10,2)</f>
        <v>0.0</v>
      </c>
      <c r="BI10" s="10">
        <f>U10+AC10+AK10+AS10+BA10</f>
        <v>104.0</v>
      </c>
      <c r="BJ10" s="11">
        <f>BI10/'Premissas'!$B$30</f>
        <v>0.65</v>
      </c>
      <c r="BK10" s="8">
        <f>IF(A10&lt;=12,'Premissas'!$B$24,'Premissas'!$B$25)</f>
        <v>37000</v>
      </c>
      <c r="BL10" s="8">
        <f>ROUND(J10+V10+AD10+AL10+AT10+BB10,2)</f>
        <v>115500.0</v>
      </c>
      <c r="BM10" s="8">
        <f>ROUND(L10+V10+AD10+AL10+AT10+BB10,2)</f>
        <v>109700.0</v>
      </c>
      <c r="BN10" s="8">
        <f>ROUND(T10+AB10+AJ10+AR10+AZ10+BH10,2)</f>
        <v>23650.7</v>
      </c>
      <c r="BO10" s="8">
        <f>ROUND(O10+W10+AE10+AM10+AU10+BC10,2)</f>
        <v>92678.02</v>
      </c>
      <c r="BP10" s="8">
        <f>ROUND(P10+Q10+R10+S10+X10+Y10+Z10+BK10+AF10+AG10+AH10+AI10+AN10+AO10+AP10+AQ10+AV10+AW10+AX10+AY10+BD10+BE10+BF10+BG10,2)</f>
        <v>114896.0</v>
      </c>
      <c r="BQ10" s="8">
        <f>ROUND(BO10-BP10,2)</f>
        <v>-22217.98</v>
      </c>
      <c r="BR10" s="8">
        <f>ROUND(BR9+BQ10,2)</f>
        <v>-301465.3</v>
      </c>
      <c r="BS10" s="8">
        <f>ROUND(BN10-BK10,2)</f>
        <v>-13349.3</v>
      </c>
      <c r="BT10" s="8">
        <f>ROUND(BT9+N10-O10+V10-W10+AL10-AM10,2)</f>
        <v>66796.7</v>
      </c>
      <c r="BU10" s="10">
        <f>IF(BR10&gt;=0,A10,999)</f>
        <v>999</v>
      </c>
      <c r="BV10" s="8">
        <f>ROUND(BR10+200000,2)</f>
        <v>-101465.3</v>
      </c>
    </row>
    <row r="11" spans="1:74">
      <c r="A11" s="10">
        <v>7</v>
      </c>
      <c r="B11" s="10">
        <f>'Base'!B11</f>
        <v>750</v>
      </c>
      <c r="C11" s="10">
        <f>'Base'!C11</f>
        <v>1</v>
      </c>
      <c r="D11" s="10">
        <f>'Base'!D11</f>
        <v>5</v>
      </c>
      <c r="E11" s="10">
        <f>'Base'!E11</f>
        <v>2</v>
      </c>
      <c r="F11" s="10">
        <f>'Base'!F11</f>
        <v>3</v>
      </c>
      <c r="G11" s="10">
        <f>MAX(0,F11-F10)</f>
        <v>1</v>
      </c>
      <c r="H11" s="10">
        <f>ROUNDUP(B11/'Premissas'!$B$14,0)</f>
        <v>37500</v>
      </c>
      <c r="I11" s="8">
        <f>ROUND(B11*'Premissas'!$B$5,2)</f>
        <v>21750.0</v>
      </c>
      <c r="J11" s="8">
        <f>ROUND(I11*'Premissas'!$B$6,2)</f>
        <v>108750.0</v>
      </c>
      <c r="K11" s="8">
        <f>ROUND(J11*'Premissas'!$B$7,2)</f>
        <v>8700.0</v>
      </c>
      <c r="L11" s="8">
        <f>ROUND(J11-K11,2)</f>
        <v>100050.0</v>
      </c>
      <c r="M11" s="8">
        <f>ROUND(L11*'Premissas'!$B$8+B11*(1-'Premissas'!$B$7)*'Premissas'!$B$9*'Premissas'!$B$6,2)</f>
        <v>13354.95</v>
      </c>
      <c r="N11" s="8">
        <f>ROUND(L11-M11,2)</f>
        <v>86695.05</v>
      </c>
      <c r="O11" s="8">
        <f>IF(A11&gt;'Premissas'!$B$20,INDEX($N$5:$N$28,MAX(1,A11-'Premissas'!$B$20)),0)</f>
        <v>57796.7</v>
      </c>
      <c r="P11" s="8">
        <f>ROUND(L11*'Premissas'!$B$10,2)</f>
        <v>15007.5</v>
      </c>
      <c r="Q11" s="8">
        <f>ROUND(L11*'Premissas'!$B$11,2)</f>
        <v>3001.5</v>
      </c>
      <c r="R11" s="8">
        <f>ROUND(B11*'Premissas'!$B$28*'Premissas'!$B$6,2)</f>
        <v>56250.0</v>
      </c>
      <c r="S11" s="8">
        <f>ROUND(B11*'Premissas'!$B$13*'Premissas'!$B$6,2)</f>
        <v>3750.0</v>
      </c>
      <c r="T11" s="8">
        <f>ROUND(L11-M11-P11-Q11-R11-S11,2)</f>
        <v>8686.05</v>
      </c>
      <c r="U11" s="10">
        <f>C11*'Premissas'!$B$16</f>
        <v>80</v>
      </c>
      <c r="V11" s="8">
        <f>ROUND(C11*'Premissas'!$B$15,2)</f>
        <v>30000.0</v>
      </c>
      <c r="W11" s="8">
        <f>ROUND(V11*'Premissas'!$B$19+V10*(1-'Premissas'!$B$19),2)</f>
        <v>15000.0</v>
      </c>
      <c r="X11" s="8">
        <f>ROUND(U11*'Premissas'!$B$17,2)</f>
        <v>14400.0</v>
      </c>
      <c r="Y11" s="8">
        <f>ROUND(V11*'Premissas'!$B$10,2)</f>
        <v>4500.0</v>
      </c>
      <c r="Z11" s="8">
        <f>ROUND(W11*'Premissas'!$B$18,2)</f>
        <v>750.0</v>
      </c>
      <c r="AA11" s="8">
        <f>ROUND(V11*'Premissas'!$B$18,2)</f>
        <v>1500.0</v>
      </c>
      <c r="AB11" s="8">
        <f>ROUND(V11-X11-Y11-AA11,2)</f>
        <v>9600.0</v>
      </c>
      <c r="AC11" s="10">
        <f>D11*'Ofertas'!$C$5</f>
        <v>60.0</v>
      </c>
      <c r="AD11" s="8">
        <f>ROUND(D11*'Ofertas'!$B$5,2)</f>
        <v>22500.0</v>
      </c>
      <c r="AE11" s="8">
        <f>AD11</f>
        <v>22500.0</v>
      </c>
      <c r="AF11" s="8">
        <f>ROUND(AC11*'Ofertas'!$D$5,2)</f>
        <v>7200.0</v>
      </c>
      <c r="AG11" s="8">
        <f>ROUND(AD11*'Premissas'!$B$10,2)</f>
        <v>3375.0</v>
      </c>
      <c r="AH11" s="8">
        <f>ROUND(AD11*'Premissas'!$B$31,2)</f>
        <v>1125.0</v>
      </c>
      <c r="AI11" s="8">
        <f>ROUND(D11*'Ofertas'!$H$5,2)</f>
        <v>800.0</v>
      </c>
      <c r="AJ11" s="8">
        <f>ROUND(AD11-AF11-AG11-AH11-AI11,2)</f>
        <v>10000.0</v>
      </c>
      <c r="AK11" s="10">
        <f>E11*'Ofertas'!$C$6</f>
        <v>80.0</v>
      </c>
      <c r="AL11" s="8">
        <f>ROUND(E11*'Ofertas'!$B$6,2)</f>
        <v>36000.0</v>
      </c>
      <c r="AM11" s="8">
        <f>ROUND(AL11*'Premissas'!$B$32+AL10*(1-'Premissas'!$B$32),2)</f>
        <v>27000.0</v>
      </c>
      <c r="AN11" s="8">
        <f>ROUND(AK11*'Ofertas'!$D$6,2)</f>
        <v>14400.0</v>
      </c>
      <c r="AO11" s="8">
        <f>ROUND(AL11*'Premissas'!$B$10,2)</f>
        <v>5400.0</v>
      </c>
      <c r="AP11" s="8">
        <f>ROUND(AL11*'Premissas'!$B$31,2)</f>
        <v>1800.0</v>
      </c>
      <c r="AQ11" s="8">
        <f>ROUND(E11*'Ofertas'!$H$6,2)</f>
        <v>1200.0</v>
      </c>
      <c r="AR11" s="8">
        <f>ROUND(AL11-AN11-AO11-AP11-AQ11,2)</f>
        <v>13200.0</v>
      </c>
      <c r="AS11" s="10">
        <f>F11*'Ofertas'!$C$7</f>
        <v>24.0</v>
      </c>
      <c r="AT11" s="8">
        <f>ROUND(F11*'Ofertas'!$B$7,2)</f>
        <v>10500.0</v>
      </c>
      <c r="AU11" s="8">
        <f>AT11</f>
        <v>10500.0</v>
      </c>
      <c r="AV11" s="8">
        <f>ROUND(AS11*'Ofertas'!$D$7,2)</f>
        <v>2880.0</v>
      </c>
      <c r="AW11" s="8">
        <f>ROUND(AT11*'Premissas'!$B$10,2)</f>
        <v>1575.0</v>
      </c>
      <c r="AX11" s="8">
        <f>ROUND(AT11*'Premissas'!$B$31,2)</f>
        <v>525.0</v>
      </c>
      <c r="AY11" s="8">
        <f>ROUND(F11*'Ofertas'!$H$7,2)</f>
        <v>630.0</v>
      </c>
      <c r="AZ11" s="8">
        <f>ROUND(AT11-AV11-AW11-AX11-AY11,2)</f>
        <v>4890.0</v>
      </c>
      <c r="BA11" s="10">
        <f>G11*'Ofertas'!$C$8</f>
        <v>20.0</v>
      </c>
      <c r="BB11" s="8">
        <f>ROUND(G11*'Ofertas'!$B$8,2)</f>
        <v>6000.0</v>
      </c>
      <c r="BC11" s="8">
        <f>BB11</f>
        <v>6000.0</v>
      </c>
      <c r="BD11" s="8">
        <f>ROUND(BA11*'Ofertas'!$D$8,2)</f>
        <v>3600.0</v>
      </c>
      <c r="BE11" s="8">
        <f>ROUND(BB11*'Premissas'!$B$10,2)</f>
        <v>900.0</v>
      </c>
      <c r="BF11" s="8">
        <f>ROUND(BB11*'Premissas'!$B$31,2)</f>
        <v>300.0</v>
      </c>
      <c r="BG11" s="8">
        <f>ROUND(G11*'Ofertas'!$H$8,2)</f>
        <v>200.0</v>
      </c>
      <c r="BH11" s="8">
        <f>ROUND(BB11-BD11-BE11-BF11-BG11,2)</f>
        <v>1000.0</v>
      </c>
      <c r="BI11" s="10">
        <f>U11+AC11+AK11+AS11+BA11</f>
        <v>264.0</v>
      </c>
      <c r="BJ11" s="11">
        <f>BI11/'Premissas'!$B$30</f>
        <v>1.65</v>
      </c>
      <c r="BK11" s="8">
        <f>IF(A11&lt;=12,'Premissas'!$B$24,'Premissas'!$B$25)</f>
        <v>37000</v>
      </c>
      <c r="BL11" s="8">
        <f>ROUND(J11+V11+AD11+AL11+AT11+BB11,2)</f>
        <v>213750.0</v>
      </c>
      <c r="BM11" s="8">
        <f>ROUND(L11+V11+AD11+AL11+AT11+BB11,2)</f>
        <v>205050.0</v>
      </c>
      <c r="BN11" s="8">
        <f>ROUND(T11+AB11+AJ11+AR11+AZ11+BH11,2)</f>
        <v>47376.05</v>
      </c>
      <c r="BO11" s="8">
        <f>ROUND(O11+W11+AE11+AM11+AU11+BC11,2)</f>
        <v>138796.7</v>
      </c>
      <c r="BP11" s="8">
        <f>ROUND(P11+Q11+R11+S11+X11+Y11+Z11+BK11+AF11+AG11+AH11+AI11+AN11+AO11+AP11+AQ11+AV11+AW11+AX11+AY11+BD11+BE11+BF11+BG11,2)</f>
        <v>180569.0</v>
      </c>
      <c r="BQ11" s="8">
        <f>ROUND(BO11-BP11,2)</f>
        <v>-41772.3</v>
      </c>
      <c r="BR11" s="8">
        <f>ROUND(BR10+BQ11,2)</f>
        <v>-343237.6</v>
      </c>
      <c r="BS11" s="8">
        <f>ROUND(BN11-BK11,2)</f>
        <v>10376.05</v>
      </c>
      <c r="BT11" s="8">
        <f>ROUND(BT10+N11-O11+V11-W11+AL11-AM11,2)</f>
        <v>119695.05</v>
      </c>
      <c r="BU11" s="10">
        <f>IF(BR11&gt;=0,A11,999)</f>
        <v>999</v>
      </c>
      <c r="BV11" s="8">
        <f>ROUND(BR11+200000,2)</f>
        <v>-143237.6</v>
      </c>
    </row>
    <row r="12" spans="1:74">
      <c r="A12" s="10">
        <v>8</v>
      </c>
      <c r="B12" s="10">
        <f>'Base'!B12</f>
        <v>1000</v>
      </c>
      <c r="C12" s="10">
        <f>'Base'!C12</f>
        <v>1</v>
      </c>
      <c r="D12" s="10">
        <f>'Base'!D12</f>
        <v>6</v>
      </c>
      <c r="E12" s="10">
        <f>'Base'!E12</f>
        <v>2</v>
      </c>
      <c r="F12" s="10">
        <f>'Base'!F12</f>
        <v>3</v>
      </c>
      <c r="G12" s="10">
        <f>MAX(0,F12-F11)</f>
        <v>0</v>
      </c>
      <c r="H12" s="10">
        <f>ROUNDUP(B12/'Premissas'!$B$14,0)</f>
        <v>50000</v>
      </c>
      <c r="I12" s="8">
        <f>ROUND(B12*'Premissas'!$B$5,2)</f>
        <v>29000.0</v>
      </c>
      <c r="J12" s="8">
        <f>ROUND(I12*'Premissas'!$B$6,2)</f>
        <v>145000.0</v>
      </c>
      <c r="K12" s="8">
        <f>ROUND(J12*'Premissas'!$B$7,2)</f>
        <v>11600.0</v>
      </c>
      <c r="L12" s="8">
        <f>ROUND(J12-K12,2)</f>
        <v>133400.0</v>
      </c>
      <c r="M12" s="8">
        <f>ROUND(L12*'Premissas'!$B$8+B12*(1-'Premissas'!$B$7)*'Premissas'!$B$9*'Premissas'!$B$6,2)</f>
        <v>17806.6</v>
      </c>
      <c r="N12" s="8">
        <f>ROUND(L12-M12,2)</f>
        <v>115593.4</v>
      </c>
      <c r="O12" s="8">
        <f>IF(A12&gt;'Premissas'!$B$20,INDEX($N$5:$N$28,MAX(1,A12-'Premissas'!$B$20)),0)</f>
        <v>86695.05</v>
      </c>
      <c r="P12" s="8">
        <f>ROUND(L12*'Premissas'!$B$10,2)</f>
        <v>20010.0</v>
      </c>
      <c r="Q12" s="8">
        <f>ROUND(L12*'Premissas'!$B$11,2)</f>
        <v>4002.0</v>
      </c>
      <c r="R12" s="8">
        <f>ROUND(B12*'Premissas'!$B$28*'Premissas'!$B$6,2)</f>
        <v>75000.0</v>
      </c>
      <c r="S12" s="8">
        <f>ROUND(B12*'Premissas'!$B$13*'Premissas'!$B$6,2)</f>
        <v>5000.0</v>
      </c>
      <c r="T12" s="8">
        <f>ROUND(L12-M12-P12-Q12-R12-S12,2)</f>
        <v>11581.4</v>
      </c>
      <c r="U12" s="10">
        <f>C12*'Premissas'!$B$16</f>
        <v>80</v>
      </c>
      <c r="V12" s="8">
        <f>ROUND(C12*'Premissas'!$B$15,2)</f>
        <v>30000.0</v>
      </c>
      <c r="W12" s="8">
        <f>ROUND(V12*'Premissas'!$B$19+V11*(1-'Premissas'!$B$19),2)</f>
        <v>30000.0</v>
      </c>
      <c r="X12" s="8">
        <f>ROUND(U12*'Premissas'!$B$17,2)</f>
        <v>14400.0</v>
      </c>
      <c r="Y12" s="8">
        <f>ROUND(V12*'Premissas'!$B$10,2)</f>
        <v>4500.0</v>
      </c>
      <c r="Z12" s="8">
        <f>ROUND(W12*'Premissas'!$B$18,2)</f>
        <v>1500.0</v>
      </c>
      <c r="AA12" s="8">
        <f>ROUND(V12*'Premissas'!$B$18,2)</f>
        <v>1500.0</v>
      </c>
      <c r="AB12" s="8">
        <f>ROUND(V12-X12-Y12-AA12,2)</f>
        <v>9600.0</v>
      </c>
      <c r="AC12" s="10">
        <f>D12*'Ofertas'!$C$5</f>
        <v>72.0</v>
      </c>
      <c r="AD12" s="8">
        <f>ROUND(D12*'Ofertas'!$B$5,2)</f>
        <v>27000.0</v>
      </c>
      <c r="AE12" s="8">
        <f>AD12</f>
        <v>27000.0</v>
      </c>
      <c r="AF12" s="8">
        <f>ROUND(AC12*'Ofertas'!$D$5,2)</f>
        <v>8640.0</v>
      </c>
      <c r="AG12" s="8">
        <f>ROUND(AD12*'Premissas'!$B$10,2)</f>
        <v>4050.0</v>
      </c>
      <c r="AH12" s="8">
        <f>ROUND(AD12*'Premissas'!$B$31,2)</f>
        <v>1350.0</v>
      </c>
      <c r="AI12" s="8">
        <f>ROUND(D12*'Ofertas'!$H$5,2)</f>
        <v>960.0</v>
      </c>
      <c r="AJ12" s="8">
        <f>ROUND(AD12-AF12-AG12-AH12-AI12,2)</f>
        <v>12000.0</v>
      </c>
      <c r="AK12" s="10">
        <f>E12*'Ofertas'!$C$6</f>
        <v>80.0</v>
      </c>
      <c r="AL12" s="8">
        <f>ROUND(E12*'Ofertas'!$B$6,2)</f>
        <v>36000.0</v>
      </c>
      <c r="AM12" s="8">
        <f>ROUND(AL12*'Premissas'!$B$32+AL11*(1-'Premissas'!$B$32),2)</f>
        <v>36000.0</v>
      </c>
      <c r="AN12" s="8">
        <f>ROUND(AK12*'Ofertas'!$D$6,2)</f>
        <v>14400.0</v>
      </c>
      <c r="AO12" s="8">
        <f>ROUND(AL12*'Premissas'!$B$10,2)</f>
        <v>5400.0</v>
      </c>
      <c r="AP12" s="8">
        <f>ROUND(AL12*'Premissas'!$B$31,2)</f>
        <v>1800.0</v>
      </c>
      <c r="AQ12" s="8">
        <f>ROUND(E12*'Ofertas'!$H$6,2)</f>
        <v>1200.0</v>
      </c>
      <c r="AR12" s="8">
        <f>ROUND(AL12-AN12-AO12-AP12-AQ12,2)</f>
        <v>13200.0</v>
      </c>
      <c r="AS12" s="10">
        <f>F12*'Ofertas'!$C$7</f>
        <v>24.0</v>
      </c>
      <c r="AT12" s="8">
        <f>ROUND(F12*'Ofertas'!$B$7,2)</f>
        <v>10500.0</v>
      </c>
      <c r="AU12" s="8">
        <f>AT12</f>
        <v>10500.0</v>
      </c>
      <c r="AV12" s="8">
        <f>ROUND(AS12*'Ofertas'!$D$7,2)</f>
        <v>2880.0</v>
      </c>
      <c r="AW12" s="8">
        <f>ROUND(AT12*'Premissas'!$B$10,2)</f>
        <v>1575.0</v>
      </c>
      <c r="AX12" s="8">
        <f>ROUND(AT12*'Premissas'!$B$31,2)</f>
        <v>525.0</v>
      </c>
      <c r="AY12" s="8">
        <f>ROUND(F12*'Ofertas'!$H$7,2)</f>
        <v>630.0</v>
      </c>
      <c r="AZ12" s="8">
        <f>ROUND(AT12-AV12-AW12-AX12-AY12,2)</f>
        <v>4890.0</v>
      </c>
      <c r="BA12" s="10">
        <f>G12*'Ofertas'!$C$8</f>
        <v>0.0</v>
      </c>
      <c r="BB12" s="8">
        <f>ROUND(G12*'Ofertas'!$B$8,2)</f>
        <v>0.0</v>
      </c>
      <c r="BC12" s="8">
        <f>BB12</f>
        <v>0.0</v>
      </c>
      <c r="BD12" s="8">
        <f>ROUND(BA12*'Ofertas'!$D$8,2)</f>
        <v>0.0</v>
      </c>
      <c r="BE12" s="8">
        <f>ROUND(BB12*'Premissas'!$B$10,2)</f>
        <v>0.0</v>
      </c>
      <c r="BF12" s="8">
        <f>ROUND(BB12*'Premissas'!$B$31,2)</f>
        <v>0.0</v>
      </c>
      <c r="BG12" s="8">
        <f>ROUND(G12*'Ofertas'!$H$8,2)</f>
        <v>0.0</v>
      </c>
      <c r="BH12" s="8">
        <f>ROUND(BB12-BD12-BE12-BF12-BG12,2)</f>
        <v>0.0</v>
      </c>
      <c r="BI12" s="10">
        <f>U12+AC12+AK12+AS12+BA12</f>
        <v>256.0</v>
      </c>
      <c r="BJ12" s="11">
        <f>BI12/'Premissas'!$B$30</f>
        <v>1.6</v>
      </c>
      <c r="BK12" s="8">
        <f>IF(A12&lt;=12,'Premissas'!$B$24,'Premissas'!$B$25)</f>
        <v>37000</v>
      </c>
      <c r="BL12" s="8">
        <f>ROUND(J12+V12+AD12+AL12+AT12+BB12,2)</f>
        <v>248500.0</v>
      </c>
      <c r="BM12" s="8">
        <f>ROUND(L12+V12+AD12+AL12+AT12+BB12,2)</f>
        <v>236900.0</v>
      </c>
      <c r="BN12" s="8">
        <f>ROUND(T12+AB12+AJ12+AR12+AZ12+BH12,2)</f>
        <v>51271.4</v>
      </c>
      <c r="BO12" s="8">
        <f>ROUND(O12+W12+AE12+AM12+AU12+BC12,2)</f>
        <v>190195.05</v>
      </c>
      <c r="BP12" s="8">
        <f>ROUND(P12+Q12+R12+S12+X12+Y12+Z12+BK12+AF12+AG12+AH12+AI12+AN12+AO12+AP12+AQ12+AV12+AW12+AX12+AY12+BD12+BE12+BF12+BG12,2)</f>
        <v>204822.0</v>
      </c>
      <c r="BQ12" s="8">
        <f>ROUND(BO12-BP12,2)</f>
        <v>-14626.95</v>
      </c>
      <c r="BR12" s="8">
        <f>ROUND(BR11+BQ12,2)</f>
        <v>-357864.55</v>
      </c>
      <c r="BS12" s="8">
        <f>ROUND(BN12-BK12,2)</f>
        <v>14271.4</v>
      </c>
      <c r="BT12" s="8">
        <f>ROUND(BT11+N12-O12+V12-W12+AL12-AM12,2)</f>
        <v>148593.4</v>
      </c>
      <c r="BU12" s="10">
        <f>IF(BR12&gt;=0,A12,999)</f>
        <v>999</v>
      </c>
      <c r="BV12" s="8">
        <f>ROUND(BR12+200000,2)</f>
        <v>-157864.55</v>
      </c>
    </row>
    <row r="13" spans="1:74">
      <c r="A13" s="10">
        <v>9</v>
      </c>
      <c r="B13" s="10">
        <f>'Base'!B13</f>
        <v>1250</v>
      </c>
      <c r="C13" s="10">
        <f>'Base'!C13</f>
        <v>1</v>
      </c>
      <c r="D13" s="10">
        <f>'Base'!D13</f>
        <v>7</v>
      </c>
      <c r="E13" s="10">
        <f>'Base'!E13</f>
        <v>2</v>
      </c>
      <c r="F13" s="10">
        <f>'Base'!F13</f>
        <v>4</v>
      </c>
      <c r="G13" s="10">
        <f>MAX(0,F13-F12)</f>
        <v>1</v>
      </c>
      <c r="H13" s="10">
        <f>ROUNDUP(B13/'Premissas'!$B$14,0)</f>
        <v>62500</v>
      </c>
      <c r="I13" s="8">
        <f>ROUND(B13*'Premissas'!$B$5,2)</f>
        <v>36250.0</v>
      </c>
      <c r="J13" s="8">
        <f>ROUND(I13*'Premissas'!$B$6,2)</f>
        <v>181250.0</v>
      </c>
      <c r="K13" s="8">
        <f>ROUND(J13*'Premissas'!$B$7,2)</f>
        <v>14500.0</v>
      </c>
      <c r="L13" s="8">
        <f>ROUND(J13-K13,2)</f>
        <v>166750.0</v>
      </c>
      <c r="M13" s="8">
        <f>ROUND(L13*'Premissas'!$B$8+B13*(1-'Premissas'!$B$7)*'Premissas'!$B$9*'Premissas'!$B$6,2)</f>
        <v>22258.25</v>
      </c>
      <c r="N13" s="8">
        <f>ROUND(L13-M13,2)</f>
        <v>144491.75</v>
      </c>
      <c r="O13" s="8">
        <f>IF(A13&gt;'Premissas'!$B$20,INDEX($N$5:$N$28,MAX(1,A13-'Premissas'!$B$20)),0)</f>
        <v>115593.4</v>
      </c>
      <c r="P13" s="8">
        <f>ROUND(L13*'Premissas'!$B$10,2)</f>
        <v>25012.5</v>
      </c>
      <c r="Q13" s="8">
        <f>ROUND(L13*'Premissas'!$B$11,2)</f>
        <v>5002.5</v>
      </c>
      <c r="R13" s="8">
        <f>ROUND(B13*'Premissas'!$B$28*'Premissas'!$B$6,2)</f>
        <v>93750.0</v>
      </c>
      <c r="S13" s="8">
        <f>ROUND(B13*'Premissas'!$B$13*'Premissas'!$B$6,2)</f>
        <v>6250.0</v>
      </c>
      <c r="T13" s="8">
        <f>ROUND(L13-M13-P13-Q13-R13-S13,2)</f>
        <v>14476.75</v>
      </c>
      <c r="U13" s="10">
        <f>C13*'Premissas'!$B$16</f>
        <v>80</v>
      </c>
      <c r="V13" s="8">
        <f>ROUND(C13*'Premissas'!$B$15,2)</f>
        <v>30000.0</v>
      </c>
      <c r="W13" s="8">
        <f>ROUND(V13*'Premissas'!$B$19+V12*(1-'Premissas'!$B$19),2)</f>
        <v>30000.0</v>
      </c>
      <c r="X13" s="8">
        <f>ROUND(U13*'Premissas'!$B$17,2)</f>
        <v>14400.0</v>
      </c>
      <c r="Y13" s="8">
        <f>ROUND(V13*'Premissas'!$B$10,2)</f>
        <v>4500.0</v>
      </c>
      <c r="Z13" s="8">
        <f>ROUND(W13*'Premissas'!$B$18,2)</f>
        <v>1500.0</v>
      </c>
      <c r="AA13" s="8">
        <f>ROUND(V13*'Premissas'!$B$18,2)</f>
        <v>1500.0</v>
      </c>
      <c r="AB13" s="8">
        <f>ROUND(V13-X13-Y13-AA13,2)</f>
        <v>9600.0</v>
      </c>
      <c r="AC13" s="10">
        <f>D13*'Ofertas'!$C$5</f>
        <v>84.0</v>
      </c>
      <c r="AD13" s="8">
        <f>ROUND(D13*'Ofertas'!$B$5,2)</f>
        <v>31500.0</v>
      </c>
      <c r="AE13" s="8">
        <f>AD13</f>
        <v>31500.0</v>
      </c>
      <c r="AF13" s="8">
        <f>ROUND(AC13*'Ofertas'!$D$5,2)</f>
        <v>10080.0</v>
      </c>
      <c r="AG13" s="8">
        <f>ROUND(AD13*'Premissas'!$B$10,2)</f>
        <v>4725.0</v>
      </c>
      <c r="AH13" s="8">
        <f>ROUND(AD13*'Premissas'!$B$31,2)</f>
        <v>1575.0</v>
      </c>
      <c r="AI13" s="8">
        <f>ROUND(D13*'Ofertas'!$H$5,2)</f>
        <v>1120.0</v>
      </c>
      <c r="AJ13" s="8">
        <f>ROUND(AD13-AF13-AG13-AH13-AI13,2)</f>
        <v>14000.0</v>
      </c>
      <c r="AK13" s="10">
        <f>E13*'Ofertas'!$C$6</f>
        <v>80.0</v>
      </c>
      <c r="AL13" s="8">
        <f>ROUND(E13*'Ofertas'!$B$6,2)</f>
        <v>36000.0</v>
      </c>
      <c r="AM13" s="8">
        <f>ROUND(AL13*'Premissas'!$B$32+AL12*(1-'Premissas'!$B$32),2)</f>
        <v>36000.0</v>
      </c>
      <c r="AN13" s="8">
        <f>ROUND(AK13*'Ofertas'!$D$6,2)</f>
        <v>14400.0</v>
      </c>
      <c r="AO13" s="8">
        <f>ROUND(AL13*'Premissas'!$B$10,2)</f>
        <v>5400.0</v>
      </c>
      <c r="AP13" s="8">
        <f>ROUND(AL13*'Premissas'!$B$31,2)</f>
        <v>1800.0</v>
      </c>
      <c r="AQ13" s="8">
        <f>ROUND(E13*'Ofertas'!$H$6,2)</f>
        <v>1200.0</v>
      </c>
      <c r="AR13" s="8">
        <f>ROUND(AL13-AN13-AO13-AP13-AQ13,2)</f>
        <v>13200.0</v>
      </c>
      <c r="AS13" s="10">
        <f>F13*'Ofertas'!$C$7</f>
        <v>32.0</v>
      </c>
      <c r="AT13" s="8">
        <f>ROUND(F13*'Ofertas'!$B$7,2)</f>
        <v>14000.0</v>
      </c>
      <c r="AU13" s="8">
        <f>AT13</f>
        <v>14000.0</v>
      </c>
      <c r="AV13" s="8">
        <f>ROUND(AS13*'Ofertas'!$D$7,2)</f>
        <v>3840.0</v>
      </c>
      <c r="AW13" s="8">
        <f>ROUND(AT13*'Premissas'!$B$10,2)</f>
        <v>2100.0</v>
      </c>
      <c r="AX13" s="8">
        <f>ROUND(AT13*'Premissas'!$B$31,2)</f>
        <v>700.0</v>
      </c>
      <c r="AY13" s="8">
        <f>ROUND(F13*'Ofertas'!$H$7,2)</f>
        <v>840.0</v>
      </c>
      <c r="AZ13" s="8">
        <f>ROUND(AT13-AV13-AW13-AX13-AY13,2)</f>
        <v>6520.0</v>
      </c>
      <c r="BA13" s="10">
        <f>G13*'Ofertas'!$C$8</f>
        <v>20.0</v>
      </c>
      <c r="BB13" s="8">
        <f>ROUND(G13*'Ofertas'!$B$8,2)</f>
        <v>6000.0</v>
      </c>
      <c r="BC13" s="8">
        <f>BB13</f>
        <v>6000.0</v>
      </c>
      <c r="BD13" s="8">
        <f>ROUND(BA13*'Ofertas'!$D$8,2)</f>
        <v>3600.0</v>
      </c>
      <c r="BE13" s="8">
        <f>ROUND(BB13*'Premissas'!$B$10,2)</f>
        <v>900.0</v>
      </c>
      <c r="BF13" s="8">
        <f>ROUND(BB13*'Premissas'!$B$31,2)</f>
        <v>300.0</v>
      </c>
      <c r="BG13" s="8">
        <f>ROUND(G13*'Ofertas'!$H$8,2)</f>
        <v>200.0</v>
      </c>
      <c r="BH13" s="8">
        <f>ROUND(BB13-BD13-BE13-BF13-BG13,2)</f>
        <v>1000.0</v>
      </c>
      <c r="BI13" s="10">
        <f>U13+AC13+AK13+AS13+BA13</f>
        <v>296.0</v>
      </c>
      <c r="BJ13" s="11">
        <f>BI13/'Premissas'!$B$30</f>
        <v>1.85</v>
      </c>
      <c r="BK13" s="8">
        <f>IF(A13&lt;=12,'Premissas'!$B$24,'Premissas'!$B$25)</f>
        <v>37000</v>
      </c>
      <c r="BL13" s="8">
        <f>ROUND(J13+V13+AD13+AL13+AT13+BB13,2)</f>
        <v>298750.0</v>
      </c>
      <c r="BM13" s="8">
        <f>ROUND(L13+V13+AD13+AL13+AT13+BB13,2)</f>
        <v>284250.0</v>
      </c>
      <c r="BN13" s="8">
        <f>ROUND(T13+AB13+AJ13+AR13+AZ13+BH13,2)</f>
        <v>58796.75</v>
      </c>
      <c r="BO13" s="8">
        <f>ROUND(O13+W13+AE13+AM13+AU13+BC13,2)</f>
        <v>233093.4</v>
      </c>
      <c r="BP13" s="8">
        <f>ROUND(P13+Q13+R13+S13+X13+Y13+Z13+BK13+AF13+AG13+AH13+AI13+AN13+AO13+AP13+AQ13+AV13+AW13+AX13+AY13+BD13+BE13+BF13+BG13,2)</f>
        <v>240195.0</v>
      </c>
      <c r="BQ13" s="8">
        <f>ROUND(BO13-BP13,2)</f>
        <v>-7101.6</v>
      </c>
      <c r="BR13" s="8">
        <f>ROUND(BR12+BQ13,2)</f>
        <v>-364966.15</v>
      </c>
      <c r="BS13" s="8">
        <f>ROUND(BN13-BK13,2)</f>
        <v>21796.75</v>
      </c>
      <c r="BT13" s="8">
        <f>ROUND(BT12+N13-O13+V13-W13+AL13-AM13,2)</f>
        <v>177491.75</v>
      </c>
      <c r="BU13" s="10">
        <f>IF(BR13&gt;=0,A13,999)</f>
        <v>999</v>
      </c>
      <c r="BV13" s="8">
        <f>ROUND(BR13+200000,2)</f>
        <v>-164966.15</v>
      </c>
    </row>
    <row r="14" spans="1:74">
      <c r="A14" s="10">
        <v>10</v>
      </c>
      <c r="B14" s="10">
        <f>'Base'!B14</f>
        <v>1500</v>
      </c>
      <c r="C14" s="10">
        <f>'Base'!C14</f>
        <v>1</v>
      </c>
      <c r="D14" s="10">
        <f>'Base'!D14</f>
        <v>8</v>
      </c>
      <c r="E14" s="10">
        <f>'Base'!E14</f>
        <v>2</v>
      </c>
      <c r="F14" s="10">
        <f>'Base'!F14</f>
        <v>4</v>
      </c>
      <c r="G14" s="10">
        <f>MAX(0,F14-F13)</f>
        <v>0</v>
      </c>
      <c r="H14" s="10">
        <f>ROUNDUP(B14/'Premissas'!$B$14,0)</f>
        <v>75000</v>
      </c>
      <c r="I14" s="8">
        <f>ROUND(B14*'Premissas'!$B$5,2)</f>
        <v>43500.0</v>
      </c>
      <c r="J14" s="8">
        <f>ROUND(I14*'Premissas'!$B$6,2)</f>
        <v>217500.0</v>
      </c>
      <c r="K14" s="8">
        <f>ROUND(J14*'Premissas'!$B$7,2)</f>
        <v>17400.0</v>
      </c>
      <c r="L14" s="8">
        <f>ROUND(J14-K14,2)</f>
        <v>200100.0</v>
      </c>
      <c r="M14" s="8">
        <f>ROUND(L14*'Premissas'!$B$8+B14*(1-'Premissas'!$B$7)*'Premissas'!$B$9*'Premissas'!$B$6,2)</f>
        <v>26709.9</v>
      </c>
      <c r="N14" s="8">
        <f>ROUND(L14-M14,2)</f>
        <v>173390.1</v>
      </c>
      <c r="O14" s="8">
        <f>IF(A14&gt;'Premissas'!$B$20,INDEX($N$5:$N$28,MAX(1,A14-'Premissas'!$B$20)),0)</f>
        <v>144491.75</v>
      </c>
      <c r="P14" s="8">
        <f>ROUND(L14*'Premissas'!$B$10,2)</f>
        <v>30015.0</v>
      </c>
      <c r="Q14" s="8">
        <f>ROUND(L14*'Premissas'!$B$11,2)</f>
        <v>6003.0</v>
      </c>
      <c r="R14" s="8">
        <f>ROUND(B14*'Premissas'!$B$28*'Premissas'!$B$6,2)</f>
        <v>112500.0</v>
      </c>
      <c r="S14" s="8">
        <f>ROUND(B14*'Premissas'!$B$13*'Premissas'!$B$6,2)</f>
        <v>7500.0</v>
      </c>
      <c r="T14" s="8">
        <f>ROUND(L14-M14-P14-Q14-R14-S14,2)</f>
        <v>17372.1</v>
      </c>
      <c r="U14" s="10">
        <f>C14*'Premissas'!$B$16</f>
        <v>80</v>
      </c>
      <c r="V14" s="8">
        <f>ROUND(C14*'Premissas'!$B$15,2)</f>
        <v>30000.0</v>
      </c>
      <c r="W14" s="8">
        <f>ROUND(V14*'Premissas'!$B$19+V13*(1-'Premissas'!$B$19),2)</f>
        <v>30000.0</v>
      </c>
      <c r="X14" s="8">
        <f>ROUND(U14*'Premissas'!$B$17,2)</f>
        <v>14400.0</v>
      </c>
      <c r="Y14" s="8">
        <f>ROUND(V14*'Premissas'!$B$10,2)</f>
        <v>4500.0</v>
      </c>
      <c r="Z14" s="8">
        <f>ROUND(W14*'Premissas'!$B$18,2)</f>
        <v>1500.0</v>
      </c>
      <c r="AA14" s="8">
        <f>ROUND(V14*'Premissas'!$B$18,2)</f>
        <v>1500.0</v>
      </c>
      <c r="AB14" s="8">
        <f>ROUND(V14-X14-Y14-AA14,2)</f>
        <v>9600.0</v>
      </c>
      <c r="AC14" s="10">
        <f>D14*'Ofertas'!$C$5</f>
        <v>96.0</v>
      </c>
      <c r="AD14" s="8">
        <f>ROUND(D14*'Ofertas'!$B$5,2)</f>
        <v>36000.0</v>
      </c>
      <c r="AE14" s="8">
        <f>AD14</f>
        <v>36000.0</v>
      </c>
      <c r="AF14" s="8">
        <f>ROUND(AC14*'Ofertas'!$D$5,2)</f>
        <v>11520.0</v>
      </c>
      <c r="AG14" s="8">
        <f>ROUND(AD14*'Premissas'!$B$10,2)</f>
        <v>5400.0</v>
      </c>
      <c r="AH14" s="8">
        <f>ROUND(AD14*'Premissas'!$B$31,2)</f>
        <v>1800.0</v>
      </c>
      <c r="AI14" s="8">
        <f>ROUND(D14*'Ofertas'!$H$5,2)</f>
        <v>1280.0</v>
      </c>
      <c r="AJ14" s="8">
        <f>ROUND(AD14-AF14-AG14-AH14-AI14,2)</f>
        <v>16000.0</v>
      </c>
      <c r="AK14" s="10">
        <f>E14*'Ofertas'!$C$6</f>
        <v>80.0</v>
      </c>
      <c r="AL14" s="8">
        <f>ROUND(E14*'Ofertas'!$B$6,2)</f>
        <v>36000.0</v>
      </c>
      <c r="AM14" s="8">
        <f>ROUND(AL14*'Premissas'!$B$32+AL13*(1-'Premissas'!$B$32),2)</f>
        <v>36000.0</v>
      </c>
      <c r="AN14" s="8">
        <f>ROUND(AK14*'Ofertas'!$D$6,2)</f>
        <v>14400.0</v>
      </c>
      <c r="AO14" s="8">
        <f>ROUND(AL14*'Premissas'!$B$10,2)</f>
        <v>5400.0</v>
      </c>
      <c r="AP14" s="8">
        <f>ROUND(AL14*'Premissas'!$B$31,2)</f>
        <v>1800.0</v>
      </c>
      <c r="AQ14" s="8">
        <f>ROUND(E14*'Ofertas'!$H$6,2)</f>
        <v>1200.0</v>
      </c>
      <c r="AR14" s="8">
        <f>ROUND(AL14-AN14-AO14-AP14-AQ14,2)</f>
        <v>13200.0</v>
      </c>
      <c r="AS14" s="10">
        <f>F14*'Ofertas'!$C$7</f>
        <v>32.0</v>
      </c>
      <c r="AT14" s="8">
        <f>ROUND(F14*'Ofertas'!$B$7,2)</f>
        <v>14000.0</v>
      </c>
      <c r="AU14" s="8">
        <f>AT14</f>
        <v>14000.0</v>
      </c>
      <c r="AV14" s="8">
        <f>ROUND(AS14*'Ofertas'!$D$7,2)</f>
        <v>3840.0</v>
      </c>
      <c r="AW14" s="8">
        <f>ROUND(AT14*'Premissas'!$B$10,2)</f>
        <v>2100.0</v>
      </c>
      <c r="AX14" s="8">
        <f>ROUND(AT14*'Premissas'!$B$31,2)</f>
        <v>700.0</v>
      </c>
      <c r="AY14" s="8">
        <f>ROUND(F14*'Ofertas'!$H$7,2)</f>
        <v>840.0</v>
      </c>
      <c r="AZ14" s="8">
        <f>ROUND(AT14-AV14-AW14-AX14-AY14,2)</f>
        <v>6520.0</v>
      </c>
      <c r="BA14" s="10">
        <f>G14*'Ofertas'!$C$8</f>
        <v>0.0</v>
      </c>
      <c r="BB14" s="8">
        <f>ROUND(G14*'Ofertas'!$B$8,2)</f>
        <v>0.0</v>
      </c>
      <c r="BC14" s="8">
        <f>BB14</f>
        <v>0.0</v>
      </c>
      <c r="BD14" s="8">
        <f>ROUND(BA14*'Ofertas'!$D$8,2)</f>
        <v>0.0</v>
      </c>
      <c r="BE14" s="8">
        <f>ROUND(BB14*'Premissas'!$B$10,2)</f>
        <v>0.0</v>
      </c>
      <c r="BF14" s="8">
        <f>ROUND(BB14*'Premissas'!$B$31,2)</f>
        <v>0.0</v>
      </c>
      <c r="BG14" s="8">
        <f>ROUND(G14*'Ofertas'!$H$8,2)</f>
        <v>0.0</v>
      </c>
      <c r="BH14" s="8">
        <f>ROUND(BB14-BD14-BE14-BF14-BG14,2)</f>
        <v>0.0</v>
      </c>
      <c r="BI14" s="10">
        <f>U14+AC14+AK14+AS14+BA14</f>
        <v>288.0</v>
      </c>
      <c r="BJ14" s="11">
        <f>BI14/'Premissas'!$B$30</f>
        <v>1.8</v>
      </c>
      <c r="BK14" s="8">
        <f>IF(A14&lt;=12,'Premissas'!$B$24,'Premissas'!$B$25)</f>
        <v>37000</v>
      </c>
      <c r="BL14" s="8">
        <f>ROUND(J14+V14+AD14+AL14+AT14+BB14,2)</f>
        <v>333500.0</v>
      </c>
      <c r="BM14" s="8">
        <f>ROUND(L14+V14+AD14+AL14+AT14+BB14,2)</f>
        <v>316100.0</v>
      </c>
      <c r="BN14" s="8">
        <f>ROUND(T14+AB14+AJ14+AR14+AZ14+BH14,2)</f>
        <v>62692.1</v>
      </c>
      <c r="BO14" s="8">
        <f>ROUND(O14+W14+AE14+AM14+AU14+BC14,2)</f>
        <v>260491.75</v>
      </c>
      <c r="BP14" s="8">
        <f>ROUND(P14+Q14+R14+S14+X14+Y14+Z14+BK14+AF14+AG14+AH14+AI14+AN14+AO14+AP14+AQ14+AV14+AW14+AX14+AY14+BD14+BE14+BF14+BG14,2)</f>
        <v>263698.0</v>
      </c>
      <c r="BQ14" s="8">
        <f>ROUND(BO14-BP14,2)</f>
        <v>-3206.25</v>
      </c>
      <c r="BR14" s="8">
        <f>ROUND(BR13+BQ14,2)</f>
        <v>-368172.4</v>
      </c>
      <c r="BS14" s="8">
        <f>ROUND(BN14-BK14,2)</f>
        <v>25692.1</v>
      </c>
      <c r="BT14" s="8">
        <f>ROUND(BT13+N14-O14+V14-W14+AL14-AM14,2)</f>
        <v>206390.1</v>
      </c>
      <c r="BU14" s="10">
        <f>IF(BR14&gt;=0,A14,999)</f>
        <v>999</v>
      </c>
      <c r="BV14" s="8">
        <f>ROUND(BR14+200000,2)</f>
        <v>-168172.4</v>
      </c>
    </row>
    <row r="15" spans="1:74">
      <c r="A15" s="10">
        <v>11</v>
      </c>
      <c r="B15" s="10">
        <f>'Base'!B15</f>
        <v>1750</v>
      </c>
      <c r="C15" s="10">
        <f>'Base'!C15</f>
        <v>1</v>
      </c>
      <c r="D15" s="10">
        <f>'Base'!D15</f>
        <v>8</v>
      </c>
      <c r="E15" s="10">
        <f>'Base'!E15</f>
        <v>2</v>
      </c>
      <c r="F15" s="10">
        <f>'Base'!F15</f>
        <v>4</v>
      </c>
      <c r="G15" s="10">
        <f>MAX(0,F15-F14)</f>
        <v>0</v>
      </c>
      <c r="H15" s="10">
        <f>ROUNDUP(B15/'Premissas'!$B$14,0)</f>
        <v>87500</v>
      </c>
      <c r="I15" s="8">
        <f>ROUND(B15*'Premissas'!$B$5,2)</f>
        <v>50750.0</v>
      </c>
      <c r="J15" s="8">
        <f>ROUND(I15*'Premissas'!$B$6,2)</f>
        <v>253750.0</v>
      </c>
      <c r="K15" s="8">
        <f>ROUND(J15*'Premissas'!$B$7,2)</f>
        <v>20300.0</v>
      </c>
      <c r="L15" s="8">
        <f>ROUND(J15-K15,2)</f>
        <v>233450.0</v>
      </c>
      <c r="M15" s="8">
        <f>ROUND(L15*'Premissas'!$B$8+B15*(1-'Premissas'!$B$7)*'Premissas'!$B$9*'Premissas'!$B$6,2)</f>
        <v>31161.55</v>
      </c>
      <c r="N15" s="8">
        <f>ROUND(L15-M15,2)</f>
        <v>202288.45</v>
      </c>
      <c r="O15" s="8">
        <f>IF(A15&gt;'Premissas'!$B$20,INDEX($N$5:$N$28,MAX(1,A15-'Premissas'!$B$20)),0)</f>
        <v>173390.1</v>
      </c>
      <c r="P15" s="8">
        <f>ROUND(L15*'Premissas'!$B$10,2)</f>
        <v>35017.5</v>
      </c>
      <c r="Q15" s="8">
        <f>ROUND(L15*'Premissas'!$B$11,2)</f>
        <v>7003.5</v>
      </c>
      <c r="R15" s="8">
        <f>ROUND(B15*'Premissas'!$B$28*'Premissas'!$B$6,2)</f>
        <v>131250.0</v>
      </c>
      <c r="S15" s="8">
        <f>ROUND(B15*'Premissas'!$B$13*'Premissas'!$B$6,2)</f>
        <v>8750.0</v>
      </c>
      <c r="T15" s="8">
        <f>ROUND(L15-M15-P15-Q15-R15-S15,2)</f>
        <v>20267.45</v>
      </c>
      <c r="U15" s="10">
        <f>C15*'Premissas'!$B$16</f>
        <v>80</v>
      </c>
      <c r="V15" s="8">
        <f>ROUND(C15*'Premissas'!$B$15,2)</f>
        <v>30000.0</v>
      </c>
      <c r="W15" s="8">
        <f>ROUND(V15*'Premissas'!$B$19+V14*(1-'Premissas'!$B$19),2)</f>
        <v>30000.0</v>
      </c>
      <c r="X15" s="8">
        <f>ROUND(U15*'Premissas'!$B$17,2)</f>
        <v>14400.0</v>
      </c>
      <c r="Y15" s="8">
        <f>ROUND(V15*'Premissas'!$B$10,2)</f>
        <v>4500.0</v>
      </c>
      <c r="Z15" s="8">
        <f>ROUND(W15*'Premissas'!$B$18,2)</f>
        <v>1500.0</v>
      </c>
      <c r="AA15" s="8">
        <f>ROUND(V15*'Premissas'!$B$18,2)</f>
        <v>1500.0</v>
      </c>
      <c r="AB15" s="8">
        <f>ROUND(V15-X15-Y15-AA15,2)</f>
        <v>9600.0</v>
      </c>
      <c r="AC15" s="10">
        <f>D15*'Ofertas'!$C$5</f>
        <v>96.0</v>
      </c>
      <c r="AD15" s="8">
        <f>ROUND(D15*'Ofertas'!$B$5,2)</f>
        <v>36000.0</v>
      </c>
      <c r="AE15" s="8">
        <f>AD15</f>
        <v>36000.0</v>
      </c>
      <c r="AF15" s="8">
        <f>ROUND(AC15*'Ofertas'!$D$5,2)</f>
        <v>11520.0</v>
      </c>
      <c r="AG15" s="8">
        <f>ROUND(AD15*'Premissas'!$B$10,2)</f>
        <v>5400.0</v>
      </c>
      <c r="AH15" s="8">
        <f>ROUND(AD15*'Premissas'!$B$31,2)</f>
        <v>1800.0</v>
      </c>
      <c r="AI15" s="8">
        <f>ROUND(D15*'Ofertas'!$H$5,2)</f>
        <v>1280.0</v>
      </c>
      <c r="AJ15" s="8">
        <f>ROUND(AD15-AF15-AG15-AH15-AI15,2)</f>
        <v>16000.0</v>
      </c>
      <c r="AK15" s="10">
        <f>E15*'Ofertas'!$C$6</f>
        <v>80.0</v>
      </c>
      <c r="AL15" s="8">
        <f>ROUND(E15*'Ofertas'!$B$6,2)</f>
        <v>36000.0</v>
      </c>
      <c r="AM15" s="8">
        <f>ROUND(AL15*'Premissas'!$B$32+AL14*(1-'Premissas'!$B$32),2)</f>
        <v>36000.0</v>
      </c>
      <c r="AN15" s="8">
        <f>ROUND(AK15*'Ofertas'!$D$6,2)</f>
        <v>14400.0</v>
      </c>
      <c r="AO15" s="8">
        <f>ROUND(AL15*'Premissas'!$B$10,2)</f>
        <v>5400.0</v>
      </c>
      <c r="AP15" s="8">
        <f>ROUND(AL15*'Premissas'!$B$31,2)</f>
        <v>1800.0</v>
      </c>
      <c r="AQ15" s="8">
        <f>ROUND(E15*'Ofertas'!$H$6,2)</f>
        <v>1200.0</v>
      </c>
      <c r="AR15" s="8">
        <f>ROUND(AL15-AN15-AO15-AP15-AQ15,2)</f>
        <v>13200.0</v>
      </c>
      <c r="AS15" s="10">
        <f>F15*'Ofertas'!$C$7</f>
        <v>32.0</v>
      </c>
      <c r="AT15" s="8">
        <f>ROUND(F15*'Ofertas'!$B$7,2)</f>
        <v>14000.0</v>
      </c>
      <c r="AU15" s="8">
        <f>AT15</f>
        <v>14000.0</v>
      </c>
      <c r="AV15" s="8">
        <f>ROUND(AS15*'Ofertas'!$D$7,2)</f>
        <v>3840.0</v>
      </c>
      <c r="AW15" s="8">
        <f>ROUND(AT15*'Premissas'!$B$10,2)</f>
        <v>2100.0</v>
      </c>
      <c r="AX15" s="8">
        <f>ROUND(AT15*'Premissas'!$B$31,2)</f>
        <v>700.0</v>
      </c>
      <c r="AY15" s="8">
        <f>ROUND(F15*'Ofertas'!$H$7,2)</f>
        <v>840.0</v>
      </c>
      <c r="AZ15" s="8">
        <f>ROUND(AT15-AV15-AW15-AX15-AY15,2)</f>
        <v>6520.0</v>
      </c>
      <c r="BA15" s="10">
        <f>G15*'Ofertas'!$C$8</f>
        <v>0.0</v>
      </c>
      <c r="BB15" s="8">
        <f>ROUND(G15*'Ofertas'!$B$8,2)</f>
        <v>0.0</v>
      </c>
      <c r="BC15" s="8">
        <f>BB15</f>
        <v>0.0</v>
      </c>
      <c r="BD15" s="8">
        <f>ROUND(BA15*'Ofertas'!$D$8,2)</f>
        <v>0.0</v>
      </c>
      <c r="BE15" s="8">
        <f>ROUND(BB15*'Premissas'!$B$10,2)</f>
        <v>0.0</v>
      </c>
      <c r="BF15" s="8">
        <f>ROUND(BB15*'Premissas'!$B$31,2)</f>
        <v>0.0</v>
      </c>
      <c r="BG15" s="8">
        <f>ROUND(G15*'Ofertas'!$H$8,2)</f>
        <v>0.0</v>
      </c>
      <c r="BH15" s="8">
        <f>ROUND(BB15-BD15-BE15-BF15-BG15,2)</f>
        <v>0.0</v>
      </c>
      <c r="BI15" s="10">
        <f>U15+AC15+AK15+AS15+BA15</f>
        <v>288.0</v>
      </c>
      <c r="BJ15" s="11">
        <f>BI15/'Premissas'!$B$30</f>
        <v>1.8</v>
      </c>
      <c r="BK15" s="8">
        <f>IF(A15&lt;=12,'Premissas'!$B$24,'Premissas'!$B$25)</f>
        <v>37000</v>
      </c>
      <c r="BL15" s="8">
        <f>ROUND(J15+V15+AD15+AL15+AT15+BB15,2)</f>
        <v>369750.0</v>
      </c>
      <c r="BM15" s="8">
        <f>ROUND(L15+V15+AD15+AL15+AT15+BB15,2)</f>
        <v>349450.0</v>
      </c>
      <c r="BN15" s="8">
        <f>ROUND(T15+AB15+AJ15+AR15+AZ15+BH15,2)</f>
        <v>65587.45</v>
      </c>
      <c r="BO15" s="8">
        <f>ROUND(O15+W15+AE15+AM15+AU15+BC15,2)</f>
        <v>289390.1</v>
      </c>
      <c r="BP15" s="8">
        <f>ROUND(P15+Q15+R15+S15+X15+Y15+Z15+BK15+AF15+AG15+AH15+AI15+AN15+AO15+AP15+AQ15+AV15+AW15+AX15+AY15+BD15+BE15+BF15+BG15,2)</f>
        <v>289701.0</v>
      </c>
      <c r="BQ15" s="8">
        <f>ROUND(BO15-BP15,2)</f>
        <v>-310.9</v>
      </c>
      <c r="BR15" s="8">
        <f>ROUND(BR14+BQ15,2)</f>
        <v>-368483.3</v>
      </c>
      <c r="BS15" s="8">
        <f>ROUND(BN15-BK15,2)</f>
        <v>28587.45</v>
      </c>
      <c r="BT15" s="8">
        <f>ROUND(BT14+N15-O15+V15-W15+AL15-AM15,2)</f>
        <v>235288.45</v>
      </c>
      <c r="BU15" s="10">
        <f>IF(BR15&gt;=0,A15,999)</f>
        <v>999</v>
      </c>
      <c r="BV15" s="8">
        <f>ROUND(BR15+200000,2)</f>
        <v>-168483.3</v>
      </c>
    </row>
    <row r="16" spans="1:74">
      <c r="A16" s="10">
        <v>12</v>
      </c>
      <c r="B16" s="10">
        <f>'Base'!B16</f>
        <v>2000</v>
      </c>
      <c r="C16" s="10">
        <f>'Base'!C16</f>
        <v>1</v>
      </c>
      <c r="D16" s="10">
        <f>'Base'!D16</f>
        <v>8</v>
      </c>
      <c r="E16" s="10">
        <f>'Base'!E16</f>
        <v>2</v>
      </c>
      <c r="F16" s="10">
        <f>'Base'!F16</f>
        <v>4</v>
      </c>
      <c r="G16" s="10">
        <f>MAX(0,F16-F15)</f>
        <v>0</v>
      </c>
      <c r="H16" s="10">
        <f>ROUNDUP(B16/'Premissas'!$B$14,0)</f>
        <v>100000</v>
      </c>
      <c r="I16" s="8">
        <f>ROUND(B16*'Premissas'!$B$5,2)</f>
        <v>58000.0</v>
      </c>
      <c r="J16" s="8">
        <f>ROUND(I16*'Premissas'!$B$6,2)</f>
        <v>290000.0</v>
      </c>
      <c r="K16" s="8">
        <f>ROUND(J16*'Premissas'!$B$7,2)</f>
        <v>23200.0</v>
      </c>
      <c r="L16" s="8">
        <f>ROUND(J16-K16,2)</f>
        <v>266800.0</v>
      </c>
      <c r="M16" s="8">
        <f>ROUND(L16*'Premissas'!$B$8+B16*(1-'Premissas'!$B$7)*'Premissas'!$B$9*'Premissas'!$B$6,2)</f>
        <v>35613.2</v>
      </c>
      <c r="N16" s="8">
        <f>ROUND(L16-M16,2)</f>
        <v>231186.8</v>
      </c>
      <c r="O16" s="8">
        <f>IF(A16&gt;'Premissas'!$B$20,INDEX($N$5:$N$28,MAX(1,A16-'Premissas'!$B$20)),0)</f>
        <v>202288.45</v>
      </c>
      <c r="P16" s="8">
        <f>ROUND(L16*'Premissas'!$B$10,2)</f>
        <v>40020.0</v>
      </c>
      <c r="Q16" s="8">
        <f>ROUND(L16*'Premissas'!$B$11,2)</f>
        <v>8004.0</v>
      </c>
      <c r="R16" s="8">
        <f>ROUND(B16*'Premissas'!$B$28*'Premissas'!$B$6,2)</f>
        <v>150000.0</v>
      </c>
      <c r="S16" s="8">
        <f>ROUND(B16*'Premissas'!$B$13*'Premissas'!$B$6,2)</f>
        <v>10000.0</v>
      </c>
      <c r="T16" s="8">
        <f>ROUND(L16-M16-P16-Q16-R16-S16,2)</f>
        <v>23162.8</v>
      </c>
      <c r="U16" s="10">
        <f>C16*'Premissas'!$B$16</f>
        <v>80</v>
      </c>
      <c r="V16" s="8">
        <f>ROUND(C16*'Premissas'!$B$15,2)</f>
        <v>30000.0</v>
      </c>
      <c r="W16" s="8">
        <f>ROUND(V16*'Premissas'!$B$19+V15*(1-'Premissas'!$B$19),2)</f>
        <v>30000.0</v>
      </c>
      <c r="X16" s="8">
        <f>ROUND(U16*'Premissas'!$B$17,2)</f>
        <v>14400.0</v>
      </c>
      <c r="Y16" s="8">
        <f>ROUND(V16*'Premissas'!$B$10,2)</f>
        <v>4500.0</v>
      </c>
      <c r="Z16" s="8">
        <f>ROUND(W16*'Premissas'!$B$18,2)</f>
        <v>1500.0</v>
      </c>
      <c r="AA16" s="8">
        <f>ROUND(V16*'Premissas'!$B$18,2)</f>
        <v>1500.0</v>
      </c>
      <c r="AB16" s="8">
        <f>ROUND(V16-X16-Y16-AA16,2)</f>
        <v>9600.0</v>
      </c>
      <c r="AC16" s="10">
        <f>D16*'Ofertas'!$C$5</f>
        <v>96.0</v>
      </c>
      <c r="AD16" s="8">
        <f>ROUND(D16*'Ofertas'!$B$5,2)</f>
        <v>36000.0</v>
      </c>
      <c r="AE16" s="8">
        <f>AD16</f>
        <v>36000.0</v>
      </c>
      <c r="AF16" s="8">
        <f>ROUND(AC16*'Ofertas'!$D$5,2)</f>
        <v>11520.0</v>
      </c>
      <c r="AG16" s="8">
        <f>ROUND(AD16*'Premissas'!$B$10,2)</f>
        <v>5400.0</v>
      </c>
      <c r="AH16" s="8">
        <f>ROUND(AD16*'Premissas'!$B$31,2)</f>
        <v>1800.0</v>
      </c>
      <c r="AI16" s="8">
        <f>ROUND(D16*'Ofertas'!$H$5,2)</f>
        <v>1280.0</v>
      </c>
      <c r="AJ16" s="8">
        <f>ROUND(AD16-AF16-AG16-AH16-AI16,2)</f>
        <v>16000.0</v>
      </c>
      <c r="AK16" s="10">
        <f>E16*'Ofertas'!$C$6</f>
        <v>80.0</v>
      </c>
      <c r="AL16" s="8">
        <f>ROUND(E16*'Ofertas'!$B$6,2)</f>
        <v>36000.0</v>
      </c>
      <c r="AM16" s="8">
        <f>ROUND(AL16*'Premissas'!$B$32+AL15*(1-'Premissas'!$B$32),2)</f>
        <v>36000.0</v>
      </c>
      <c r="AN16" s="8">
        <f>ROUND(AK16*'Ofertas'!$D$6,2)</f>
        <v>14400.0</v>
      </c>
      <c r="AO16" s="8">
        <f>ROUND(AL16*'Premissas'!$B$10,2)</f>
        <v>5400.0</v>
      </c>
      <c r="AP16" s="8">
        <f>ROUND(AL16*'Premissas'!$B$31,2)</f>
        <v>1800.0</v>
      </c>
      <c r="AQ16" s="8">
        <f>ROUND(E16*'Ofertas'!$H$6,2)</f>
        <v>1200.0</v>
      </c>
      <c r="AR16" s="8">
        <f>ROUND(AL16-AN16-AO16-AP16-AQ16,2)</f>
        <v>13200.0</v>
      </c>
      <c r="AS16" s="10">
        <f>F16*'Ofertas'!$C$7</f>
        <v>32.0</v>
      </c>
      <c r="AT16" s="8">
        <f>ROUND(F16*'Ofertas'!$B$7,2)</f>
        <v>14000.0</v>
      </c>
      <c r="AU16" s="8">
        <f>AT16</f>
        <v>14000.0</v>
      </c>
      <c r="AV16" s="8">
        <f>ROUND(AS16*'Ofertas'!$D$7,2)</f>
        <v>3840.0</v>
      </c>
      <c r="AW16" s="8">
        <f>ROUND(AT16*'Premissas'!$B$10,2)</f>
        <v>2100.0</v>
      </c>
      <c r="AX16" s="8">
        <f>ROUND(AT16*'Premissas'!$B$31,2)</f>
        <v>700.0</v>
      </c>
      <c r="AY16" s="8">
        <f>ROUND(F16*'Ofertas'!$H$7,2)</f>
        <v>840.0</v>
      </c>
      <c r="AZ16" s="8">
        <f>ROUND(AT16-AV16-AW16-AX16-AY16,2)</f>
        <v>6520.0</v>
      </c>
      <c r="BA16" s="10">
        <f>G16*'Ofertas'!$C$8</f>
        <v>0.0</v>
      </c>
      <c r="BB16" s="8">
        <f>ROUND(G16*'Ofertas'!$B$8,2)</f>
        <v>0.0</v>
      </c>
      <c r="BC16" s="8">
        <f>BB16</f>
        <v>0.0</v>
      </c>
      <c r="BD16" s="8">
        <f>ROUND(BA16*'Ofertas'!$D$8,2)</f>
        <v>0.0</v>
      </c>
      <c r="BE16" s="8">
        <f>ROUND(BB16*'Premissas'!$B$10,2)</f>
        <v>0.0</v>
      </c>
      <c r="BF16" s="8">
        <f>ROUND(BB16*'Premissas'!$B$31,2)</f>
        <v>0.0</v>
      </c>
      <c r="BG16" s="8">
        <f>ROUND(G16*'Ofertas'!$H$8,2)</f>
        <v>0.0</v>
      </c>
      <c r="BH16" s="8">
        <f>ROUND(BB16-BD16-BE16-BF16-BG16,2)</f>
        <v>0.0</v>
      </c>
      <c r="BI16" s="10">
        <f>U16+AC16+AK16+AS16+BA16</f>
        <v>288.0</v>
      </c>
      <c r="BJ16" s="11">
        <f>BI16/'Premissas'!$B$30</f>
        <v>1.8</v>
      </c>
      <c r="BK16" s="8">
        <f>IF(A16&lt;=12,'Premissas'!$B$24,'Premissas'!$B$25)</f>
        <v>37000</v>
      </c>
      <c r="BL16" s="8">
        <f>ROUND(J16+V16+AD16+AL16+AT16+BB16,2)</f>
        <v>406000.0</v>
      </c>
      <c r="BM16" s="8">
        <f>ROUND(L16+V16+AD16+AL16+AT16+BB16,2)</f>
        <v>382800.0</v>
      </c>
      <c r="BN16" s="8">
        <f>ROUND(T16+AB16+AJ16+AR16+AZ16+BH16,2)</f>
        <v>68482.8</v>
      </c>
      <c r="BO16" s="8">
        <f>ROUND(O16+W16+AE16+AM16+AU16+BC16,2)</f>
        <v>318288.45</v>
      </c>
      <c r="BP16" s="8">
        <f>ROUND(P16+Q16+R16+S16+X16+Y16+Z16+BK16+AF16+AG16+AH16+AI16+AN16+AO16+AP16+AQ16+AV16+AW16+AX16+AY16+BD16+BE16+BF16+BG16,2)</f>
        <v>315704.0</v>
      </c>
      <c r="BQ16" s="8">
        <f>ROUND(BO16-BP16,2)</f>
        <v>2584.45</v>
      </c>
      <c r="BR16" s="8">
        <f>ROUND(BR15+BQ16,2)</f>
        <v>-365898.85</v>
      </c>
      <c r="BS16" s="8">
        <f>ROUND(BN16-BK16,2)</f>
        <v>31482.8</v>
      </c>
      <c r="BT16" s="8">
        <f>ROUND(BT15+N16-O16+V16-W16+AL16-AM16,2)</f>
        <v>264186.8</v>
      </c>
      <c r="BU16" s="10">
        <f>IF(BR16&gt;=0,A16,999)</f>
        <v>999</v>
      </c>
      <c r="BV16" s="8">
        <f>ROUND(BR16+200000,2)</f>
        <v>-165898.85</v>
      </c>
    </row>
    <row r="17" spans="1:74">
      <c r="A17" s="10">
        <v>13</v>
      </c>
      <c r="B17" s="10">
        <f>'Base'!B17</f>
        <v>2200</v>
      </c>
      <c r="C17" s="10">
        <f>'Base'!C17</f>
        <v>2</v>
      </c>
      <c r="D17" s="10">
        <f>'Base'!D17</f>
        <v>10</v>
      </c>
      <c r="E17" s="10">
        <f>'Base'!E17</f>
        <v>3</v>
      </c>
      <c r="F17" s="10">
        <f>'Base'!F17</f>
        <v>6</v>
      </c>
      <c r="G17" s="10">
        <f>MAX(0,F17-F16)</f>
        <v>2</v>
      </c>
      <c r="H17" s="10">
        <f>ROUNDUP(B17/'Premissas'!$B$14,0)</f>
        <v>110000</v>
      </c>
      <c r="I17" s="8">
        <f>ROUND(B17*'Premissas'!$B$5,2)</f>
        <v>63800.0</v>
      </c>
      <c r="J17" s="8">
        <f>ROUND(I17*'Premissas'!$B$6,2)</f>
        <v>319000.0</v>
      </c>
      <c r="K17" s="8">
        <f>ROUND(J17*'Premissas'!$B$7,2)</f>
        <v>25520.0</v>
      </c>
      <c r="L17" s="8">
        <f>ROUND(J17-K17,2)</f>
        <v>293480.0</v>
      </c>
      <c r="M17" s="8">
        <f>ROUND(L17*'Premissas'!$B$8+B17*(1-'Premissas'!$B$7)*'Premissas'!$B$9*'Premissas'!$B$6,2)</f>
        <v>39174.52</v>
      </c>
      <c r="N17" s="8">
        <f>ROUND(L17-M17,2)</f>
        <v>254305.48</v>
      </c>
      <c r="O17" s="8">
        <f>IF(A17&gt;'Premissas'!$B$20,INDEX($N$5:$N$28,MAX(1,A17-'Premissas'!$B$20)),0)</f>
        <v>231186.8</v>
      </c>
      <c r="P17" s="8">
        <f>ROUND(L17*'Premissas'!$B$10,2)</f>
        <v>44022.0</v>
      </c>
      <c r="Q17" s="8">
        <f>ROUND(L17*'Premissas'!$B$11,2)</f>
        <v>8804.4</v>
      </c>
      <c r="R17" s="8">
        <f>ROUND(B17*'Premissas'!$B$28*'Premissas'!$B$6,2)</f>
        <v>165000.0</v>
      </c>
      <c r="S17" s="8">
        <f>ROUND(B17*'Premissas'!$B$13*'Premissas'!$B$6,2)</f>
        <v>11000.0</v>
      </c>
      <c r="T17" s="8">
        <f>ROUND(L17-M17-P17-Q17-R17-S17,2)</f>
        <v>25479.08</v>
      </c>
      <c r="U17" s="10">
        <f>C17*'Premissas'!$B$16</f>
        <v>160</v>
      </c>
      <c r="V17" s="8">
        <f>ROUND(C17*'Premissas'!$B$15,2)</f>
        <v>60000.0</v>
      </c>
      <c r="W17" s="8">
        <f>ROUND(V17*'Premissas'!$B$19+V16*(1-'Premissas'!$B$19),2)</f>
        <v>45000.0</v>
      </c>
      <c r="X17" s="8">
        <f>ROUND(U17*'Premissas'!$B$17,2)</f>
        <v>28800.0</v>
      </c>
      <c r="Y17" s="8">
        <f>ROUND(V17*'Premissas'!$B$10,2)</f>
        <v>9000.0</v>
      </c>
      <c r="Z17" s="8">
        <f>ROUND(W17*'Premissas'!$B$18,2)</f>
        <v>2250.0</v>
      </c>
      <c r="AA17" s="8">
        <f>ROUND(V17*'Premissas'!$B$18,2)</f>
        <v>3000.0</v>
      </c>
      <c r="AB17" s="8">
        <f>ROUND(V17-X17-Y17-AA17,2)</f>
        <v>19200.0</v>
      </c>
      <c r="AC17" s="10">
        <f>D17*'Ofertas'!$C$5</f>
        <v>120.0</v>
      </c>
      <c r="AD17" s="8">
        <f>ROUND(D17*'Ofertas'!$B$5,2)</f>
        <v>45000.0</v>
      </c>
      <c r="AE17" s="8">
        <f>AD17</f>
        <v>45000.0</v>
      </c>
      <c r="AF17" s="8">
        <f>ROUND(AC17*'Ofertas'!$D$5,2)</f>
        <v>14400.0</v>
      </c>
      <c r="AG17" s="8">
        <f>ROUND(AD17*'Premissas'!$B$10,2)</f>
        <v>6750.0</v>
      </c>
      <c r="AH17" s="8">
        <f>ROUND(AD17*'Premissas'!$B$31,2)</f>
        <v>2250.0</v>
      </c>
      <c r="AI17" s="8">
        <f>ROUND(D17*'Ofertas'!$H$5,2)</f>
        <v>1600.0</v>
      </c>
      <c r="AJ17" s="8">
        <f>ROUND(AD17-AF17-AG17-AH17-AI17,2)</f>
        <v>20000.0</v>
      </c>
      <c r="AK17" s="10">
        <f>E17*'Ofertas'!$C$6</f>
        <v>120.0</v>
      </c>
      <c r="AL17" s="8">
        <f>ROUND(E17*'Ofertas'!$B$6,2)</f>
        <v>54000.0</v>
      </c>
      <c r="AM17" s="8">
        <f>ROUND(AL17*'Premissas'!$B$32+AL16*(1-'Premissas'!$B$32),2)</f>
        <v>45000.0</v>
      </c>
      <c r="AN17" s="8">
        <f>ROUND(AK17*'Ofertas'!$D$6,2)</f>
        <v>21600.0</v>
      </c>
      <c r="AO17" s="8">
        <f>ROUND(AL17*'Premissas'!$B$10,2)</f>
        <v>8100.0</v>
      </c>
      <c r="AP17" s="8">
        <f>ROUND(AL17*'Premissas'!$B$31,2)</f>
        <v>2700.0</v>
      </c>
      <c r="AQ17" s="8">
        <f>ROUND(E17*'Ofertas'!$H$6,2)</f>
        <v>1800.0</v>
      </c>
      <c r="AR17" s="8">
        <f>ROUND(AL17-AN17-AO17-AP17-AQ17,2)</f>
        <v>19800.0</v>
      </c>
      <c r="AS17" s="10">
        <f>F17*'Ofertas'!$C$7</f>
        <v>48.0</v>
      </c>
      <c r="AT17" s="8">
        <f>ROUND(F17*'Ofertas'!$B$7,2)</f>
        <v>21000.0</v>
      </c>
      <c r="AU17" s="8">
        <f>AT17</f>
        <v>21000.0</v>
      </c>
      <c r="AV17" s="8">
        <f>ROUND(AS17*'Ofertas'!$D$7,2)</f>
        <v>5760.0</v>
      </c>
      <c r="AW17" s="8">
        <f>ROUND(AT17*'Premissas'!$B$10,2)</f>
        <v>3150.0</v>
      </c>
      <c r="AX17" s="8">
        <f>ROUND(AT17*'Premissas'!$B$31,2)</f>
        <v>1050.0</v>
      </c>
      <c r="AY17" s="8">
        <f>ROUND(F17*'Ofertas'!$H$7,2)</f>
        <v>1260.0</v>
      </c>
      <c r="AZ17" s="8">
        <f>ROUND(AT17-AV17-AW17-AX17-AY17,2)</f>
        <v>9780.0</v>
      </c>
      <c r="BA17" s="10">
        <f>G17*'Ofertas'!$C$8</f>
        <v>40.0</v>
      </c>
      <c r="BB17" s="8">
        <f>ROUND(G17*'Ofertas'!$B$8,2)</f>
        <v>12000.0</v>
      </c>
      <c r="BC17" s="8">
        <f>BB17</f>
        <v>12000.0</v>
      </c>
      <c r="BD17" s="8">
        <f>ROUND(BA17*'Ofertas'!$D$8,2)</f>
        <v>7200.0</v>
      </c>
      <c r="BE17" s="8">
        <f>ROUND(BB17*'Premissas'!$B$10,2)</f>
        <v>1800.0</v>
      </c>
      <c r="BF17" s="8">
        <f>ROUND(BB17*'Premissas'!$B$31,2)</f>
        <v>600.0</v>
      </c>
      <c r="BG17" s="8">
        <f>ROUND(G17*'Ofertas'!$H$8,2)</f>
        <v>400.0</v>
      </c>
      <c r="BH17" s="8">
        <f>ROUND(BB17-BD17-BE17-BF17-BG17,2)</f>
        <v>2000.0</v>
      </c>
      <c r="BI17" s="10">
        <f>U17+AC17+AK17+AS17+BA17</f>
        <v>488.0</v>
      </c>
      <c r="BJ17" s="11">
        <f>BI17/'Premissas'!$B$30</f>
        <v>3.05</v>
      </c>
      <c r="BK17" s="8">
        <f>IF(A17&lt;=12,'Premissas'!$B$24,'Premissas'!$B$25)</f>
        <v>42000</v>
      </c>
      <c r="BL17" s="8">
        <f>ROUND(J17+V17+AD17+AL17+AT17+BB17,2)</f>
        <v>511000.0</v>
      </c>
      <c r="BM17" s="8">
        <f>ROUND(L17+V17+AD17+AL17+AT17+BB17,2)</f>
        <v>485480.0</v>
      </c>
      <c r="BN17" s="8">
        <f>ROUND(T17+AB17+AJ17+AR17+AZ17+BH17,2)</f>
        <v>96259.08</v>
      </c>
      <c r="BO17" s="8">
        <f>ROUND(O17+W17+AE17+AM17+AU17+BC17,2)</f>
        <v>399186.8</v>
      </c>
      <c r="BP17" s="8">
        <f>ROUND(P17+Q17+R17+S17+X17+Y17+Z17+BK17+AF17+AG17+AH17+AI17+AN17+AO17+AP17+AQ17+AV17+AW17+AX17+AY17+BD17+BE17+BF17+BG17,2)</f>
        <v>391296.4</v>
      </c>
      <c r="BQ17" s="8">
        <f>ROUND(BO17-BP17,2)</f>
        <v>7890.4</v>
      </c>
      <c r="BR17" s="8">
        <f>ROUND(BR16+BQ17,2)</f>
        <v>-358008.45</v>
      </c>
      <c r="BS17" s="8">
        <f>ROUND(BN17-BK17,2)</f>
        <v>54259.08</v>
      </c>
      <c r="BT17" s="8">
        <f>ROUND(BT16+N17-O17+V17-W17+AL17-AM17,2)</f>
        <v>311305.48</v>
      </c>
      <c r="BU17" s="10">
        <f>IF(BR17&gt;=0,A17,999)</f>
        <v>999</v>
      </c>
      <c r="BV17" s="8">
        <f>ROUND(BR17+200000,2)</f>
        <v>-158008.45</v>
      </c>
    </row>
    <row r="18" spans="1:74">
      <c r="A18" s="10">
        <v>14</v>
      </c>
      <c r="B18" s="10">
        <f>'Base'!B18</f>
        <v>2400</v>
      </c>
      <c r="C18" s="10">
        <f>'Base'!C18</f>
        <v>2</v>
      </c>
      <c r="D18" s="10">
        <f>'Base'!D18</f>
        <v>10</v>
      </c>
      <c r="E18" s="10">
        <f>'Base'!E18</f>
        <v>3</v>
      </c>
      <c r="F18" s="10">
        <f>'Base'!F18</f>
        <v>6</v>
      </c>
      <c r="G18" s="10">
        <f>MAX(0,F18-F17)</f>
        <v>0</v>
      </c>
      <c r="H18" s="10">
        <f>ROUNDUP(B18/'Premissas'!$B$14,0)</f>
        <v>120000</v>
      </c>
      <c r="I18" s="8">
        <f>ROUND(B18*'Premissas'!$B$5,2)</f>
        <v>69600.0</v>
      </c>
      <c r="J18" s="8">
        <f>ROUND(I18*'Premissas'!$B$6,2)</f>
        <v>348000.0</v>
      </c>
      <c r="K18" s="8">
        <f>ROUND(J18*'Premissas'!$B$7,2)</f>
        <v>27840.0</v>
      </c>
      <c r="L18" s="8">
        <f>ROUND(J18-K18,2)</f>
        <v>320160.0</v>
      </c>
      <c r="M18" s="8">
        <f>ROUND(L18*'Premissas'!$B$8+B18*(1-'Premissas'!$B$7)*'Premissas'!$B$9*'Premissas'!$B$6,2)</f>
        <v>42735.84</v>
      </c>
      <c r="N18" s="8">
        <f>ROUND(L18-M18,2)</f>
        <v>277424.16</v>
      </c>
      <c r="O18" s="8">
        <f>IF(A18&gt;'Premissas'!$B$20,INDEX($N$5:$N$28,MAX(1,A18-'Premissas'!$B$20)),0)</f>
        <v>254305.48</v>
      </c>
      <c r="P18" s="8">
        <f>ROUND(L18*'Premissas'!$B$10,2)</f>
        <v>48024.0</v>
      </c>
      <c r="Q18" s="8">
        <f>ROUND(L18*'Premissas'!$B$11,2)</f>
        <v>9604.8</v>
      </c>
      <c r="R18" s="8">
        <f>ROUND(B18*'Premissas'!$B$28*'Premissas'!$B$6,2)</f>
        <v>180000.0</v>
      </c>
      <c r="S18" s="8">
        <f>ROUND(B18*'Premissas'!$B$13*'Premissas'!$B$6,2)</f>
        <v>12000.0</v>
      </c>
      <c r="T18" s="8">
        <f>ROUND(L18-M18-P18-Q18-R18-S18,2)</f>
        <v>27795.36</v>
      </c>
      <c r="U18" s="10">
        <f>C18*'Premissas'!$B$16</f>
        <v>160</v>
      </c>
      <c r="V18" s="8">
        <f>ROUND(C18*'Premissas'!$B$15,2)</f>
        <v>60000.0</v>
      </c>
      <c r="W18" s="8">
        <f>ROUND(V18*'Premissas'!$B$19+V17*(1-'Premissas'!$B$19),2)</f>
        <v>60000.0</v>
      </c>
      <c r="X18" s="8">
        <f>ROUND(U18*'Premissas'!$B$17,2)</f>
        <v>28800.0</v>
      </c>
      <c r="Y18" s="8">
        <f>ROUND(V18*'Premissas'!$B$10,2)</f>
        <v>9000.0</v>
      </c>
      <c r="Z18" s="8">
        <f>ROUND(W18*'Premissas'!$B$18,2)</f>
        <v>3000.0</v>
      </c>
      <c r="AA18" s="8">
        <f>ROUND(V18*'Premissas'!$B$18,2)</f>
        <v>3000.0</v>
      </c>
      <c r="AB18" s="8">
        <f>ROUND(V18-X18-Y18-AA18,2)</f>
        <v>19200.0</v>
      </c>
      <c r="AC18" s="10">
        <f>D18*'Ofertas'!$C$5</f>
        <v>120.0</v>
      </c>
      <c r="AD18" s="8">
        <f>ROUND(D18*'Ofertas'!$B$5,2)</f>
        <v>45000.0</v>
      </c>
      <c r="AE18" s="8">
        <f>AD18</f>
        <v>45000.0</v>
      </c>
      <c r="AF18" s="8">
        <f>ROUND(AC18*'Ofertas'!$D$5,2)</f>
        <v>14400.0</v>
      </c>
      <c r="AG18" s="8">
        <f>ROUND(AD18*'Premissas'!$B$10,2)</f>
        <v>6750.0</v>
      </c>
      <c r="AH18" s="8">
        <f>ROUND(AD18*'Premissas'!$B$31,2)</f>
        <v>2250.0</v>
      </c>
      <c r="AI18" s="8">
        <f>ROUND(D18*'Ofertas'!$H$5,2)</f>
        <v>1600.0</v>
      </c>
      <c r="AJ18" s="8">
        <f>ROUND(AD18-AF18-AG18-AH18-AI18,2)</f>
        <v>20000.0</v>
      </c>
      <c r="AK18" s="10">
        <f>E18*'Ofertas'!$C$6</f>
        <v>120.0</v>
      </c>
      <c r="AL18" s="8">
        <f>ROUND(E18*'Ofertas'!$B$6,2)</f>
        <v>54000.0</v>
      </c>
      <c r="AM18" s="8">
        <f>ROUND(AL18*'Premissas'!$B$32+AL17*(1-'Premissas'!$B$32),2)</f>
        <v>54000.0</v>
      </c>
      <c r="AN18" s="8">
        <f>ROUND(AK18*'Ofertas'!$D$6,2)</f>
        <v>21600.0</v>
      </c>
      <c r="AO18" s="8">
        <f>ROUND(AL18*'Premissas'!$B$10,2)</f>
        <v>8100.0</v>
      </c>
      <c r="AP18" s="8">
        <f>ROUND(AL18*'Premissas'!$B$31,2)</f>
        <v>2700.0</v>
      </c>
      <c r="AQ18" s="8">
        <f>ROUND(E18*'Ofertas'!$H$6,2)</f>
        <v>1800.0</v>
      </c>
      <c r="AR18" s="8">
        <f>ROUND(AL18-AN18-AO18-AP18-AQ18,2)</f>
        <v>19800.0</v>
      </c>
      <c r="AS18" s="10">
        <f>F18*'Ofertas'!$C$7</f>
        <v>48.0</v>
      </c>
      <c r="AT18" s="8">
        <f>ROUND(F18*'Ofertas'!$B$7,2)</f>
        <v>21000.0</v>
      </c>
      <c r="AU18" s="8">
        <f>AT18</f>
        <v>21000.0</v>
      </c>
      <c r="AV18" s="8">
        <f>ROUND(AS18*'Ofertas'!$D$7,2)</f>
        <v>5760.0</v>
      </c>
      <c r="AW18" s="8">
        <f>ROUND(AT18*'Premissas'!$B$10,2)</f>
        <v>3150.0</v>
      </c>
      <c r="AX18" s="8">
        <f>ROUND(AT18*'Premissas'!$B$31,2)</f>
        <v>1050.0</v>
      </c>
      <c r="AY18" s="8">
        <f>ROUND(F18*'Ofertas'!$H$7,2)</f>
        <v>1260.0</v>
      </c>
      <c r="AZ18" s="8">
        <f>ROUND(AT18-AV18-AW18-AX18-AY18,2)</f>
        <v>9780.0</v>
      </c>
      <c r="BA18" s="10">
        <f>G18*'Ofertas'!$C$8</f>
        <v>0.0</v>
      </c>
      <c r="BB18" s="8">
        <f>ROUND(G18*'Ofertas'!$B$8,2)</f>
        <v>0.0</v>
      </c>
      <c r="BC18" s="8">
        <f>BB18</f>
        <v>0.0</v>
      </c>
      <c r="BD18" s="8">
        <f>ROUND(BA18*'Ofertas'!$D$8,2)</f>
        <v>0.0</v>
      </c>
      <c r="BE18" s="8">
        <f>ROUND(BB18*'Premissas'!$B$10,2)</f>
        <v>0.0</v>
      </c>
      <c r="BF18" s="8">
        <f>ROUND(BB18*'Premissas'!$B$31,2)</f>
        <v>0.0</v>
      </c>
      <c r="BG18" s="8">
        <f>ROUND(G18*'Ofertas'!$H$8,2)</f>
        <v>0.0</v>
      </c>
      <c r="BH18" s="8">
        <f>ROUND(BB18-BD18-BE18-BF18-BG18,2)</f>
        <v>0.0</v>
      </c>
      <c r="BI18" s="10">
        <f>U18+AC18+AK18+AS18+BA18</f>
        <v>448.0</v>
      </c>
      <c r="BJ18" s="11">
        <f>BI18/'Premissas'!$B$30</f>
        <v>2.8</v>
      </c>
      <c r="BK18" s="8">
        <f>IF(A18&lt;=12,'Premissas'!$B$24,'Premissas'!$B$25)</f>
        <v>42000</v>
      </c>
      <c r="BL18" s="8">
        <f>ROUND(J18+V18+AD18+AL18+AT18+BB18,2)</f>
        <v>528000.0</v>
      </c>
      <c r="BM18" s="8">
        <f>ROUND(L18+V18+AD18+AL18+AT18+BB18,2)</f>
        <v>500160.0</v>
      </c>
      <c r="BN18" s="8">
        <f>ROUND(T18+AB18+AJ18+AR18+AZ18+BH18,2)</f>
        <v>96575.36</v>
      </c>
      <c r="BO18" s="8">
        <f>ROUND(O18+W18+AE18+AM18+AU18+BC18,2)</f>
        <v>434305.48</v>
      </c>
      <c r="BP18" s="8">
        <f>ROUND(P18+Q18+R18+S18+X18+Y18+Z18+BK18+AF18+AG18+AH18+AI18+AN18+AO18+AP18+AQ18+AV18+AW18+AX18+AY18+BD18+BE18+BF18+BG18,2)</f>
        <v>402848.8</v>
      </c>
      <c r="BQ18" s="8">
        <f>ROUND(BO18-BP18,2)</f>
        <v>31456.68</v>
      </c>
      <c r="BR18" s="8">
        <f>ROUND(BR17+BQ18,2)</f>
        <v>-326551.77</v>
      </c>
      <c r="BS18" s="8">
        <f>ROUND(BN18-BK18,2)</f>
        <v>54575.36</v>
      </c>
      <c r="BT18" s="8">
        <f>ROUND(BT17+N18-O18+V18-W18+AL18-AM18,2)</f>
        <v>334424.16</v>
      </c>
      <c r="BU18" s="10">
        <f>IF(BR18&gt;=0,A18,999)</f>
        <v>999</v>
      </c>
      <c r="BV18" s="8">
        <f>ROUND(BR18+200000,2)</f>
        <v>-126551.77</v>
      </c>
    </row>
    <row r="19" spans="1:74">
      <c r="A19" s="10">
        <v>15</v>
      </c>
      <c r="B19" s="10">
        <f>'Base'!B19</f>
        <v>2600</v>
      </c>
      <c r="C19" s="10">
        <f>'Base'!C19</f>
        <v>2</v>
      </c>
      <c r="D19" s="10">
        <f>'Base'!D19</f>
        <v>10</v>
      </c>
      <c r="E19" s="10">
        <f>'Base'!E19</f>
        <v>3</v>
      </c>
      <c r="F19" s="10">
        <f>'Base'!F19</f>
        <v>6</v>
      </c>
      <c r="G19" s="10">
        <f>MAX(0,F19-F18)</f>
        <v>0</v>
      </c>
      <c r="H19" s="10">
        <f>ROUNDUP(B19/'Premissas'!$B$14,0)</f>
        <v>130000</v>
      </c>
      <c r="I19" s="8">
        <f>ROUND(B19*'Premissas'!$B$5,2)</f>
        <v>75400.0</v>
      </c>
      <c r="J19" s="8">
        <f>ROUND(I19*'Premissas'!$B$6,2)</f>
        <v>377000.0</v>
      </c>
      <c r="K19" s="8">
        <f>ROUND(J19*'Premissas'!$B$7,2)</f>
        <v>30160.0</v>
      </c>
      <c r="L19" s="8">
        <f>ROUND(J19-K19,2)</f>
        <v>346840.0</v>
      </c>
      <c r="M19" s="8">
        <f>ROUND(L19*'Premissas'!$B$8+B19*(1-'Premissas'!$B$7)*'Premissas'!$B$9*'Premissas'!$B$6,2)</f>
        <v>46297.16</v>
      </c>
      <c r="N19" s="8">
        <f>ROUND(L19-M19,2)</f>
        <v>300542.84</v>
      </c>
      <c r="O19" s="8">
        <f>IF(A19&gt;'Premissas'!$B$20,INDEX($N$5:$N$28,MAX(1,A19-'Premissas'!$B$20)),0)</f>
        <v>277424.16</v>
      </c>
      <c r="P19" s="8">
        <f>ROUND(L19*'Premissas'!$B$10,2)</f>
        <v>52026.0</v>
      </c>
      <c r="Q19" s="8">
        <f>ROUND(L19*'Premissas'!$B$11,2)</f>
        <v>10405.2</v>
      </c>
      <c r="R19" s="8">
        <f>ROUND(B19*'Premissas'!$B$28*'Premissas'!$B$6,2)</f>
        <v>195000.0</v>
      </c>
      <c r="S19" s="8">
        <f>ROUND(B19*'Premissas'!$B$13*'Premissas'!$B$6,2)</f>
        <v>13000.0</v>
      </c>
      <c r="T19" s="8">
        <f>ROUND(L19-M19-P19-Q19-R19-S19,2)</f>
        <v>30111.64</v>
      </c>
      <c r="U19" s="10">
        <f>C19*'Premissas'!$B$16</f>
        <v>160</v>
      </c>
      <c r="V19" s="8">
        <f>ROUND(C19*'Premissas'!$B$15,2)</f>
        <v>60000.0</v>
      </c>
      <c r="W19" s="8">
        <f>ROUND(V19*'Premissas'!$B$19+V18*(1-'Premissas'!$B$19),2)</f>
        <v>60000.0</v>
      </c>
      <c r="X19" s="8">
        <f>ROUND(U19*'Premissas'!$B$17,2)</f>
        <v>28800.0</v>
      </c>
      <c r="Y19" s="8">
        <f>ROUND(V19*'Premissas'!$B$10,2)</f>
        <v>9000.0</v>
      </c>
      <c r="Z19" s="8">
        <f>ROUND(W19*'Premissas'!$B$18,2)</f>
        <v>3000.0</v>
      </c>
      <c r="AA19" s="8">
        <f>ROUND(V19*'Premissas'!$B$18,2)</f>
        <v>3000.0</v>
      </c>
      <c r="AB19" s="8">
        <f>ROUND(V19-X19-Y19-AA19,2)</f>
        <v>19200.0</v>
      </c>
      <c r="AC19" s="10">
        <f>D19*'Ofertas'!$C$5</f>
        <v>120.0</v>
      </c>
      <c r="AD19" s="8">
        <f>ROUND(D19*'Ofertas'!$B$5,2)</f>
        <v>45000.0</v>
      </c>
      <c r="AE19" s="8">
        <f>AD19</f>
        <v>45000.0</v>
      </c>
      <c r="AF19" s="8">
        <f>ROUND(AC19*'Ofertas'!$D$5,2)</f>
        <v>14400.0</v>
      </c>
      <c r="AG19" s="8">
        <f>ROUND(AD19*'Premissas'!$B$10,2)</f>
        <v>6750.0</v>
      </c>
      <c r="AH19" s="8">
        <f>ROUND(AD19*'Premissas'!$B$31,2)</f>
        <v>2250.0</v>
      </c>
      <c r="AI19" s="8">
        <f>ROUND(D19*'Ofertas'!$H$5,2)</f>
        <v>1600.0</v>
      </c>
      <c r="AJ19" s="8">
        <f>ROUND(AD19-AF19-AG19-AH19-AI19,2)</f>
        <v>20000.0</v>
      </c>
      <c r="AK19" s="10">
        <f>E19*'Ofertas'!$C$6</f>
        <v>120.0</v>
      </c>
      <c r="AL19" s="8">
        <f>ROUND(E19*'Ofertas'!$B$6,2)</f>
        <v>54000.0</v>
      </c>
      <c r="AM19" s="8">
        <f>ROUND(AL19*'Premissas'!$B$32+AL18*(1-'Premissas'!$B$32),2)</f>
        <v>54000.0</v>
      </c>
      <c r="AN19" s="8">
        <f>ROUND(AK19*'Ofertas'!$D$6,2)</f>
        <v>21600.0</v>
      </c>
      <c r="AO19" s="8">
        <f>ROUND(AL19*'Premissas'!$B$10,2)</f>
        <v>8100.0</v>
      </c>
      <c r="AP19" s="8">
        <f>ROUND(AL19*'Premissas'!$B$31,2)</f>
        <v>2700.0</v>
      </c>
      <c r="AQ19" s="8">
        <f>ROUND(E19*'Ofertas'!$H$6,2)</f>
        <v>1800.0</v>
      </c>
      <c r="AR19" s="8">
        <f>ROUND(AL19-AN19-AO19-AP19-AQ19,2)</f>
        <v>19800.0</v>
      </c>
      <c r="AS19" s="10">
        <f>F19*'Ofertas'!$C$7</f>
        <v>48.0</v>
      </c>
      <c r="AT19" s="8">
        <f>ROUND(F19*'Ofertas'!$B$7,2)</f>
        <v>21000.0</v>
      </c>
      <c r="AU19" s="8">
        <f>AT19</f>
        <v>21000.0</v>
      </c>
      <c r="AV19" s="8">
        <f>ROUND(AS19*'Ofertas'!$D$7,2)</f>
        <v>5760.0</v>
      </c>
      <c r="AW19" s="8">
        <f>ROUND(AT19*'Premissas'!$B$10,2)</f>
        <v>3150.0</v>
      </c>
      <c r="AX19" s="8">
        <f>ROUND(AT19*'Premissas'!$B$31,2)</f>
        <v>1050.0</v>
      </c>
      <c r="AY19" s="8">
        <f>ROUND(F19*'Ofertas'!$H$7,2)</f>
        <v>1260.0</v>
      </c>
      <c r="AZ19" s="8">
        <f>ROUND(AT19-AV19-AW19-AX19-AY19,2)</f>
        <v>9780.0</v>
      </c>
      <c r="BA19" s="10">
        <f>G19*'Ofertas'!$C$8</f>
        <v>0.0</v>
      </c>
      <c r="BB19" s="8">
        <f>ROUND(G19*'Ofertas'!$B$8,2)</f>
        <v>0.0</v>
      </c>
      <c r="BC19" s="8">
        <f>BB19</f>
        <v>0.0</v>
      </c>
      <c r="BD19" s="8">
        <f>ROUND(BA19*'Ofertas'!$D$8,2)</f>
        <v>0.0</v>
      </c>
      <c r="BE19" s="8">
        <f>ROUND(BB19*'Premissas'!$B$10,2)</f>
        <v>0.0</v>
      </c>
      <c r="BF19" s="8">
        <f>ROUND(BB19*'Premissas'!$B$31,2)</f>
        <v>0.0</v>
      </c>
      <c r="BG19" s="8">
        <f>ROUND(G19*'Ofertas'!$H$8,2)</f>
        <v>0.0</v>
      </c>
      <c r="BH19" s="8">
        <f>ROUND(BB19-BD19-BE19-BF19-BG19,2)</f>
        <v>0.0</v>
      </c>
      <c r="BI19" s="10">
        <f>U19+AC19+AK19+AS19+BA19</f>
        <v>448.0</v>
      </c>
      <c r="BJ19" s="11">
        <f>BI19/'Premissas'!$B$30</f>
        <v>2.8</v>
      </c>
      <c r="BK19" s="8">
        <f>IF(A19&lt;=12,'Premissas'!$B$24,'Premissas'!$B$25)</f>
        <v>42000</v>
      </c>
      <c r="BL19" s="8">
        <f>ROUND(J19+V19+AD19+AL19+AT19+BB19,2)</f>
        <v>557000.0</v>
      </c>
      <c r="BM19" s="8">
        <f>ROUND(L19+V19+AD19+AL19+AT19+BB19,2)</f>
        <v>526840.0</v>
      </c>
      <c r="BN19" s="8">
        <f>ROUND(T19+AB19+AJ19+AR19+AZ19+BH19,2)</f>
        <v>98891.64</v>
      </c>
      <c r="BO19" s="8">
        <f>ROUND(O19+W19+AE19+AM19+AU19+BC19,2)</f>
        <v>457424.16</v>
      </c>
      <c r="BP19" s="8">
        <f>ROUND(P19+Q19+R19+S19+X19+Y19+Z19+BK19+AF19+AG19+AH19+AI19+AN19+AO19+AP19+AQ19+AV19+AW19+AX19+AY19+BD19+BE19+BF19+BG19,2)</f>
        <v>423651.2</v>
      </c>
      <c r="BQ19" s="8">
        <f>ROUND(BO19-BP19,2)</f>
        <v>33772.96</v>
      </c>
      <c r="BR19" s="8">
        <f>ROUND(BR18+BQ19,2)</f>
        <v>-292778.81</v>
      </c>
      <c r="BS19" s="8">
        <f>ROUND(BN19-BK19,2)</f>
        <v>56891.64</v>
      </c>
      <c r="BT19" s="8">
        <f>ROUND(BT18+N19-O19+V19-W19+AL19-AM19,2)</f>
        <v>357542.84</v>
      </c>
      <c r="BU19" s="10">
        <f>IF(BR19&gt;=0,A19,999)</f>
        <v>999</v>
      </c>
      <c r="BV19" s="8">
        <f>ROUND(BR19+200000,2)</f>
        <v>-92778.81</v>
      </c>
    </row>
    <row r="20" spans="1:74">
      <c r="A20" s="10">
        <v>16</v>
      </c>
      <c r="B20" s="10">
        <f>'Base'!B20</f>
        <v>2800</v>
      </c>
      <c r="C20" s="10">
        <f>'Base'!C20</f>
        <v>2</v>
      </c>
      <c r="D20" s="10">
        <f>'Base'!D20</f>
        <v>10</v>
      </c>
      <c r="E20" s="10">
        <f>'Base'!E20</f>
        <v>3</v>
      </c>
      <c r="F20" s="10">
        <f>'Base'!F20</f>
        <v>6</v>
      </c>
      <c r="G20" s="10">
        <f>MAX(0,F20-F19)</f>
        <v>0</v>
      </c>
      <c r="H20" s="10">
        <f>ROUNDUP(B20/'Premissas'!$B$14,0)</f>
        <v>140000</v>
      </c>
      <c r="I20" s="8">
        <f>ROUND(B20*'Premissas'!$B$5,2)</f>
        <v>81200.0</v>
      </c>
      <c r="J20" s="8">
        <f>ROUND(I20*'Premissas'!$B$6,2)</f>
        <v>406000.0</v>
      </c>
      <c r="K20" s="8">
        <f>ROUND(J20*'Premissas'!$B$7,2)</f>
        <v>32480.0</v>
      </c>
      <c r="L20" s="8">
        <f>ROUND(J20-K20,2)</f>
        <v>373520.0</v>
      </c>
      <c r="M20" s="8">
        <f>ROUND(L20*'Premissas'!$B$8+B20*(1-'Premissas'!$B$7)*'Premissas'!$B$9*'Premissas'!$B$6,2)</f>
        <v>49858.48</v>
      </c>
      <c r="N20" s="8">
        <f>ROUND(L20-M20,2)</f>
        <v>323661.52</v>
      </c>
      <c r="O20" s="8">
        <f>IF(A20&gt;'Premissas'!$B$20,INDEX($N$5:$N$28,MAX(1,A20-'Premissas'!$B$20)),0)</f>
        <v>300542.84</v>
      </c>
      <c r="P20" s="8">
        <f>ROUND(L20*'Premissas'!$B$10,2)</f>
        <v>56028.0</v>
      </c>
      <c r="Q20" s="8">
        <f>ROUND(L20*'Premissas'!$B$11,2)</f>
        <v>11205.6</v>
      </c>
      <c r="R20" s="8">
        <f>ROUND(B20*'Premissas'!$B$28*'Premissas'!$B$6,2)</f>
        <v>210000.0</v>
      </c>
      <c r="S20" s="8">
        <f>ROUND(B20*'Premissas'!$B$13*'Premissas'!$B$6,2)</f>
        <v>14000.0</v>
      </c>
      <c r="T20" s="8">
        <f>ROUND(L20-M20-P20-Q20-R20-S20,2)</f>
        <v>32427.92</v>
      </c>
      <c r="U20" s="10">
        <f>C20*'Premissas'!$B$16</f>
        <v>160</v>
      </c>
      <c r="V20" s="8">
        <f>ROUND(C20*'Premissas'!$B$15,2)</f>
        <v>60000.0</v>
      </c>
      <c r="W20" s="8">
        <f>ROUND(V20*'Premissas'!$B$19+V19*(1-'Premissas'!$B$19),2)</f>
        <v>60000.0</v>
      </c>
      <c r="X20" s="8">
        <f>ROUND(U20*'Premissas'!$B$17,2)</f>
        <v>28800.0</v>
      </c>
      <c r="Y20" s="8">
        <f>ROUND(V20*'Premissas'!$B$10,2)</f>
        <v>9000.0</v>
      </c>
      <c r="Z20" s="8">
        <f>ROUND(W20*'Premissas'!$B$18,2)</f>
        <v>3000.0</v>
      </c>
      <c r="AA20" s="8">
        <f>ROUND(V20*'Premissas'!$B$18,2)</f>
        <v>3000.0</v>
      </c>
      <c r="AB20" s="8">
        <f>ROUND(V20-X20-Y20-AA20,2)</f>
        <v>19200.0</v>
      </c>
      <c r="AC20" s="10">
        <f>D20*'Ofertas'!$C$5</f>
        <v>120.0</v>
      </c>
      <c r="AD20" s="8">
        <f>ROUND(D20*'Ofertas'!$B$5,2)</f>
        <v>45000.0</v>
      </c>
      <c r="AE20" s="8">
        <f>AD20</f>
        <v>45000.0</v>
      </c>
      <c r="AF20" s="8">
        <f>ROUND(AC20*'Ofertas'!$D$5,2)</f>
        <v>14400.0</v>
      </c>
      <c r="AG20" s="8">
        <f>ROUND(AD20*'Premissas'!$B$10,2)</f>
        <v>6750.0</v>
      </c>
      <c r="AH20" s="8">
        <f>ROUND(AD20*'Premissas'!$B$31,2)</f>
        <v>2250.0</v>
      </c>
      <c r="AI20" s="8">
        <f>ROUND(D20*'Ofertas'!$H$5,2)</f>
        <v>1600.0</v>
      </c>
      <c r="AJ20" s="8">
        <f>ROUND(AD20-AF20-AG20-AH20-AI20,2)</f>
        <v>20000.0</v>
      </c>
      <c r="AK20" s="10">
        <f>E20*'Ofertas'!$C$6</f>
        <v>120.0</v>
      </c>
      <c r="AL20" s="8">
        <f>ROUND(E20*'Ofertas'!$B$6,2)</f>
        <v>54000.0</v>
      </c>
      <c r="AM20" s="8">
        <f>ROUND(AL20*'Premissas'!$B$32+AL19*(1-'Premissas'!$B$32),2)</f>
        <v>54000.0</v>
      </c>
      <c r="AN20" s="8">
        <f>ROUND(AK20*'Ofertas'!$D$6,2)</f>
        <v>21600.0</v>
      </c>
      <c r="AO20" s="8">
        <f>ROUND(AL20*'Premissas'!$B$10,2)</f>
        <v>8100.0</v>
      </c>
      <c r="AP20" s="8">
        <f>ROUND(AL20*'Premissas'!$B$31,2)</f>
        <v>2700.0</v>
      </c>
      <c r="AQ20" s="8">
        <f>ROUND(E20*'Ofertas'!$H$6,2)</f>
        <v>1800.0</v>
      </c>
      <c r="AR20" s="8">
        <f>ROUND(AL20-AN20-AO20-AP20-AQ20,2)</f>
        <v>19800.0</v>
      </c>
      <c r="AS20" s="10">
        <f>F20*'Ofertas'!$C$7</f>
        <v>48.0</v>
      </c>
      <c r="AT20" s="8">
        <f>ROUND(F20*'Ofertas'!$B$7,2)</f>
        <v>21000.0</v>
      </c>
      <c r="AU20" s="8">
        <f>AT20</f>
        <v>21000.0</v>
      </c>
      <c r="AV20" s="8">
        <f>ROUND(AS20*'Ofertas'!$D$7,2)</f>
        <v>5760.0</v>
      </c>
      <c r="AW20" s="8">
        <f>ROUND(AT20*'Premissas'!$B$10,2)</f>
        <v>3150.0</v>
      </c>
      <c r="AX20" s="8">
        <f>ROUND(AT20*'Premissas'!$B$31,2)</f>
        <v>1050.0</v>
      </c>
      <c r="AY20" s="8">
        <f>ROUND(F20*'Ofertas'!$H$7,2)</f>
        <v>1260.0</v>
      </c>
      <c r="AZ20" s="8">
        <f>ROUND(AT20-AV20-AW20-AX20-AY20,2)</f>
        <v>9780.0</v>
      </c>
      <c r="BA20" s="10">
        <f>G20*'Ofertas'!$C$8</f>
        <v>0.0</v>
      </c>
      <c r="BB20" s="8">
        <f>ROUND(G20*'Ofertas'!$B$8,2)</f>
        <v>0.0</v>
      </c>
      <c r="BC20" s="8">
        <f>BB20</f>
        <v>0.0</v>
      </c>
      <c r="BD20" s="8">
        <f>ROUND(BA20*'Ofertas'!$D$8,2)</f>
        <v>0.0</v>
      </c>
      <c r="BE20" s="8">
        <f>ROUND(BB20*'Premissas'!$B$10,2)</f>
        <v>0.0</v>
      </c>
      <c r="BF20" s="8">
        <f>ROUND(BB20*'Premissas'!$B$31,2)</f>
        <v>0.0</v>
      </c>
      <c r="BG20" s="8">
        <f>ROUND(G20*'Ofertas'!$H$8,2)</f>
        <v>0.0</v>
      </c>
      <c r="BH20" s="8">
        <f>ROUND(BB20-BD20-BE20-BF20-BG20,2)</f>
        <v>0.0</v>
      </c>
      <c r="BI20" s="10">
        <f>U20+AC20+AK20+AS20+BA20</f>
        <v>448.0</v>
      </c>
      <c r="BJ20" s="11">
        <f>BI20/'Premissas'!$B$30</f>
        <v>2.8</v>
      </c>
      <c r="BK20" s="8">
        <f>IF(A20&lt;=12,'Premissas'!$B$24,'Premissas'!$B$25)</f>
        <v>42000</v>
      </c>
      <c r="BL20" s="8">
        <f>ROUND(J20+V20+AD20+AL20+AT20+BB20,2)</f>
        <v>586000.0</v>
      </c>
      <c r="BM20" s="8">
        <f>ROUND(L20+V20+AD20+AL20+AT20+BB20,2)</f>
        <v>553520.0</v>
      </c>
      <c r="BN20" s="8">
        <f>ROUND(T20+AB20+AJ20+AR20+AZ20+BH20,2)</f>
        <v>101207.92</v>
      </c>
      <c r="BO20" s="8">
        <f>ROUND(O20+W20+AE20+AM20+AU20+BC20,2)</f>
        <v>480542.84</v>
      </c>
      <c r="BP20" s="8">
        <f>ROUND(P20+Q20+R20+S20+X20+Y20+Z20+BK20+AF20+AG20+AH20+AI20+AN20+AO20+AP20+AQ20+AV20+AW20+AX20+AY20+BD20+BE20+BF20+BG20,2)</f>
        <v>444453.6</v>
      </c>
      <c r="BQ20" s="8">
        <f>ROUND(BO20-BP20,2)</f>
        <v>36089.24</v>
      </c>
      <c r="BR20" s="8">
        <f>ROUND(BR19+BQ20,2)</f>
        <v>-256689.57</v>
      </c>
      <c r="BS20" s="8">
        <f>ROUND(BN20-BK20,2)</f>
        <v>59207.92</v>
      </c>
      <c r="BT20" s="8">
        <f>ROUND(BT19+N20-O20+V20-W20+AL20-AM20,2)</f>
        <v>380661.52</v>
      </c>
      <c r="BU20" s="10">
        <f>IF(BR20&gt;=0,A20,999)</f>
        <v>999</v>
      </c>
      <c r="BV20" s="8">
        <f>ROUND(BR20+200000,2)</f>
        <v>-56689.57</v>
      </c>
    </row>
    <row r="21" spans="1:74">
      <c r="A21" s="10">
        <v>17</v>
      </c>
      <c r="B21" s="10">
        <f>'Base'!B21</f>
        <v>3000</v>
      </c>
      <c r="C21" s="10">
        <f>'Base'!C21</f>
        <v>2</v>
      </c>
      <c r="D21" s="10">
        <f>'Base'!D21</f>
        <v>10</v>
      </c>
      <c r="E21" s="10">
        <f>'Base'!E21</f>
        <v>3</v>
      </c>
      <c r="F21" s="10">
        <f>'Base'!F21</f>
        <v>6</v>
      </c>
      <c r="G21" s="10">
        <f>MAX(0,F21-F20)</f>
        <v>0</v>
      </c>
      <c r="H21" s="10">
        <f>ROUNDUP(B21/'Premissas'!$B$14,0)</f>
        <v>150000</v>
      </c>
      <c r="I21" s="8">
        <f>ROUND(B21*'Premissas'!$B$5,2)</f>
        <v>87000.0</v>
      </c>
      <c r="J21" s="8">
        <f>ROUND(I21*'Premissas'!$B$6,2)</f>
        <v>435000.0</v>
      </c>
      <c r="K21" s="8">
        <f>ROUND(J21*'Premissas'!$B$7,2)</f>
        <v>34800.0</v>
      </c>
      <c r="L21" s="8">
        <f>ROUND(J21-K21,2)</f>
        <v>400200.0</v>
      </c>
      <c r="M21" s="8">
        <f>ROUND(L21*'Premissas'!$B$8+B21*(1-'Premissas'!$B$7)*'Premissas'!$B$9*'Premissas'!$B$6,2)</f>
        <v>53419.8</v>
      </c>
      <c r="N21" s="8">
        <f>ROUND(L21-M21,2)</f>
        <v>346780.2</v>
      </c>
      <c r="O21" s="8">
        <f>IF(A21&gt;'Premissas'!$B$20,INDEX($N$5:$N$28,MAX(1,A21-'Premissas'!$B$20)),0)</f>
        <v>323661.52</v>
      </c>
      <c r="P21" s="8">
        <f>ROUND(L21*'Premissas'!$B$10,2)</f>
        <v>60030.0</v>
      </c>
      <c r="Q21" s="8">
        <f>ROUND(L21*'Premissas'!$B$11,2)</f>
        <v>12006.0</v>
      </c>
      <c r="R21" s="8">
        <f>ROUND(B21*'Premissas'!$B$28*'Premissas'!$B$6,2)</f>
        <v>225000.0</v>
      </c>
      <c r="S21" s="8">
        <f>ROUND(B21*'Premissas'!$B$13*'Premissas'!$B$6,2)</f>
        <v>15000.0</v>
      </c>
      <c r="T21" s="8">
        <f>ROUND(L21-M21-P21-Q21-R21-S21,2)</f>
        <v>34744.2</v>
      </c>
      <c r="U21" s="10">
        <f>C21*'Premissas'!$B$16</f>
        <v>160</v>
      </c>
      <c r="V21" s="8">
        <f>ROUND(C21*'Premissas'!$B$15,2)</f>
        <v>60000.0</v>
      </c>
      <c r="W21" s="8">
        <f>ROUND(V21*'Premissas'!$B$19+V20*(1-'Premissas'!$B$19),2)</f>
        <v>60000.0</v>
      </c>
      <c r="X21" s="8">
        <f>ROUND(U21*'Premissas'!$B$17,2)</f>
        <v>28800.0</v>
      </c>
      <c r="Y21" s="8">
        <f>ROUND(V21*'Premissas'!$B$10,2)</f>
        <v>9000.0</v>
      </c>
      <c r="Z21" s="8">
        <f>ROUND(W21*'Premissas'!$B$18,2)</f>
        <v>3000.0</v>
      </c>
      <c r="AA21" s="8">
        <f>ROUND(V21*'Premissas'!$B$18,2)</f>
        <v>3000.0</v>
      </c>
      <c r="AB21" s="8">
        <f>ROUND(V21-X21-Y21-AA21,2)</f>
        <v>19200.0</v>
      </c>
      <c r="AC21" s="10">
        <f>D21*'Ofertas'!$C$5</f>
        <v>120.0</v>
      </c>
      <c r="AD21" s="8">
        <f>ROUND(D21*'Ofertas'!$B$5,2)</f>
        <v>45000.0</v>
      </c>
      <c r="AE21" s="8">
        <f>AD21</f>
        <v>45000.0</v>
      </c>
      <c r="AF21" s="8">
        <f>ROUND(AC21*'Ofertas'!$D$5,2)</f>
        <v>14400.0</v>
      </c>
      <c r="AG21" s="8">
        <f>ROUND(AD21*'Premissas'!$B$10,2)</f>
        <v>6750.0</v>
      </c>
      <c r="AH21" s="8">
        <f>ROUND(AD21*'Premissas'!$B$31,2)</f>
        <v>2250.0</v>
      </c>
      <c r="AI21" s="8">
        <f>ROUND(D21*'Ofertas'!$H$5,2)</f>
        <v>1600.0</v>
      </c>
      <c r="AJ21" s="8">
        <f>ROUND(AD21-AF21-AG21-AH21-AI21,2)</f>
        <v>20000.0</v>
      </c>
      <c r="AK21" s="10">
        <f>E21*'Ofertas'!$C$6</f>
        <v>120.0</v>
      </c>
      <c r="AL21" s="8">
        <f>ROUND(E21*'Ofertas'!$B$6,2)</f>
        <v>54000.0</v>
      </c>
      <c r="AM21" s="8">
        <f>ROUND(AL21*'Premissas'!$B$32+AL20*(1-'Premissas'!$B$32),2)</f>
        <v>54000.0</v>
      </c>
      <c r="AN21" s="8">
        <f>ROUND(AK21*'Ofertas'!$D$6,2)</f>
        <v>21600.0</v>
      </c>
      <c r="AO21" s="8">
        <f>ROUND(AL21*'Premissas'!$B$10,2)</f>
        <v>8100.0</v>
      </c>
      <c r="AP21" s="8">
        <f>ROUND(AL21*'Premissas'!$B$31,2)</f>
        <v>2700.0</v>
      </c>
      <c r="AQ21" s="8">
        <f>ROUND(E21*'Ofertas'!$H$6,2)</f>
        <v>1800.0</v>
      </c>
      <c r="AR21" s="8">
        <f>ROUND(AL21-AN21-AO21-AP21-AQ21,2)</f>
        <v>19800.0</v>
      </c>
      <c r="AS21" s="10">
        <f>F21*'Ofertas'!$C$7</f>
        <v>48.0</v>
      </c>
      <c r="AT21" s="8">
        <f>ROUND(F21*'Ofertas'!$B$7,2)</f>
        <v>21000.0</v>
      </c>
      <c r="AU21" s="8">
        <f>AT21</f>
        <v>21000.0</v>
      </c>
      <c r="AV21" s="8">
        <f>ROUND(AS21*'Ofertas'!$D$7,2)</f>
        <v>5760.0</v>
      </c>
      <c r="AW21" s="8">
        <f>ROUND(AT21*'Premissas'!$B$10,2)</f>
        <v>3150.0</v>
      </c>
      <c r="AX21" s="8">
        <f>ROUND(AT21*'Premissas'!$B$31,2)</f>
        <v>1050.0</v>
      </c>
      <c r="AY21" s="8">
        <f>ROUND(F21*'Ofertas'!$H$7,2)</f>
        <v>1260.0</v>
      </c>
      <c r="AZ21" s="8">
        <f>ROUND(AT21-AV21-AW21-AX21-AY21,2)</f>
        <v>9780.0</v>
      </c>
      <c r="BA21" s="10">
        <f>G21*'Ofertas'!$C$8</f>
        <v>0.0</v>
      </c>
      <c r="BB21" s="8">
        <f>ROUND(G21*'Ofertas'!$B$8,2)</f>
        <v>0.0</v>
      </c>
      <c r="BC21" s="8">
        <f>BB21</f>
        <v>0.0</v>
      </c>
      <c r="BD21" s="8">
        <f>ROUND(BA21*'Ofertas'!$D$8,2)</f>
        <v>0.0</v>
      </c>
      <c r="BE21" s="8">
        <f>ROUND(BB21*'Premissas'!$B$10,2)</f>
        <v>0.0</v>
      </c>
      <c r="BF21" s="8">
        <f>ROUND(BB21*'Premissas'!$B$31,2)</f>
        <v>0.0</v>
      </c>
      <c r="BG21" s="8">
        <f>ROUND(G21*'Ofertas'!$H$8,2)</f>
        <v>0.0</v>
      </c>
      <c r="BH21" s="8">
        <f>ROUND(BB21-BD21-BE21-BF21-BG21,2)</f>
        <v>0.0</v>
      </c>
      <c r="BI21" s="10">
        <f>U21+AC21+AK21+AS21+BA21</f>
        <v>448.0</v>
      </c>
      <c r="BJ21" s="11">
        <f>BI21/'Premissas'!$B$30</f>
        <v>2.8</v>
      </c>
      <c r="BK21" s="8">
        <f>IF(A21&lt;=12,'Premissas'!$B$24,'Premissas'!$B$25)</f>
        <v>42000</v>
      </c>
      <c r="BL21" s="8">
        <f>ROUND(J21+V21+AD21+AL21+AT21+BB21,2)</f>
        <v>615000.0</v>
      </c>
      <c r="BM21" s="8">
        <f>ROUND(L21+V21+AD21+AL21+AT21+BB21,2)</f>
        <v>580200.0</v>
      </c>
      <c r="BN21" s="8">
        <f>ROUND(T21+AB21+AJ21+AR21+AZ21+BH21,2)</f>
        <v>103524.2</v>
      </c>
      <c r="BO21" s="8">
        <f>ROUND(O21+W21+AE21+AM21+AU21+BC21,2)</f>
        <v>503661.52</v>
      </c>
      <c r="BP21" s="8">
        <f>ROUND(P21+Q21+R21+S21+X21+Y21+Z21+BK21+AF21+AG21+AH21+AI21+AN21+AO21+AP21+AQ21+AV21+AW21+AX21+AY21+BD21+BE21+BF21+BG21,2)</f>
        <v>465256.0</v>
      </c>
      <c r="BQ21" s="8">
        <f>ROUND(BO21-BP21,2)</f>
        <v>38405.52</v>
      </c>
      <c r="BR21" s="8">
        <f>ROUND(BR20+BQ21,2)</f>
        <v>-218284.05</v>
      </c>
      <c r="BS21" s="8">
        <f>ROUND(BN21-BK21,2)</f>
        <v>61524.2</v>
      </c>
      <c r="BT21" s="8">
        <f>ROUND(BT20+N21-O21+V21-W21+AL21-AM21,2)</f>
        <v>403780.2</v>
      </c>
      <c r="BU21" s="10">
        <f>IF(BR21&gt;=0,A21,999)</f>
        <v>999</v>
      </c>
      <c r="BV21" s="8">
        <f>ROUND(BR21+200000,2)</f>
        <v>-18284.05</v>
      </c>
    </row>
    <row r="22" spans="1:74">
      <c r="A22" s="10">
        <v>18</v>
      </c>
      <c r="B22" s="10">
        <f>'Base'!B22</f>
        <v>3000</v>
      </c>
      <c r="C22" s="10">
        <f>'Base'!C22</f>
        <v>2</v>
      </c>
      <c r="D22" s="10">
        <f>'Base'!D22</f>
        <v>10</v>
      </c>
      <c r="E22" s="10">
        <f>'Base'!E22</f>
        <v>3</v>
      </c>
      <c r="F22" s="10">
        <f>'Base'!F22</f>
        <v>6</v>
      </c>
      <c r="G22" s="10">
        <f>MAX(0,F22-F21)</f>
        <v>0</v>
      </c>
      <c r="H22" s="10">
        <f>ROUNDUP(B22/'Premissas'!$B$14,0)</f>
        <v>150000</v>
      </c>
      <c r="I22" s="8">
        <f>ROUND(B22*'Premissas'!$B$5,2)</f>
        <v>87000.0</v>
      </c>
      <c r="J22" s="8">
        <f>ROUND(I22*'Premissas'!$B$6,2)</f>
        <v>435000.0</v>
      </c>
      <c r="K22" s="8">
        <f>ROUND(J22*'Premissas'!$B$7,2)</f>
        <v>34800.0</v>
      </c>
      <c r="L22" s="8">
        <f>ROUND(J22-K22,2)</f>
        <v>400200.0</v>
      </c>
      <c r="M22" s="8">
        <f>ROUND(L22*'Premissas'!$B$8+B22*(1-'Premissas'!$B$7)*'Premissas'!$B$9*'Premissas'!$B$6,2)</f>
        <v>53419.8</v>
      </c>
      <c r="N22" s="8">
        <f>ROUND(L22-M22,2)</f>
        <v>346780.2</v>
      </c>
      <c r="O22" s="8">
        <f>IF(A22&gt;'Premissas'!$B$20,INDEX($N$5:$N$28,MAX(1,A22-'Premissas'!$B$20)),0)</f>
        <v>346780.2</v>
      </c>
      <c r="P22" s="8">
        <f>ROUND(L22*'Premissas'!$B$10,2)</f>
        <v>60030.0</v>
      </c>
      <c r="Q22" s="8">
        <f>ROUND(L22*'Premissas'!$B$11,2)</f>
        <v>12006.0</v>
      </c>
      <c r="R22" s="8">
        <f>ROUND(B22*'Premissas'!$B$28*'Premissas'!$B$6,2)</f>
        <v>225000.0</v>
      </c>
      <c r="S22" s="8">
        <f>ROUND(B22*'Premissas'!$B$13*'Premissas'!$B$6,2)</f>
        <v>15000.0</v>
      </c>
      <c r="T22" s="8">
        <f>ROUND(L22-M22-P22-Q22-R22-S22,2)</f>
        <v>34744.2</v>
      </c>
      <c r="U22" s="10">
        <f>C22*'Premissas'!$B$16</f>
        <v>160</v>
      </c>
      <c r="V22" s="8">
        <f>ROUND(C22*'Premissas'!$B$15,2)</f>
        <v>60000.0</v>
      </c>
      <c r="W22" s="8">
        <f>ROUND(V22*'Premissas'!$B$19+V21*(1-'Premissas'!$B$19),2)</f>
        <v>60000.0</v>
      </c>
      <c r="X22" s="8">
        <f>ROUND(U22*'Premissas'!$B$17,2)</f>
        <v>28800.0</v>
      </c>
      <c r="Y22" s="8">
        <f>ROUND(V22*'Premissas'!$B$10,2)</f>
        <v>9000.0</v>
      </c>
      <c r="Z22" s="8">
        <f>ROUND(W22*'Premissas'!$B$18,2)</f>
        <v>3000.0</v>
      </c>
      <c r="AA22" s="8">
        <f>ROUND(V22*'Premissas'!$B$18,2)</f>
        <v>3000.0</v>
      </c>
      <c r="AB22" s="8">
        <f>ROUND(V22-X22-Y22-AA22,2)</f>
        <v>19200.0</v>
      </c>
      <c r="AC22" s="10">
        <f>D22*'Ofertas'!$C$5</f>
        <v>120.0</v>
      </c>
      <c r="AD22" s="8">
        <f>ROUND(D22*'Ofertas'!$B$5,2)</f>
        <v>45000.0</v>
      </c>
      <c r="AE22" s="8">
        <f>AD22</f>
        <v>45000.0</v>
      </c>
      <c r="AF22" s="8">
        <f>ROUND(AC22*'Ofertas'!$D$5,2)</f>
        <v>14400.0</v>
      </c>
      <c r="AG22" s="8">
        <f>ROUND(AD22*'Premissas'!$B$10,2)</f>
        <v>6750.0</v>
      </c>
      <c r="AH22" s="8">
        <f>ROUND(AD22*'Premissas'!$B$31,2)</f>
        <v>2250.0</v>
      </c>
      <c r="AI22" s="8">
        <f>ROUND(D22*'Ofertas'!$H$5,2)</f>
        <v>1600.0</v>
      </c>
      <c r="AJ22" s="8">
        <f>ROUND(AD22-AF22-AG22-AH22-AI22,2)</f>
        <v>20000.0</v>
      </c>
      <c r="AK22" s="10">
        <f>E22*'Ofertas'!$C$6</f>
        <v>120.0</v>
      </c>
      <c r="AL22" s="8">
        <f>ROUND(E22*'Ofertas'!$B$6,2)</f>
        <v>54000.0</v>
      </c>
      <c r="AM22" s="8">
        <f>ROUND(AL22*'Premissas'!$B$32+AL21*(1-'Premissas'!$B$32),2)</f>
        <v>54000.0</v>
      </c>
      <c r="AN22" s="8">
        <f>ROUND(AK22*'Ofertas'!$D$6,2)</f>
        <v>21600.0</v>
      </c>
      <c r="AO22" s="8">
        <f>ROUND(AL22*'Premissas'!$B$10,2)</f>
        <v>8100.0</v>
      </c>
      <c r="AP22" s="8">
        <f>ROUND(AL22*'Premissas'!$B$31,2)</f>
        <v>2700.0</v>
      </c>
      <c r="AQ22" s="8">
        <f>ROUND(E22*'Ofertas'!$H$6,2)</f>
        <v>1800.0</v>
      </c>
      <c r="AR22" s="8">
        <f>ROUND(AL22-AN22-AO22-AP22-AQ22,2)</f>
        <v>19800.0</v>
      </c>
      <c r="AS22" s="10">
        <f>F22*'Ofertas'!$C$7</f>
        <v>48.0</v>
      </c>
      <c r="AT22" s="8">
        <f>ROUND(F22*'Ofertas'!$B$7,2)</f>
        <v>21000.0</v>
      </c>
      <c r="AU22" s="8">
        <f>AT22</f>
        <v>21000.0</v>
      </c>
      <c r="AV22" s="8">
        <f>ROUND(AS22*'Ofertas'!$D$7,2)</f>
        <v>5760.0</v>
      </c>
      <c r="AW22" s="8">
        <f>ROUND(AT22*'Premissas'!$B$10,2)</f>
        <v>3150.0</v>
      </c>
      <c r="AX22" s="8">
        <f>ROUND(AT22*'Premissas'!$B$31,2)</f>
        <v>1050.0</v>
      </c>
      <c r="AY22" s="8">
        <f>ROUND(F22*'Ofertas'!$H$7,2)</f>
        <v>1260.0</v>
      </c>
      <c r="AZ22" s="8">
        <f>ROUND(AT22-AV22-AW22-AX22-AY22,2)</f>
        <v>9780.0</v>
      </c>
      <c r="BA22" s="10">
        <f>G22*'Ofertas'!$C$8</f>
        <v>0.0</v>
      </c>
      <c r="BB22" s="8">
        <f>ROUND(G22*'Ofertas'!$B$8,2)</f>
        <v>0.0</v>
      </c>
      <c r="BC22" s="8">
        <f>BB22</f>
        <v>0.0</v>
      </c>
      <c r="BD22" s="8">
        <f>ROUND(BA22*'Ofertas'!$D$8,2)</f>
        <v>0.0</v>
      </c>
      <c r="BE22" s="8">
        <f>ROUND(BB22*'Premissas'!$B$10,2)</f>
        <v>0.0</v>
      </c>
      <c r="BF22" s="8">
        <f>ROUND(BB22*'Premissas'!$B$31,2)</f>
        <v>0.0</v>
      </c>
      <c r="BG22" s="8">
        <f>ROUND(G22*'Ofertas'!$H$8,2)</f>
        <v>0.0</v>
      </c>
      <c r="BH22" s="8">
        <f>ROUND(BB22-BD22-BE22-BF22-BG22,2)</f>
        <v>0.0</v>
      </c>
      <c r="BI22" s="10">
        <f>U22+AC22+AK22+AS22+BA22</f>
        <v>448.0</v>
      </c>
      <c r="BJ22" s="11">
        <f>BI22/'Premissas'!$B$30</f>
        <v>2.8</v>
      </c>
      <c r="BK22" s="8">
        <f>IF(A22&lt;=12,'Premissas'!$B$24,'Premissas'!$B$25)</f>
        <v>42000</v>
      </c>
      <c r="BL22" s="8">
        <f>ROUND(J22+V22+AD22+AL22+AT22+BB22,2)</f>
        <v>615000.0</v>
      </c>
      <c r="BM22" s="8">
        <f>ROUND(L22+V22+AD22+AL22+AT22+BB22,2)</f>
        <v>580200.0</v>
      </c>
      <c r="BN22" s="8">
        <f>ROUND(T22+AB22+AJ22+AR22+AZ22+BH22,2)</f>
        <v>103524.2</v>
      </c>
      <c r="BO22" s="8">
        <f>ROUND(O22+W22+AE22+AM22+AU22+BC22,2)</f>
        <v>526780.2</v>
      </c>
      <c r="BP22" s="8">
        <f>ROUND(P22+Q22+R22+S22+X22+Y22+Z22+BK22+AF22+AG22+AH22+AI22+AN22+AO22+AP22+AQ22+AV22+AW22+AX22+AY22+BD22+BE22+BF22+BG22,2)</f>
        <v>465256.0</v>
      </c>
      <c r="BQ22" s="8">
        <f>ROUND(BO22-BP22,2)</f>
        <v>61524.2</v>
      </c>
      <c r="BR22" s="8">
        <f>ROUND(BR21+BQ22,2)</f>
        <v>-156759.85</v>
      </c>
      <c r="BS22" s="8">
        <f>ROUND(BN22-BK22,2)</f>
        <v>61524.2</v>
      </c>
      <c r="BT22" s="8">
        <f>ROUND(BT21+N22-O22+V22-W22+AL22-AM22,2)</f>
        <v>403780.2</v>
      </c>
      <c r="BU22" s="10">
        <f>IF(BR22&gt;=0,A22,999)</f>
        <v>999</v>
      </c>
      <c r="BV22" s="8">
        <f>ROUND(BR22+200000,2)</f>
        <v>43240.15</v>
      </c>
    </row>
    <row r="23" spans="1:74">
      <c r="A23" s="10">
        <v>19</v>
      </c>
      <c r="B23" s="10">
        <f>'Base'!B23</f>
        <v>3000</v>
      </c>
      <c r="C23" s="10">
        <f>'Base'!C23</f>
        <v>2</v>
      </c>
      <c r="D23" s="10">
        <f>'Base'!D23</f>
        <v>10</v>
      </c>
      <c r="E23" s="10">
        <f>'Base'!E23</f>
        <v>3</v>
      </c>
      <c r="F23" s="10">
        <f>'Base'!F23</f>
        <v>6</v>
      </c>
      <c r="G23" s="10">
        <f>MAX(0,F23-F22)</f>
        <v>0</v>
      </c>
      <c r="H23" s="10">
        <f>ROUNDUP(B23/'Premissas'!$B$14,0)</f>
        <v>150000</v>
      </c>
      <c r="I23" s="8">
        <f>ROUND(B23*'Premissas'!$B$5,2)</f>
        <v>87000.0</v>
      </c>
      <c r="J23" s="8">
        <f>ROUND(I23*'Premissas'!$B$6,2)</f>
        <v>435000.0</v>
      </c>
      <c r="K23" s="8">
        <f>ROUND(J23*'Premissas'!$B$7,2)</f>
        <v>34800.0</v>
      </c>
      <c r="L23" s="8">
        <f>ROUND(J23-K23,2)</f>
        <v>400200.0</v>
      </c>
      <c r="M23" s="8">
        <f>ROUND(L23*'Premissas'!$B$8+B23*(1-'Premissas'!$B$7)*'Premissas'!$B$9*'Premissas'!$B$6,2)</f>
        <v>53419.8</v>
      </c>
      <c r="N23" s="8">
        <f>ROUND(L23-M23,2)</f>
        <v>346780.2</v>
      </c>
      <c r="O23" s="8">
        <f>IF(A23&gt;'Premissas'!$B$20,INDEX($N$5:$N$28,MAX(1,A23-'Premissas'!$B$20)),0)</f>
        <v>346780.2</v>
      </c>
      <c r="P23" s="8">
        <f>ROUND(L23*'Premissas'!$B$10,2)</f>
        <v>60030.0</v>
      </c>
      <c r="Q23" s="8">
        <f>ROUND(L23*'Premissas'!$B$11,2)</f>
        <v>12006.0</v>
      </c>
      <c r="R23" s="8">
        <f>ROUND(B23*'Premissas'!$B$28*'Premissas'!$B$6,2)</f>
        <v>225000.0</v>
      </c>
      <c r="S23" s="8">
        <f>ROUND(B23*'Premissas'!$B$13*'Premissas'!$B$6,2)</f>
        <v>15000.0</v>
      </c>
      <c r="T23" s="8">
        <f>ROUND(L23-M23-P23-Q23-R23-S23,2)</f>
        <v>34744.2</v>
      </c>
      <c r="U23" s="10">
        <f>C23*'Premissas'!$B$16</f>
        <v>160</v>
      </c>
      <c r="V23" s="8">
        <f>ROUND(C23*'Premissas'!$B$15,2)</f>
        <v>60000.0</v>
      </c>
      <c r="W23" s="8">
        <f>ROUND(V23*'Premissas'!$B$19+V22*(1-'Premissas'!$B$19),2)</f>
        <v>60000.0</v>
      </c>
      <c r="X23" s="8">
        <f>ROUND(U23*'Premissas'!$B$17,2)</f>
        <v>28800.0</v>
      </c>
      <c r="Y23" s="8">
        <f>ROUND(V23*'Premissas'!$B$10,2)</f>
        <v>9000.0</v>
      </c>
      <c r="Z23" s="8">
        <f>ROUND(W23*'Premissas'!$B$18,2)</f>
        <v>3000.0</v>
      </c>
      <c r="AA23" s="8">
        <f>ROUND(V23*'Premissas'!$B$18,2)</f>
        <v>3000.0</v>
      </c>
      <c r="AB23" s="8">
        <f>ROUND(V23-X23-Y23-AA23,2)</f>
        <v>19200.0</v>
      </c>
      <c r="AC23" s="10">
        <f>D23*'Ofertas'!$C$5</f>
        <v>120.0</v>
      </c>
      <c r="AD23" s="8">
        <f>ROUND(D23*'Ofertas'!$B$5,2)</f>
        <v>45000.0</v>
      </c>
      <c r="AE23" s="8">
        <f>AD23</f>
        <v>45000.0</v>
      </c>
      <c r="AF23" s="8">
        <f>ROUND(AC23*'Ofertas'!$D$5,2)</f>
        <v>14400.0</v>
      </c>
      <c r="AG23" s="8">
        <f>ROUND(AD23*'Premissas'!$B$10,2)</f>
        <v>6750.0</v>
      </c>
      <c r="AH23" s="8">
        <f>ROUND(AD23*'Premissas'!$B$31,2)</f>
        <v>2250.0</v>
      </c>
      <c r="AI23" s="8">
        <f>ROUND(D23*'Ofertas'!$H$5,2)</f>
        <v>1600.0</v>
      </c>
      <c r="AJ23" s="8">
        <f>ROUND(AD23-AF23-AG23-AH23-AI23,2)</f>
        <v>20000.0</v>
      </c>
      <c r="AK23" s="10">
        <f>E23*'Ofertas'!$C$6</f>
        <v>120.0</v>
      </c>
      <c r="AL23" s="8">
        <f>ROUND(E23*'Ofertas'!$B$6,2)</f>
        <v>54000.0</v>
      </c>
      <c r="AM23" s="8">
        <f>ROUND(AL23*'Premissas'!$B$32+AL22*(1-'Premissas'!$B$32),2)</f>
        <v>54000.0</v>
      </c>
      <c r="AN23" s="8">
        <f>ROUND(AK23*'Ofertas'!$D$6,2)</f>
        <v>21600.0</v>
      </c>
      <c r="AO23" s="8">
        <f>ROUND(AL23*'Premissas'!$B$10,2)</f>
        <v>8100.0</v>
      </c>
      <c r="AP23" s="8">
        <f>ROUND(AL23*'Premissas'!$B$31,2)</f>
        <v>2700.0</v>
      </c>
      <c r="AQ23" s="8">
        <f>ROUND(E23*'Ofertas'!$H$6,2)</f>
        <v>1800.0</v>
      </c>
      <c r="AR23" s="8">
        <f>ROUND(AL23-AN23-AO23-AP23-AQ23,2)</f>
        <v>19800.0</v>
      </c>
      <c r="AS23" s="10">
        <f>F23*'Ofertas'!$C$7</f>
        <v>48.0</v>
      </c>
      <c r="AT23" s="8">
        <f>ROUND(F23*'Ofertas'!$B$7,2)</f>
        <v>21000.0</v>
      </c>
      <c r="AU23" s="8">
        <f>AT23</f>
        <v>21000.0</v>
      </c>
      <c r="AV23" s="8">
        <f>ROUND(AS23*'Ofertas'!$D$7,2)</f>
        <v>5760.0</v>
      </c>
      <c r="AW23" s="8">
        <f>ROUND(AT23*'Premissas'!$B$10,2)</f>
        <v>3150.0</v>
      </c>
      <c r="AX23" s="8">
        <f>ROUND(AT23*'Premissas'!$B$31,2)</f>
        <v>1050.0</v>
      </c>
      <c r="AY23" s="8">
        <f>ROUND(F23*'Ofertas'!$H$7,2)</f>
        <v>1260.0</v>
      </c>
      <c r="AZ23" s="8">
        <f>ROUND(AT23-AV23-AW23-AX23-AY23,2)</f>
        <v>9780.0</v>
      </c>
      <c r="BA23" s="10">
        <f>G23*'Ofertas'!$C$8</f>
        <v>0.0</v>
      </c>
      <c r="BB23" s="8">
        <f>ROUND(G23*'Ofertas'!$B$8,2)</f>
        <v>0.0</v>
      </c>
      <c r="BC23" s="8">
        <f>BB23</f>
        <v>0.0</v>
      </c>
      <c r="BD23" s="8">
        <f>ROUND(BA23*'Ofertas'!$D$8,2)</f>
        <v>0.0</v>
      </c>
      <c r="BE23" s="8">
        <f>ROUND(BB23*'Premissas'!$B$10,2)</f>
        <v>0.0</v>
      </c>
      <c r="BF23" s="8">
        <f>ROUND(BB23*'Premissas'!$B$31,2)</f>
        <v>0.0</v>
      </c>
      <c r="BG23" s="8">
        <f>ROUND(G23*'Ofertas'!$H$8,2)</f>
        <v>0.0</v>
      </c>
      <c r="BH23" s="8">
        <f>ROUND(BB23-BD23-BE23-BF23-BG23,2)</f>
        <v>0.0</v>
      </c>
      <c r="BI23" s="10">
        <f>U23+AC23+AK23+AS23+BA23</f>
        <v>448.0</v>
      </c>
      <c r="BJ23" s="11">
        <f>BI23/'Premissas'!$B$30</f>
        <v>2.8</v>
      </c>
      <c r="BK23" s="8">
        <f>IF(A23&lt;=12,'Premissas'!$B$24,'Premissas'!$B$25)</f>
        <v>42000</v>
      </c>
      <c r="BL23" s="8">
        <f>ROUND(J23+V23+AD23+AL23+AT23+BB23,2)</f>
        <v>615000.0</v>
      </c>
      <c r="BM23" s="8">
        <f>ROUND(L23+V23+AD23+AL23+AT23+BB23,2)</f>
        <v>580200.0</v>
      </c>
      <c r="BN23" s="8">
        <f>ROUND(T23+AB23+AJ23+AR23+AZ23+BH23,2)</f>
        <v>103524.2</v>
      </c>
      <c r="BO23" s="8">
        <f>ROUND(O23+W23+AE23+AM23+AU23+BC23,2)</f>
        <v>526780.2</v>
      </c>
      <c r="BP23" s="8">
        <f>ROUND(P23+Q23+R23+S23+X23+Y23+Z23+BK23+AF23+AG23+AH23+AI23+AN23+AO23+AP23+AQ23+AV23+AW23+AX23+AY23+BD23+BE23+BF23+BG23,2)</f>
        <v>465256.0</v>
      </c>
      <c r="BQ23" s="8">
        <f>ROUND(BO23-BP23,2)</f>
        <v>61524.2</v>
      </c>
      <c r="BR23" s="8">
        <f>ROUND(BR22+BQ23,2)</f>
        <v>-95235.65</v>
      </c>
      <c r="BS23" s="8">
        <f>ROUND(BN23-BK23,2)</f>
        <v>61524.2</v>
      </c>
      <c r="BT23" s="8">
        <f>ROUND(BT22+N23-O23+V23-W23+AL23-AM23,2)</f>
        <v>403780.2</v>
      </c>
      <c r="BU23" s="10">
        <f>IF(BR23&gt;=0,A23,999)</f>
        <v>999</v>
      </c>
      <c r="BV23" s="8">
        <f>ROUND(BR23+200000,2)</f>
        <v>104764.35</v>
      </c>
    </row>
    <row r="24" spans="1:74">
      <c r="A24" s="10">
        <v>20</v>
      </c>
      <c r="B24" s="10">
        <f>'Base'!B24</f>
        <v>3000</v>
      </c>
      <c r="C24" s="10">
        <f>'Base'!C24</f>
        <v>2</v>
      </c>
      <c r="D24" s="10">
        <f>'Base'!D24</f>
        <v>10</v>
      </c>
      <c r="E24" s="10">
        <f>'Base'!E24</f>
        <v>3</v>
      </c>
      <c r="F24" s="10">
        <f>'Base'!F24</f>
        <v>6</v>
      </c>
      <c r="G24" s="10">
        <f>MAX(0,F24-F23)</f>
        <v>0</v>
      </c>
      <c r="H24" s="10">
        <f>ROUNDUP(B24/'Premissas'!$B$14,0)</f>
        <v>150000</v>
      </c>
      <c r="I24" s="8">
        <f>ROUND(B24*'Premissas'!$B$5,2)</f>
        <v>87000.0</v>
      </c>
      <c r="J24" s="8">
        <f>ROUND(I24*'Premissas'!$B$6,2)</f>
        <v>435000.0</v>
      </c>
      <c r="K24" s="8">
        <f>ROUND(J24*'Premissas'!$B$7,2)</f>
        <v>34800.0</v>
      </c>
      <c r="L24" s="8">
        <f>ROUND(J24-K24,2)</f>
        <v>400200.0</v>
      </c>
      <c r="M24" s="8">
        <f>ROUND(L24*'Premissas'!$B$8+B24*(1-'Premissas'!$B$7)*'Premissas'!$B$9*'Premissas'!$B$6,2)</f>
        <v>53419.8</v>
      </c>
      <c r="N24" s="8">
        <f>ROUND(L24-M24,2)</f>
        <v>346780.2</v>
      </c>
      <c r="O24" s="8">
        <f>IF(A24&gt;'Premissas'!$B$20,INDEX($N$5:$N$28,MAX(1,A24-'Premissas'!$B$20)),0)</f>
        <v>346780.2</v>
      </c>
      <c r="P24" s="8">
        <f>ROUND(L24*'Premissas'!$B$10,2)</f>
        <v>60030.0</v>
      </c>
      <c r="Q24" s="8">
        <f>ROUND(L24*'Premissas'!$B$11,2)</f>
        <v>12006.0</v>
      </c>
      <c r="R24" s="8">
        <f>ROUND(B24*'Premissas'!$B$28*'Premissas'!$B$6,2)</f>
        <v>225000.0</v>
      </c>
      <c r="S24" s="8">
        <f>ROUND(B24*'Premissas'!$B$13*'Premissas'!$B$6,2)</f>
        <v>15000.0</v>
      </c>
      <c r="T24" s="8">
        <f>ROUND(L24-M24-P24-Q24-R24-S24,2)</f>
        <v>34744.2</v>
      </c>
      <c r="U24" s="10">
        <f>C24*'Premissas'!$B$16</f>
        <v>160</v>
      </c>
      <c r="V24" s="8">
        <f>ROUND(C24*'Premissas'!$B$15,2)</f>
        <v>60000.0</v>
      </c>
      <c r="W24" s="8">
        <f>ROUND(V24*'Premissas'!$B$19+V23*(1-'Premissas'!$B$19),2)</f>
        <v>60000.0</v>
      </c>
      <c r="X24" s="8">
        <f>ROUND(U24*'Premissas'!$B$17,2)</f>
        <v>28800.0</v>
      </c>
      <c r="Y24" s="8">
        <f>ROUND(V24*'Premissas'!$B$10,2)</f>
        <v>9000.0</v>
      </c>
      <c r="Z24" s="8">
        <f>ROUND(W24*'Premissas'!$B$18,2)</f>
        <v>3000.0</v>
      </c>
      <c r="AA24" s="8">
        <f>ROUND(V24*'Premissas'!$B$18,2)</f>
        <v>3000.0</v>
      </c>
      <c r="AB24" s="8">
        <f>ROUND(V24-X24-Y24-AA24,2)</f>
        <v>19200.0</v>
      </c>
      <c r="AC24" s="10">
        <f>D24*'Ofertas'!$C$5</f>
        <v>120.0</v>
      </c>
      <c r="AD24" s="8">
        <f>ROUND(D24*'Ofertas'!$B$5,2)</f>
        <v>45000.0</v>
      </c>
      <c r="AE24" s="8">
        <f>AD24</f>
        <v>45000.0</v>
      </c>
      <c r="AF24" s="8">
        <f>ROUND(AC24*'Ofertas'!$D$5,2)</f>
        <v>14400.0</v>
      </c>
      <c r="AG24" s="8">
        <f>ROUND(AD24*'Premissas'!$B$10,2)</f>
        <v>6750.0</v>
      </c>
      <c r="AH24" s="8">
        <f>ROUND(AD24*'Premissas'!$B$31,2)</f>
        <v>2250.0</v>
      </c>
      <c r="AI24" s="8">
        <f>ROUND(D24*'Ofertas'!$H$5,2)</f>
        <v>1600.0</v>
      </c>
      <c r="AJ24" s="8">
        <f>ROUND(AD24-AF24-AG24-AH24-AI24,2)</f>
        <v>20000.0</v>
      </c>
      <c r="AK24" s="10">
        <f>E24*'Ofertas'!$C$6</f>
        <v>120.0</v>
      </c>
      <c r="AL24" s="8">
        <f>ROUND(E24*'Ofertas'!$B$6,2)</f>
        <v>54000.0</v>
      </c>
      <c r="AM24" s="8">
        <f>ROUND(AL24*'Premissas'!$B$32+AL23*(1-'Premissas'!$B$32),2)</f>
        <v>54000.0</v>
      </c>
      <c r="AN24" s="8">
        <f>ROUND(AK24*'Ofertas'!$D$6,2)</f>
        <v>21600.0</v>
      </c>
      <c r="AO24" s="8">
        <f>ROUND(AL24*'Premissas'!$B$10,2)</f>
        <v>8100.0</v>
      </c>
      <c r="AP24" s="8">
        <f>ROUND(AL24*'Premissas'!$B$31,2)</f>
        <v>2700.0</v>
      </c>
      <c r="AQ24" s="8">
        <f>ROUND(E24*'Ofertas'!$H$6,2)</f>
        <v>1800.0</v>
      </c>
      <c r="AR24" s="8">
        <f>ROUND(AL24-AN24-AO24-AP24-AQ24,2)</f>
        <v>19800.0</v>
      </c>
      <c r="AS24" s="10">
        <f>F24*'Ofertas'!$C$7</f>
        <v>48.0</v>
      </c>
      <c r="AT24" s="8">
        <f>ROUND(F24*'Ofertas'!$B$7,2)</f>
        <v>21000.0</v>
      </c>
      <c r="AU24" s="8">
        <f>AT24</f>
        <v>21000.0</v>
      </c>
      <c r="AV24" s="8">
        <f>ROUND(AS24*'Ofertas'!$D$7,2)</f>
        <v>5760.0</v>
      </c>
      <c r="AW24" s="8">
        <f>ROUND(AT24*'Premissas'!$B$10,2)</f>
        <v>3150.0</v>
      </c>
      <c r="AX24" s="8">
        <f>ROUND(AT24*'Premissas'!$B$31,2)</f>
        <v>1050.0</v>
      </c>
      <c r="AY24" s="8">
        <f>ROUND(F24*'Ofertas'!$H$7,2)</f>
        <v>1260.0</v>
      </c>
      <c r="AZ24" s="8">
        <f>ROUND(AT24-AV24-AW24-AX24-AY24,2)</f>
        <v>9780.0</v>
      </c>
      <c r="BA24" s="10">
        <f>G24*'Ofertas'!$C$8</f>
        <v>0.0</v>
      </c>
      <c r="BB24" s="8">
        <f>ROUND(G24*'Ofertas'!$B$8,2)</f>
        <v>0.0</v>
      </c>
      <c r="BC24" s="8">
        <f>BB24</f>
        <v>0.0</v>
      </c>
      <c r="BD24" s="8">
        <f>ROUND(BA24*'Ofertas'!$D$8,2)</f>
        <v>0.0</v>
      </c>
      <c r="BE24" s="8">
        <f>ROUND(BB24*'Premissas'!$B$10,2)</f>
        <v>0.0</v>
      </c>
      <c r="BF24" s="8">
        <f>ROUND(BB24*'Premissas'!$B$31,2)</f>
        <v>0.0</v>
      </c>
      <c r="BG24" s="8">
        <f>ROUND(G24*'Ofertas'!$H$8,2)</f>
        <v>0.0</v>
      </c>
      <c r="BH24" s="8">
        <f>ROUND(BB24-BD24-BE24-BF24-BG24,2)</f>
        <v>0.0</v>
      </c>
      <c r="BI24" s="10">
        <f>U24+AC24+AK24+AS24+BA24</f>
        <v>448.0</v>
      </c>
      <c r="BJ24" s="11">
        <f>BI24/'Premissas'!$B$30</f>
        <v>2.8</v>
      </c>
      <c r="BK24" s="8">
        <f>IF(A24&lt;=12,'Premissas'!$B$24,'Premissas'!$B$25)</f>
        <v>42000</v>
      </c>
      <c r="BL24" s="8">
        <f>ROUND(J24+V24+AD24+AL24+AT24+BB24,2)</f>
        <v>615000.0</v>
      </c>
      <c r="BM24" s="8">
        <f>ROUND(L24+V24+AD24+AL24+AT24+BB24,2)</f>
        <v>580200.0</v>
      </c>
      <c r="BN24" s="8">
        <f>ROUND(T24+AB24+AJ24+AR24+AZ24+BH24,2)</f>
        <v>103524.2</v>
      </c>
      <c r="BO24" s="8">
        <f>ROUND(O24+W24+AE24+AM24+AU24+BC24,2)</f>
        <v>526780.2</v>
      </c>
      <c r="BP24" s="8">
        <f>ROUND(P24+Q24+R24+S24+X24+Y24+Z24+BK24+AF24+AG24+AH24+AI24+AN24+AO24+AP24+AQ24+AV24+AW24+AX24+AY24+BD24+BE24+BF24+BG24,2)</f>
        <v>465256.0</v>
      </c>
      <c r="BQ24" s="8">
        <f>ROUND(BO24-BP24,2)</f>
        <v>61524.2</v>
      </c>
      <c r="BR24" s="8">
        <f>ROUND(BR23+BQ24,2)</f>
        <v>-33711.45</v>
      </c>
      <c r="BS24" s="8">
        <f>ROUND(BN24-BK24,2)</f>
        <v>61524.2</v>
      </c>
      <c r="BT24" s="8">
        <f>ROUND(BT23+N24-O24+V24-W24+AL24-AM24,2)</f>
        <v>403780.2</v>
      </c>
      <c r="BU24" s="10">
        <f>IF(BR24&gt;=0,A24,999)</f>
        <v>999</v>
      </c>
      <c r="BV24" s="8">
        <f>ROUND(BR24+200000,2)</f>
        <v>166288.55</v>
      </c>
    </row>
    <row r="25" spans="1:74">
      <c r="A25" s="10">
        <v>21</v>
      </c>
      <c r="B25" s="10">
        <f>'Base'!B25</f>
        <v>3000</v>
      </c>
      <c r="C25" s="10">
        <f>'Base'!C25</f>
        <v>2</v>
      </c>
      <c r="D25" s="10">
        <f>'Base'!D25</f>
        <v>10</v>
      </c>
      <c r="E25" s="10">
        <f>'Base'!E25</f>
        <v>3</v>
      </c>
      <c r="F25" s="10">
        <f>'Base'!F25</f>
        <v>6</v>
      </c>
      <c r="G25" s="10">
        <f>MAX(0,F25-F24)</f>
        <v>0</v>
      </c>
      <c r="H25" s="10">
        <f>ROUNDUP(B25/'Premissas'!$B$14,0)</f>
        <v>150000</v>
      </c>
      <c r="I25" s="8">
        <f>ROUND(B25*'Premissas'!$B$5,2)</f>
        <v>87000.0</v>
      </c>
      <c r="J25" s="8">
        <f>ROUND(I25*'Premissas'!$B$6,2)</f>
        <v>435000.0</v>
      </c>
      <c r="K25" s="8">
        <f>ROUND(J25*'Premissas'!$B$7,2)</f>
        <v>34800.0</v>
      </c>
      <c r="L25" s="8">
        <f>ROUND(J25-K25,2)</f>
        <v>400200.0</v>
      </c>
      <c r="M25" s="8">
        <f>ROUND(L25*'Premissas'!$B$8+B25*(1-'Premissas'!$B$7)*'Premissas'!$B$9*'Premissas'!$B$6,2)</f>
        <v>53419.8</v>
      </c>
      <c r="N25" s="8">
        <f>ROUND(L25-M25,2)</f>
        <v>346780.2</v>
      </c>
      <c r="O25" s="8">
        <f>IF(A25&gt;'Premissas'!$B$20,INDEX($N$5:$N$28,MAX(1,A25-'Premissas'!$B$20)),0)</f>
        <v>346780.2</v>
      </c>
      <c r="P25" s="8">
        <f>ROUND(L25*'Premissas'!$B$10,2)</f>
        <v>60030.0</v>
      </c>
      <c r="Q25" s="8">
        <f>ROUND(L25*'Premissas'!$B$11,2)</f>
        <v>12006.0</v>
      </c>
      <c r="R25" s="8">
        <f>ROUND(B25*'Premissas'!$B$28*'Premissas'!$B$6,2)</f>
        <v>225000.0</v>
      </c>
      <c r="S25" s="8">
        <f>ROUND(B25*'Premissas'!$B$13*'Premissas'!$B$6,2)</f>
        <v>15000.0</v>
      </c>
      <c r="T25" s="8">
        <f>ROUND(L25-M25-P25-Q25-R25-S25,2)</f>
        <v>34744.2</v>
      </c>
      <c r="U25" s="10">
        <f>C25*'Premissas'!$B$16</f>
        <v>160</v>
      </c>
      <c r="V25" s="8">
        <f>ROUND(C25*'Premissas'!$B$15,2)</f>
        <v>60000.0</v>
      </c>
      <c r="W25" s="8">
        <f>ROUND(V25*'Premissas'!$B$19+V24*(1-'Premissas'!$B$19),2)</f>
        <v>60000.0</v>
      </c>
      <c r="X25" s="8">
        <f>ROUND(U25*'Premissas'!$B$17,2)</f>
        <v>28800.0</v>
      </c>
      <c r="Y25" s="8">
        <f>ROUND(V25*'Premissas'!$B$10,2)</f>
        <v>9000.0</v>
      </c>
      <c r="Z25" s="8">
        <f>ROUND(W25*'Premissas'!$B$18,2)</f>
        <v>3000.0</v>
      </c>
      <c r="AA25" s="8">
        <f>ROUND(V25*'Premissas'!$B$18,2)</f>
        <v>3000.0</v>
      </c>
      <c r="AB25" s="8">
        <f>ROUND(V25-X25-Y25-AA25,2)</f>
        <v>19200.0</v>
      </c>
      <c r="AC25" s="10">
        <f>D25*'Ofertas'!$C$5</f>
        <v>120.0</v>
      </c>
      <c r="AD25" s="8">
        <f>ROUND(D25*'Ofertas'!$B$5,2)</f>
        <v>45000.0</v>
      </c>
      <c r="AE25" s="8">
        <f>AD25</f>
        <v>45000.0</v>
      </c>
      <c r="AF25" s="8">
        <f>ROUND(AC25*'Ofertas'!$D$5,2)</f>
        <v>14400.0</v>
      </c>
      <c r="AG25" s="8">
        <f>ROUND(AD25*'Premissas'!$B$10,2)</f>
        <v>6750.0</v>
      </c>
      <c r="AH25" s="8">
        <f>ROUND(AD25*'Premissas'!$B$31,2)</f>
        <v>2250.0</v>
      </c>
      <c r="AI25" s="8">
        <f>ROUND(D25*'Ofertas'!$H$5,2)</f>
        <v>1600.0</v>
      </c>
      <c r="AJ25" s="8">
        <f>ROUND(AD25-AF25-AG25-AH25-AI25,2)</f>
        <v>20000.0</v>
      </c>
      <c r="AK25" s="10">
        <f>E25*'Ofertas'!$C$6</f>
        <v>120.0</v>
      </c>
      <c r="AL25" s="8">
        <f>ROUND(E25*'Ofertas'!$B$6,2)</f>
        <v>54000.0</v>
      </c>
      <c r="AM25" s="8">
        <f>ROUND(AL25*'Premissas'!$B$32+AL24*(1-'Premissas'!$B$32),2)</f>
        <v>54000.0</v>
      </c>
      <c r="AN25" s="8">
        <f>ROUND(AK25*'Ofertas'!$D$6,2)</f>
        <v>21600.0</v>
      </c>
      <c r="AO25" s="8">
        <f>ROUND(AL25*'Premissas'!$B$10,2)</f>
        <v>8100.0</v>
      </c>
      <c r="AP25" s="8">
        <f>ROUND(AL25*'Premissas'!$B$31,2)</f>
        <v>2700.0</v>
      </c>
      <c r="AQ25" s="8">
        <f>ROUND(E25*'Ofertas'!$H$6,2)</f>
        <v>1800.0</v>
      </c>
      <c r="AR25" s="8">
        <f>ROUND(AL25-AN25-AO25-AP25-AQ25,2)</f>
        <v>19800.0</v>
      </c>
      <c r="AS25" s="10">
        <f>F25*'Ofertas'!$C$7</f>
        <v>48.0</v>
      </c>
      <c r="AT25" s="8">
        <f>ROUND(F25*'Ofertas'!$B$7,2)</f>
        <v>21000.0</v>
      </c>
      <c r="AU25" s="8">
        <f>AT25</f>
        <v>21000.0</v>
      </c>
      <c r="AV25" s="8">
        <f>ROUND(AS25*'Ofertas'!$D$7,2)</f>
        <v>5760.0</v>
      </c>
      <c r="AW25" s="8">
        <f>ROUND(AT25*'Premissas'!$B$10,2)</f>
        <v>3150.0</v>
      </c>
      <c r="AX25" s="8">
        <f>ROUND(AT25*'Premissas'!$B$31,2)</f>
        <v>1050.0</v>
      </c>
      <c r="AY25" s="8">
        <f>ROUND(F25*'Ofertas'!$H$7,2)</f>
        <v>1260.0</v>
      </c>
      <c r="AZ25" s="8">
        <f>ROUND(AT25-AV25-AW25-AX25-AY25,2)</f>
        <v>9780.0</v>
      </c>
      <c r="BA25" s="10">
        <f>G25*'Ofertas'!$C$8</f>
        <v>0.0</v>
      </c>
      <c r="BB25" s="8">
        <f>ROUND(G25*'Ofertas'!$B$8,2)</f>
        <v>0.0</v>
      </c>
      <c r="BC25" s="8">
        <f>BB25</f>
        <v>0.0</v>
      </c>
      <c r="BD25" s="8">
        <f>ROUND(BA25*'Ofertas'!$D$8,2)</f>
        <v>0.0</v>
      </c>
      <c r="BE25" s="8">
        <f>ROUND(BB25*'Premissas'!$B$10,2)</f>
        <v>0.0</v>
      </c>
      <c r="BF25" s="8">
        <f>ROUND(BB25*'Premissas'!$B$31,2)</f>
        <v>0.0</v>
      </c>
      <c r="BG25" s="8">
        <f>ROUND(G25*'Ofertas'!$H$8,2)</f>
        <v>0.0</v>
      </c>
      <c r="BH25" s="8">
        <f>ROUND(BB25-BD25-BE25-BF25-BG25,2)</f>
        <v>0.0</v>
      </c>
      <c r="BI25" s="10">
        <f>U25+AC25+AK25+AS25+BA25</f>
        <v>448.0</v>
      </c>
      <c r="BJ25" s="11">
        <f>BI25/'Premissas'!$B$30</f>
        <v>2.8</v>
      </c>
      <c r="BK25" s="8">
        <f>IF(A25&lt;=12,'Premissas'!$B$24,'Premissas'!$B$25)</f>
        <v>42000</v>
      </c>
      <c r="BL25" s="8">
        <f>ROUND(J25+V25+AD25+AL25+AT25+BB25,2)</f>
        <v>615000.0</v>
      </c>
      <c r="BM25" s="8">
        <f>ROUND(L25+V25+AD25+AL25+AT25+BB25,2)</f>
        <v>580200.0</v>
      </c>
      <c r="BN25" s="8">
        <f>ROUND(T25+AB25+AJ25+AR25+AZ25+BH25,2)</f>
        <v>103524.2</v>
      </c>
      <c r="BO25" s="8">
        <f>ROUND(O25+W25+AE25+AM25+AU25+BC25,2)</f>
        <v>526780.2</v>
      </c>
      <c r="BP25" s="8">
        <f>ROUND(P25+Q25+R25+S25+X25+Y25+Z25+BK25+AF25+AG25+AH25+AI25+AN25+AO25+AP25+AQ25+AV25+AW25+AX25+AY25+BD25+BE25+BF25+BG25,2)</f>
        <v>465256.0</v>
      </c>
      <c r="BQ25" s="8">
        <f>ROUND(BO25-BP25,2)</f>
        <v>61524.2</v>
      </c>
      <c r="BR25" s="8">
        <f>ROUND(BR24+BQ25,2)</f>
        <v>27812.75</v>
      </c>
      <c r="BS25" s="8">
        <f>ROUND(BN25-BK25,2)</f>
        <v>61524.2</v>
      </c>
      <c r="BT25" s="8">
        <f>ROUND(BT24+N25-O25+V25-W25+AL25-AM25,2)</f>
        <v>403780.2</v>
      </c>
      <c r="BU25" s="10">
        <f>IF(BR25&gt;=0,A25,999)</f>
        <v>21</v>
      </c>
      <c r="BV25" s="8">
        <f>ROUND(BR25+200000,2)</f>
        <v>227812.75</v>
      </c>
    </row>
    <row r="26" spans="1:74">
      <c r="A26" s="10">
        <v>22</v>
      </c>
      <c r="B26" s="10">
        <f>'Base'!B26</f>
        <v>3000</v>
      </c>
      <c r="C26" s="10">
        <f>'Base'!C26</f>
        <v>2</v>
      </c>
      <c r="D26" s="10">
        <f>'Base'!D26</f>
        <v>10</v>
      </c>
      <c r="E26" s="10">
        <f>'Base'!E26</f>
        <v>3</v>
      </c>
      <c r="F26" s="10">
        <f>'Base'!F26</f>
        <v>6</v>
      </c>
      <c r="G26" s="10">
        <f>MAX(0,F26-F25)</f>
        <v>0</v>
      </c>
      <c r="H26" s="10">
        <f>ROUNDUP(B26/'Premissas'!$B$14,0)</f>
        <v>150000</v>
      </c>
      <c r="I26" s="8">
        <f>ROUND(B26*'Premissas'!$B$5,2)</f>
        <v>87000.0</v>
      </c>
      <c r="J26" s="8">
        <f>ROUND(I26*'Premissas'!$B$6,2)</f>
        <v>435000.0</v>
      </c>
      <c r="K26" s="8">
        <f>ROUND(J26*'Premissas'!$B$7,2)</f>
        <v>34800.0</v>
      </c>
      <c r="L26" s="8">
        <f>ROUND(J26-K26,2)</f>
        <v>400200.0</v>
      </c>
      <c r="M26" s="8">
        <f>ROUND(L26*'Premissas'!$B$8+B26*(1-'Premissas'!$B$7)*'Premissas'!$B$9*'Premissas'!$B$6,2)</f>
        <v>53419.8</v>
      </c>
      <c r="N26" s="8">
        <f>ROUND(L26-M26,2)</f>
        <v>346780.2</v>
      </c>
      <c r="O26" s="8">
        <f>IF(A26&gt;'Premissas'!$B$20,INDEX($N$5:$N$28,MAX(1,A26-'Premissas'!$B$20)),0)</f>
        <v>346780.2</v>
      </c>
      <c r="P26" s="8">
        <f>ROUND(L26*'Premissas'!$B$10,2)</f>
        <v>60030.0</v>
      </c>
      <c r="Q26" s="8">
        <f>ROUND(L26*'Premissas'!$B$11,2)</f>
        <v>12006.0</v>
      </c>
      <c r="R26" s="8">
        <f>ROUND(B26*'Premissas'!$B$28*'Premissas'!$B$6,2)</f>
        <v>225000.0</v>
      </c>
      <c r="S26" s="8">
        <f>ROUND(B26*'Premissas'!$B$13*'Premissas'!$B$6,2)</f>
        <v>15000.0</v>
      </c>
      <c r="T26" s="8">
        <f>ROUND(L26-M26-P26-Q26-R26-S26,2)</f>
        <v>34744.2</v>
      </c>
      <c r="U26" s="10">
        <f>C26*'Premissas'!$B$16</f>
        <v>160</v>
      </c>
      <c r="V26" s="8">
        <f>ROUND(C26*'Premissas'!$B$15,2)</f>
        <v>60000.0</v>
      </c>
      <c r="W26" s="8">
        <f>ROUND(V26*'Premissas'!$B$19+V25*(1-'Premissas'!$B$19),2)</f>
        <v>60000.0</v>
      </c>
      <c r="X26" s="8">
        <f>ROUND(U26*'Premissas'!$B$17,2)</f>
        <v>28800.0</v>
      </c>
      <c r="Y26" s="8">
        <f>ROUND(V26*'Premissas'!$B$10,2)</f>
        <v>9000.0</v>
      </c>
      <c r="Z26" s="8">
        <f>ROUND(W26*'Premissas'!$B$18,2)</f>
        <v>3000.0</v>
      </c>
      <c r="AA26" s="8">
        <f>ROUND(V26*'Premissas'!$B$18,2)</f>
        <v>3000.0</v>
      </c>
      <c r="AB26" s="8">
        <f>ROUND(V26-X26-Y26-AA26,2)</f>
        <v>19200.0</v>
      </c>
      <c r="AC26" s="10">
        <f>D26*'Ofertas'!$C$5</f>
        <v>120.0</v>
      </c>
      <c r="AD26" s="8">
        <f>ROUND(D26*'Ofertas'!$B$5,2)</f>
        <v>45000.0</v>
      </c>
      <c r="AE26" s="8">
        <f>AD26</f>
        <v>45000.0</v>
      </c>
      <c r="AF26" s="8">
        <f>ROUND(AC26*'Ofertas'!$D$5,2)</f>
        <v>14400.0</v>
      </c>
      <c r="AG26" s="8">
        <f>ROUND(AD26*'Premissas'!$B$10,2)</f>
        <v>6750.0</v>
      </c>
      <c r="AH26" s="8">
        <f>ROUND(AD26*'Premissas'!$B$31,2)</f>
        <v>2250.0</v>
      </c>
      <c r="AI26" s="8">
        <f>ROUND(D26*'Ofertas'!$H$5,2)</f>
        <v>1600.0</v>
      </c>
      <c r="AJ26" s="8">
        <f>ROUND(AD26-AF26-AG26-AH26-AI26,2)</f>
        <v>20000.0</v>
      </c>
      <c r="AK26" s="10">
        <f>E26*'Ofertas'!$C$6</f>
        <v>120.0</v>
      </c>
      <c r="AL26" s="8">
        <f>ROUND(E26*'Ofertas'!$B$6,2)</f>
        <v>54000.0</v>
      </c>
      <c r="AM26" s="8">
        <f>ROUND(AL26*'Premissas'!$B$32+AL25*(1-'Premissas'!$B$32),2)</f>
        <v>54000.0</v>
      </c>
      <c r="AN26" s="8">
        <f>ROUND(AK26*'Ofertas'!$D$6,2)</f>
        <v>21600.0</v>
      </c>
      <c r="AO26" s="8">
        <f>ROUND(AL26*'Premissas'!$B$10,2)</f>
        <v>8100.0</v>
      </c>
      <c r="AP26" s="8">
        <f>ROUND(AL26*'Premissas'!$B$31,2)</f>
        <v>2700.0</v>
      </c>
      <c r="AQ26" s="8">
        <f>ROUND(E26*'Ofertas'!$H$6,2)</f>
        <v>1800.0</v>
      </c>
      <c r="AR26" s="8">
        <f>ROUND(AL26-AN26-AO26-AP26-AQ26,2)</f>
        <v>19800.0</v>
      </c>
      <c r="AS26" s="10">
        <f>F26*'Ofertas'!$C$7</f>
        <v>48.0</v>
      </c>
      <c r="AT26" s="8">
        <f>ROUND(F26*'Ofertas'!$B$7,2)</f>
        <v>21000.0</v>
      </c>
      <c r="AU26" s="8">
        <f>AT26</f>
        <v>21000.0</v>
      </c>
      <c r="AV26" s="8">
        <f>ROUND(AS26*'Ofertas'!$D$7,2)</f>
        <v>5760.0</v>
      </c>
      <c r="AW26" s="8">
        <f>ROUND(AT26*'Premissas'!$B$10,2)</f>
        <v>3150.0</v>
      </c>
      <c r="AX26" s="8">
        <f>ROUND(AT26*'Premissas'!$B$31,2)</f>
        <v>1050.0</v>
      </c>
      <c r="AY26" s="8">
        <f>ROUND(F26*'Ofertas'!$H$7,2)</f>
        <v>1260.0</v>
      </c>
      <c r="AZ26" s="8">
        <f>ROUND(AT26-AV26-AW26-AX26-AY26,2)</f>
        <v>9780.0</v>
      </c>
      <c r="BA26" s="10">
        <f>G26*'Ofertas'!$C$8</f>
        <v>0.0</v>
      </c>
      <c r="BB26" s="8">
        <f>ROUND(G26*'Ofertas'!$B$8,2)</f>
        <v>0.0</v>
      </c>
      <c r="BC26" s="8">
        <f>BB26</f>
        <v>0.0</v>
      </c>
      <c r="BD26" s="8">
        <f>ROUND(BA26*'Ofertas'!$D$8,2)</f>
        <v>0.0</v>
      </c>
      <c r="BE26" s="8">
        <f>ROUND(BB26*'Premissas'!$B$10,2)</f>
        <v>0.0</v>
      </c>
      <c r="BF26" s="8">
        <f>ROUND(BB26*'Premissas'!$B$31,2)</f>
        <v>0.0</v>
      </c>
      <c r="BG26" s="8">
        <f>ROUND(G26*'Ofertas'!$H$8,2)</f>
        <v>0.0</v>
      </c>
      <c r="BH26" s="8">
        <f>ROUND(BB26-BD26-BE26-BF26-BG26,2)</f>
        <v>0.0</v>
      </c>
      <c r="BI26" s="10">
        <f>U26+AC26+AK26+AS26+BA26</f>
        <v>448.0</v>
      </c>
      <c r="BJ26" s="11">
        <f>BI26/'Premissas'!$B$30</f>
        <v>2.8</v>
      </c>
      <c r="BK26" s="8">
        <f>IF(A26&lt;=12,'Premissas'!$B$24,'Premissas'!$B$25)</f>
        <v>42000</v>
      </c>
      <c r="BL26" s="8">
        <f>ROUND(J26+V26+AD26+AL26+AT26+BB26,2)</f>
        <v>615000.0</v>
      </c>
      <c r="BM26" s="8">
        <f>ROUND(L26+V26+AD26+AL26+AT26+BB26,2)</f>
        <v>580200.0</v>
      </c>
      <c r="BN26" s="8">
        <f>ROUND(T26+AB26+AJ26+AR26+AZ26+BH26,2)</f>
        <v>103524.2</v>
      </c>
      <c r="BO26" s="8">
        <f>ROUND(O26+W26+AE26+AM26+AU26+BC26,2)</f>
        <v>526780.2</v>
      </c>
      <c r="BP26" s="8">
        <f>ROUND(P26+Q26+R26+S26+X26+Y26+Z26+BK26+AF26+AG26+AH26+AI26+AN26+AO26+AP26+AQ26+AV26+AW26+AX26+AY26+BD26+BE26+BF26+BG26,2)</f>
        <v>465256.0</v>
      </c>
      <c r="BQ26" s="8">
        <f>ROUND(BO26-BP26,2)</f>
        <v>61524.2</v>
      </c>
      <c r="BR26" s="8">
        <f>ROUND(BR25+BQ26,2)</f>
        <v>89336.95</v>
      </c>
      <c r="BS26" s="8">
        <f>ROUND(BN26-BK26,2)</f>
        <v>61524.2</v>
      </c>
      <c r="BT26" s="8">
        <f>ROUND(BT25+N26-O26+V26-W26+AL26-AM26,2)</f>
        <v>403780.2</v>
      </c>
      <c r="BU26" s="10">
        <f>IF(BR26&gt;=0,A26,999)</f>
        <v>22</v>
      </c>
      <c r="BV26" s="8">
        <f>ROUND(BR26+200000,2)</f>
        <v>289336.95</v>
      </c>
    </row>
    <row r="27" spans="1:74">
      <c r="A27" s="10">
        <v>23</v>
      </c>
      <c r="B27" s="10">
        <f>'Base'!B27</f>
        <v>3000</v>
      </c>
      <c r="C27" s="10">
        <f>'Base'!C27</f>
        <v>2</v>
      </c>
      <c r="D27" s="10">
        <f>'Base'!D27</f>
        <v>10</v>
      </c>
      <c r="E27" s="10">
        <f>'Base'!E27</f>
        <v>3</v>
      </c>
      <c r="F27" s="10">
        <f>'Base'!F27</f>
        <v>6</v>
      </c>
      <c r="G27" s="10">
        <f>MAX(0,F27-F26)</f>
        <v>0</v>
      </c>
      <c r="H27" s="10">
        <f>ROUNDUP(B27/'Premissas'!$B$14,0)</f>
        <v>150000</v>
      </c>
      <c r="I27" s="8">
        <f>ROUND(B27*'Premissas'!$B$5,2)</f>
        <v>87000.0</v>
      </c>
      <c r="J27" s="8">
        <f>ROUND(I27*'Premissas'!$B$6,2)</f>
        <v>435000.0</v>
      </c>
      <c r="K27" s="8">
        <f>ROUND(J27*'Premissas'!$B$7,2)</f>
        <v>34800.0</v>
      </c>
      <c r="L27" s="8">
        <f>ROUND(J27-K27,2)</f>
        <v>400200.0</v>
      </c>
      <c r="M27" s="8">
        <f>ROUND(L27*'Premissas'!$B$8+B27*(1-'Premissas'!$B$7)*'Premissas'!$B$9*'Premissas'!$B$6,2)</f>
        <v>53419.8</v>
      </c>
      <c r="N27" s="8">
        <f>ROUND(L27-M27,2)</f>
        <v>346780.2</v>
      </c>
      <c r="O27" s="8">
        <f>IF(A27&gt;'Premissas'!$B$20,INDEX($N$5:$N$28,MAX(1,A27-'Premissas'!$B$20)),0)</f>
        <v>346780.2</v>
      </c>
      <c r="P27" s="8">
        <f>ROUND(L27*'Premissas'!$B$10,2)</f>
        <v>60030.0</v>
      </c>
      <c r="Q27" s="8">
        <f>ROUND(L27*'Premissas'!$B$11,2)</f>
        <v>12006.0</v>
      </c>
      <c r="R27" s="8">
        <f>ROUND(B27*'Premissas'!$B$28*'Premissas'!$B$6,2)</f>
        <v>225000.0</v>
      </c>
      <c r="S27" s="8">
        <f>ROUND(B27*'Premissas'!$B$13*'Premissas'!$B$6,2)</f>
        <v>15000.0</v>
      </c>
      <c r="T27" s="8">
        <f>ROUND(L27-M27-P27-Q27-R27-S27,2)</f>
        <v>34744.2</v>
      </c>
      <c r="U27" s="10">
        <f>C27*'Premissas'!$B$16</f>
        <v>160</v>
      </c>
      <c r="V27" s="8">
        <f>ROUND(C27*'Premissas'!$B$15,2)</f>
        <v>60000.0</v>
      </c>
      <c r="W27" s="8">
        <f>ROUND(V27*'Premissas'!$B$19+V26*(1-'Premissas'!$B$19),2)</f>
        <v>60000.0</v>
      </c>
      <c r="X27" s="8">
        <f>ROUND(U27*'Premissas'!$B$17,2)</f>
        <v>28800.0</v>
      </c>
      <c r="Y27" s="8">
        <f>ROUND(V27*'Premissas'!$B$10,2)</f>
        <v>9000.0</v>
      </c>
      <c r="Z27" s="8">
        <f>ROUND(W27*'Premissas'!$B$18,2)</f>
        <v>3000.0</v>
      </c>
      <c r="AA27" s="8">
        <f>ROUND(V27*'Premissas'!$B$18,2)</f>
        <v>3000.0</v>
      </c>
      <c r="AB27" s="8">
        <f>ROUND(V27-X27-Y27-AA27,2)</f>
        <v>19200.0</v>
      </c>
      <c r="AC27" s="10">
        <f>D27*'Ofertas'!$C$5</f>
        <v>120.0</v>
      </c>
      <c r="AD27" s="8">
        <f>ROUND(D27*'Ofertas'!$B$5,2)</f>
        <v>45000.0</v>
      </c>
      <c r="AE27" s="8">
        <f>AD27</f>
        <v>45000.0</v>
      </c>
      <c r="AF27" s="8">
        <f>ROUND(AC27*'Ofertas'!$D$5,2)</f>
        <v>14400.0</v>
      </c>
      <c r="AG27" s="8">
        <f>ROUND(AD27*'Premissas'!$B$10,2)</f>
        <v>6750.0</v>
      </c>
      <c r="AH27" s="8">
        <f>ROUND(AD27*'Premissas'!$B$31,2)</f>
        <v>2250.0</v>
      </c>
      <c r="AI27" s="8">
        <f>ROUND(D27*'Ofertas'!$H$5,2)</f>
        <v>1600.0</v>
      </c>
      <c r="AJ27" s="8">
        <f>ROUND(AD27-AF27-AG27-AH27-AI27,2)</f>
        <v>20000.0</v>
      </c>
      <c r="AK27" s="10">
        <f>E27*'Ofertas'!$C$6</f>
        <v>120.0</v>
      </c>
      <c r="AL27" s="8">
        <f>ROUND(E27*'Ofertas'!$B$6,2)</f>
        <v>54000.0</v>
      </c>
      <c r="AM27" s="8">
        <f>ROUND(AL27*'Premissas'!$B$32+AL26*(1-'Premissas'!$B$32),2)</f>
        <v>54000.0</v>
      </c>
      <c r="AN27" s="8">
        <f>ROUND(AK27*'Ofertas'!$D$6,2)</f>
        <v>21600.0</v>
      </c>
      <c r="AO27" s="8">
        <f>ROUND(AL27*'Premissas'!$B$10,2)</f>
        <v>8100.0</v>
      </c>
      <c r="AP27" s="8">
        <f>ROUND(AL27*'Premissas'!$B$31,2)</f>
        <v>2700.0</v>
      </c>
      <c r="AQ27" s="8">
        <f>ROUND(E27*'Ofertas'!$H$6,2)</f>
        <v>1800.0</v>
      </c>
      <c r="AR27" s="8">
        <f>ROUND(AL27-AN27-AO27-AP27-AQ27,2)</f>
        <v>19800.0</v>
      </c>
      <c r="AS27" s="10">
        <f>F27*'Ofertas'!$C$7</f>
        <v>48.0</v>
      </c>
      <c r="AT27" s="8">
        <f>ROUND(F27*'Ofertas'!$B$7,2)</f>
        <v>21000.0</v>
      </c>
      <c r="AU27" s="8">
        <f>AT27</f>
        <v>21000.0</v>
      </c>
      <c r="AV27" s="8">
        <f>ROUND(AS27*'Ofertas'!$D$7,2)</f>
        <v>5760.0</v>
      </c>
      <c r="AW27" s="8">
        <f>ROUND(AT27*'Premissas'!$B$10,2)</f>
        <v>3150.0</v>
      </c>
      <c r="AX27" s="8">
        <f>ROUND(AT27*'Premissas'!$B$31,2)</f>
        <v>1050.0</v>
      </c>
      <c r="AY27" s="8">
        <f>ROUND(F27*'Ofertas'!$H$7,2)</f>
        <v>1260.0</v>
      </c>
      <c r="AZ27" s="8">
        <f>ROUND(AT27-AV27-AW27-AX27-AY27,2)</f>
        <v>9780.0</v>
      </c>
      <c r="BA27" s="10">
        <f>G27*'Ofertas'!$C$8</f>
        <v>0.0</v>
      </c>
      <c r="BB27" s="8">
        <f>ROUND(G27*'Ofertas'!$B$8,2)</f>
        <v>0.0</v>
      </c>
      <c r="BC27" s="8">
        <f>BB27</f>
        <v>0.0</v>
      </c>
      <c r="BD27" s="8">
        <f>ROUND(BA27*'Ofertas'!$D$8,2)</f>
        <v>0.0</v>
      </c>
      <c r="BE27" s="8">
        <f>ROUND(BB27*'Premissas'!$B$10,2)</f>
        <v>0.0</v>
      </c>
      <c r="BF27" s="8">
        <f>ROUND(BB27*'Premissas'!$B$31,2)</f>
        <v>0.0</v>
      </c>
      <c r="BG27" s="8">
        <f>ROUND(G27*'Ofertas'!$H$8,2)</f>
        <v>0.0</v>
      </c>
      <c r="BH27" s="8">
        <f>ROUND(BB27-BD27-BE27-BF27-BG27,2)</f>
        <v>0.0</v>
      </c>
      <c r="BI27" s="10">
        <f>U27+AC27+AK27+AS27+BA27</f>
        <v>448.0</v>
      </c>
      <c r="BJ27" s="11">
        <f>BI27/'Premissas'!$B$30</f>
        <v>2.8</v>
      </c>
      <c r="BK27" s="8">
        <f>IF(A27&lt;=12,'Premissas'!$B$24,'Premissas'!$B$25)</f>
        <v>42000</v>
      </c>
      <c r="BL27" s="8">
        <f>ROUND(J27+V27+AD27+AL27+AT27+BB27,2)</f>
        <v>615000.0</v>
      </c>
      <c r="BM27" s="8">
        <f>ROUND(L27+V27+AD27+AL27+AT27+BB27,2)</f>
        <v>580200.0</v>
      </c>
      <c r="BN27" s="8">
        <f>ROUND(T27+AB27+AJ27+AR27+AZ27+BH27,2)</f>
        <v>103524.2</v>
      </c>
      <c r="BO27" s="8">
        <f>ROUND(O27+W27+AE27+AM27+AU27+BC27,2)</f>
        <v>526780.2</v>
      </c>
      <c r="BP27" s="8">
        <f>ROUND(P27+Q27+R27+S27+X27+Y27+Z27+BK27+AF27+AG27+AH27+AI27+AN27+AO27+AP27+AQ27+AV27+AW27+AX27+AY27+BD27+BE27+BF27+BG27,2)</f>
        <v>465256.0</v>
      </c>
      <c r="BQ27" s="8">
        <f>ROUND(BO27-BP27,2)</f>
        <v>61524.2</v>
      </c>
      <c r="BR27" s="8">
        <f>ROUND(BR26+BQ27,2)</f>
        <v>150861.15</v>
      </c>
      <c r="BS27" s="8">
        <f>ROUND(BN27-BK27,2)</f>
        <v>61524.2</v>
      </c>
      <c r="BT27" s="8">
        <f>ROUND(BT26+N27-O27+V27-W27+AL27-AM27,2)</f>
        <v>403780.2</v>
      </c>
      <c r="BU27" s="10">
        <f>IF(BR27&gt;=0,A27,999)</f>
        <v>23</v>
      </c>
      <c r="BV27" s="8">
        <f>ROUND(BR27+200000,2)</f>
        <v>350861.15</v>
      </c>
    </row>
    <row r="28" spans="1:74">
      <c r="A28" s="10">
        <v>24</v>
      </c>
      <c r="B28" s="10">
        <f>'Base'!B28</f>
        <v>3000</v>
      </c>
      <c r="C28" s="10">
        <f>'Base'!C28</f>
        <v>2</v>
      </c>
      <c r="D28" s="10">
        <f>'Base'!D28</f>
        <v>10</v>
      </c>
      <c r="E28" s="10">
        <f>'Base'!E28</f>
        <v>3</v>
      </c>
      <c r="F28" s="10">
        <f>'Base'!F28</f>
        <v>6</v>
      </c>
      <c r="G28" s="10">
        <f>MAX(0,F28-F27)</f>
        <v>0</v>
      </c>
      <c r="H28" s="10">
        <f>ROUNDUP(B28/'Premissas'!$B$14,0)</f>
        <v>150000</v>
      </c>
      <c r="I28" s="8">
        <f>ROUND(B28*'Premissas'!$B$5,2)</f>
        <v>87000.0</v>
      </c>
      <c r="J28" s="8">
        <f>ROUND(I28*'Premissas'!$B$6,2)</f>
        <v>435000.0</v>
      </c>
      <c r="K28" s="8">
        <f>ROUND(J28*'Premissas'!$B$7,2)</f>
        <v>34800.0</v>
      </c>
      <c r="L28" s="8">
        <f>ROUND(J28-K28,2)</f>
        <v>400200.0</v>
      </c>
      <c r="M28" s="8">
        <f>ROUND(L28*'Premissas'!$B$8+B28*(1-'Premissas'!$B$7)*'Premissas'!$B$9*'Premissas'!$B$6,2)</f>
        <v>53419.8</v>
      </c>
      <c r="N28" s="8">
        <f>ROUND(L28-M28,2)</f>
        <v>346780.2</v>
      </c>
      <c r="O28" s="8">
        <f>IF(A28&gt;'Premissas'!$B$20,INDEX($N$5:$N$28,MAX(1,A28-'Premissas'!$B$20)),0)</f>
        <v>346780.2</v>
      </c>
      <c r="P28" s="8">
        <f>ROUND(L28*'Premissas'!$B$10,2)</f>
        <v>60030.0</v>
      </c>
      <c r="Q28" s="8">
        <f>ROUND(L28*'Premissas'!$B$11,2)</f>
        <v>12006.0</v>
      </c>
      <c r="R28" s="8">
        <f>ROUND(B28*'Premissas'!$B$28*'Premissas'!$B$6,2)</f>
        <v>225000.0</v>
      </c>
      <c r="S28" s="8">
        <f>ROUND(B28*'Premissas'!$B$13*'Premissas'!$B$6,2)</f>
        <v>15000.0</v>
      </c>
      <c r="T28" s="8">
        <f>ROUND(L28-M28-P28-Q28-R28-S28,2)</f>
        <v>34744.2</v>
      </c>
      <c r="U28" s="10">
        <f>C28*'Premissas'!$B$16</f>
        <v>160</v>
      </c>
      <c r="V28" s="8">
        <f>ROUND(C28*'Premissas'!$B$15,2)</f>
        <v>60000.0</v>
      </c>
      <c r="W28" s="8">
        <f>ROUND(V28*'Premissas'!$B$19+V27*(1-'Premissas'!$B$19),2)</f>
        <v>60000.0</v>
      </c>
      <c r="X28" s="8">
        <f>ROUND(U28*'Premissas'!$B$17,2)</f>
        <v>28800.0</v>
      </c>
      <c r="Y28" s="8">
        <f>ROUND(V28*'Premissas'!$B$10,2)</f>
        <v>9000.0</v>
      </c>
      <c r="Z28" s="8">
        <f>ROUND(W28*'Premissas'!$B$18,2)</f>
        <v>3000.0</v>
      </c>
      <c r="AA28" s="8">
        <f>ROUND(V28*'Premissas'!$B$18,2)</f>
        <v>3000.0</v>
      </c>
      <c r="AB28" s="8">
        <f>ROUND(V28-X28-Y28-AA28,2)</f>
        <v>19200.0</v>
      </c>
      <c r="AC28" s="10">
        <f>D28*'Ofertas'!$C$5</f>
        <v>120.0</v>
      </c>
      <c r="AD28" s="8">
        <f>ROUND(D28*'Ofertas'!$B$5,2)</f>
        <v>45000.0</v>
      </c>
      <c r="AE28" s="8">
        <f>AD28</f>
        <v>45000.0</v>
      </c>
      <c r="AF28" s="8">
        <f>ROUND(AC28*'Ofertas'!$D$5,2)</f>
        <v>14400.0</v>
      </c>
      <c r="AG28" s="8">
        <f>ROUND(AD28*'Premissas'!$B$10,2)</f>
        <v>6750.0</v>
      </c>
      <c r="AH28" s="8">
        <f>ROUND(AD28*'Premissas'!$B$31,2)</f>
        <v>2250.0</v>
      </c>
      <c r="AI28" s="8">
        <f>ROUND(D28*'Ofertas'!$H$5,2)</f>
        <v>1600.0</v>
      </c>
      <c r="AJ28" s="8">
        <f>ROUND(AD28-AF28-AG28-AH28-AI28,2)</f>
        <v>20000.0</v>
      </c>
      <c r="AK28" s="10">
        <f>E28*'Ofertas'!$C$6</f>
        <v>120.0</v>
      </c>
      <c r="AL28" s="8">
        <f>ROUND(E28*'Ofertas'!$B$6,2)</f>
        <v>54000.0</v>
      </c>
      <c r="AM28" s="8">
        <f>ROUND(AL28*'Premissas'!$B$32+AL27*(1-'Premissas'!$B$32),2)</f>
        <v>54000.0</v>
      </c>
      <c r="AN28" s="8">
        <f>ROUND(AK28*'Ofertas'!$D$6,2)</f>
        <v>21600.0</v>
      </c>
      <c r="AO28" s="8">
        <f>ROUND(AL28*'Premissas'!$B$10,2)</f>
        <v>8100.0</v>
      </c>
      <c r="AP28" s="8">
        <f>ROUND(AL28*'Premissas'!$B$31,2)</f>
        <v>2700.0</v>
      </c>
      <c r="AQ28" s="8">
        <f>ROUND(E28*'Ofertas'!$H$6,2)</f>
        <v>1800.0</v>
      </c>
      <c r="AR28" s="8">
        <f>ROUND(AL28-AN28-AO28-AP28-AQ28,2)</f>
        <v>19800.0</v>
      </c>
      <c r="AS28" s="10">
        <f>F28*'Ofertas'!$C$7</f>
        <v>48.0</v>
      </c>
      <c r="AT28" s="8">
        <f>ROUND(F28*'Ofertas'!$B$7,2)</f>
        <v>21000.0</v>
      </c>
      <c r="AU28" s="8">
        <f>AT28</f>
        <v>21000.0</v>
      </c>
      <c r="AV28" s="8">
        <f>ROUND(AS28*'Ofertas'!$D$7,2)</f>
        <v>5760.0</v>
      </c>
      <c r="AW28" s="8">
        <f>ROUND(AT28*'Premissas'!$B$10,2)</f>
        <v>3150.0</v>
      </c>
      <c r="AX28" s="8">
        <f>ROUND(AT28*'Premissas'!$B$31,2)</f>
        <v>1050.0</v>
      </c>
      <c r="AY28" s="8">
        <f>ROUND(F28*'Ofertas'!$H$7,2)</f>
        <v>1260.0</v>
      </c>
      <c r="AZ28" s="8">
        <f>ROUND(AT28-AV28-AW28-AX28-AY28,2)</f>
        <v>9780.0</v>
      </c>
      <c r="BA28" s="10">
        <f>G28*'Ofertas'!$C$8</f>
        <v>0.0</v>
      </c>
      <c r="BB28" s="8">
        <f>ROUND(G28*'Ofertas'!$B$8,2)</f>
        <v>0.0</v>
      </c>
      <c r="BC28" s="8">
        <f>BB28</f>
        <v>0.0</v>
      </c>
      <c r="BD28" s="8">
        <f>ROUND(BA28*'Ofertas'!$D$8,2)</f>
        <v>0.0</v>
      </c>
      <c r="BE28" s="8">
        <f>ROUND(BB28*'Premissas'!$B$10,2)</f>
        <v>0.0</v>
      </c>
      <c r="BF28" s="8">
        <f>ROUND(BB28*'Premissas'!$B$31,2)</f>
        <v>0.0</v>
      </c>
      <c r="BG28" s="8">
        <f>ROUND(G28*'Ofertas'!$H$8,2)</f>
        <v>0.0</v>
      </c>
      <c r="BH28" s="8">
        <f>ROUND(BB28-BD28-BE28-BF28-BG28,2)</f>
        <v>0.0</v>
      </c>
      <c r="BI28" s="10">
        <f>U28+AC28+AK28+AS28+BA28</f>
        <v>448.0</v>
      </c>
      <c r="BJ28" s="11">
        <f>BI28/'Premissas'!$B$30</f>
        <v>2.8</v>
      </c>
      <c r="BK28" s="8">
        <f>IF(A28&lt;=12,'Premissas'!$B$24,'Premissas'!$B$25)</f>
        <v>42000</v>
      </c>
      <c r="BL28" s="8">
        <f>ROUND(J28+V28+AD28+AL28+AT28+BB28,2)</f>
        <v>615000.0</v>
      </c>
      <c r="BM28" s="8">
        <f>ROUND(L28+V28+AD28+AL28+AT28+BB28,2)</f>
        <v>580200.0</v>
      </c>
      <c r="BN28" s="8">
        <f>ROUND(T28+AB28+AJ28+AR28+AZ28+BH28,2)</f>
        <v>103524.2</v>
      </c>
      <c r="BO28" s="8">
        <f>ROUND(O28+W28+AE28+AM28+AU28+BC28,2)</f>
        <v>526780.2</v>
      </c>
      <c r="BP28" s="8">
        <f>ROUND(P28+Q28+R28+S28+X28+Y28+Z28+BK28+AF28+AG28+AH28+AI28+AN28+AO28+AP28+AQ28+AV28+AW28+AX28+AY28+BD28+BE28+BF28+BG28,2)</f>
        <v>465256.0</v>
      </c>
      <c r="BQ28" s="8">
        <f>ROUND(BO28-BP28,2)</f>
        <v>61524.2</v>
      </c>
      <c r="BR28" s="8">
        <f>ROUND(BR27+BQ28,2)</f>
        <v>212385.35</v>
      </c>
      <c r="BS28" s="8">
        <f>ROUND(BN28-BK28,2)</f>
        <v>61524.2</v>
      </c>
      <c r="BT28" s="8">
        <f>ROUND(BT27+N28-O28+V28-W28+AL28-AM28,2)</f>
        <v>403780.2</v>
      </c>
      <c r="BU28" s="10">
        <f>IF(BR28&gt;=0,A28,999)</f>
        <v>24</v>
      </c>
      <c r="BV28" s="8">
        <f>ROUND(BR28+200000,2)</f>
        <v>412385.35</v>
      </c>
    </row>
  </sheetData>
  <autoFilter ref="A4:BV28"/>
  <mergeCells count="2">
    <mergeCell ref="A1:BV1"/>
    <mergeCell ref="A2:BV2"/>
  </mergeCells>
  <conditionalFormatting sqref="BR5:BR28">
    <cfRule type="cellIs" dxfId="0" priority="1" operator="lessThan">
      <formula>0</formula>
    </cfRule>
  </conditionalFormatting>
  <pageMargins left="0.7" right="0.7" top="0.75" bottom="0.75" header="0.3" footer="0.3"/>
  <pageSetup scale="75" orientation="landscape"/>
  <headerFooter>
    <oddFooter>&amp;LAUMI | Hipóteses, não promessa&amp;R&amp;P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V28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/>
    </sheetView>
  </sheetViews>
  <sheetFormatPr defaultRowHeight="15"/>
  <cols>
    <col min="1" max="1" width="7.7109375" customWidth="1"/>
    <col min="2" max="74" width="19.7109375" customWidth="1"/>
  </cols>
  <sheetData>
    <row r="1" spans="1:74" ht="36" customHeight="1">
      <c r="A1" s="1" t="s">
        <v>218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spans="1:74" ht="32" customHeight="1">
      <c r="A2" s="2" t="s">
        <v>219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</row>
    <row r="4" spans="1:74" ht="54" customHeight="1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148</v>
      </c>
      <c r="J4" s="3" t="s">
        <v>149</v>
      </c>
      <c r="K4" s="3" t="s">
        <v>150</v>
      </c>
      <c r="L4" s="3" t="s">
        <v>151</v>
      </c>
      <c r="M4" s="3" t="s">
        <v>152</v>
      </c>
      <c r="N4" s="3" t="s">
        <v>153</v>
      </c>
      <c r="O4" s="3" t="s">
        <v>154</v>
      </c>
      <c r="P4" s="3" t="s">
        <v>155</v>
      </c>
      <c r="Q4" s="3" t="s">
        <v>156</v>
      </c>
      <c r="R4" s="3" t="s">
        <v>157</v>
      </c>
      <c r="S4" s="3" t="s">
        <v>158</v>
      </c>
      <c r="T4" s="3" t="s">
        <v>159</v>
      </c>
      <c r="U4" s="3" t="s">
        <v>160</v>
      </c>
      <c r="V4" s="3" t="s">
        <v>161</v>
      </c>
      <c r="W4" s="3" t="s">
        <v>162</v>
      </c>
      <c r="X4" s="3" t="s">
        <v>163</v>
      </c>
      <c r="Y4" s="3" t="s">
        <v>164</v>
      </c>
      <c r="Z4" s="3" t="s">
        <v>165</v>
      </c>
      <c r="AA4" s="3" t="s">
        <v>166</v>
      </c>
      <c r="AB4" s="3" t="s">
        <v>167</v>
      </c>
      <c r="AC4" s="3" t="s">
        <v>168</v>
      </c>
      <c r="AD4" s="3" t="s">
        <v>169</v>
      </c>
      <c r="AE4" s="3" t="s">
        <v>170</v>
      </c>
      <c r="AF4" s="3" t="s">
        <v>171</v>
      </c>
      <c r="AG4" s="3" t="s">
        <v>172</v>
      </c>
      <c r="AH4" s="3" t="s">
        <v>173</v>
      </c>
      <c r="AI4" s="3" t="s">
        <v>174</v>
      </c>
      <c r="AJ4" s="3" t="s">
        <v>175</v>
      </c>
      <c r="AK4" s="3" t="s">
        <v>176</v>
      </c>
      <c r="AL4" s="3" t="s">
        <v>177</v>
      </c>
      <c r="AM4" s="3" t="s">
        <v>178</v>
      </c>
      <c r="AN4" s="3" t="s">
        <v>179</v>
      </c>
      <c r="AO4" s="3" t="s">
        <v>180</v>
      </c>
      <c r="AP4" s="3" t="s">
        <v>181</v>
      </c>
      <c r="AQ4" s="3" t="s">
        <v>182</v>
      </c>
      <c r="AR4" s="3" t="s">
        <v>183</v>
      </c>
      <c r="AS4" s="3" t="s">
        <v>184</v>
      </c>
      <c r="AT4" s="3" t="s">
        <v>185</v>
      </c>
      <c r="AU4" s="3" t="s">
        <v>186</v>
      </c>
      <c r="AV4" s="3" t="s">
        <v>187</v>
      </c>
      <c r="AW4" s="3" t="s">
        <v>188</v>
      </c>
      <c r="AX4" s="3" t="s">
        <v>189</v>
      </c>
      <c r="AY4" s="3" t="s">
        <v>190</v>
      </c>
      <c r="AZ4" s="3" t="s">
        <v>191</v>
      </c>
      <c r="BA4" s="3" t="s">
        <v>192</v>
      </c>
      <c r="BB4" s="3" t="s">
        <v>193</v>
      </c>
      <c r="BC4" s="3" t="s">
        <v>194</v>
      </c>
      <c r="BD4" s="3" t="s">
        <v>195</v>
      </c>
      <c r="BE4" s="3" t="s">
        <v>196</v>
      </c>
      <c r="BF4" s="3" t="s">
        <v>197</v>
      </c>
      <c r="BG4" s="3" t="s">
        <v>198</v>
      </c>
      <c r="BH4" s="3" t="s">
        <v>199</v>
      </c>
      <c r="BI4" s="3" t="s">
        <v>200</v>
      </c>
      <c r="BJ4" s="3" t="s">
        <v>201</v>
      </c>
      <c r="BK4" s="3" t="s">
        <v>202</v>
      </c>
      <c r="BL4" s="3" t="s">
        <v>203</v>
      </c>
      <c r="BM4" s="3" t="s">
        <v>204</v>
      </c>
      <c r="BN4" s="3" t="s">
        <v>205</v>
      </c>
      <c r="BO4" s="3" t="s">
        <v>206</v>
      </c>
      <c r="BP4" s="3" t="s">
        <v>207</v>
      </c>
      <c r="BQ4" s="3" t="s">
        <v>208</v>
      </c>
      <c r="BR4" s="3" t="s">
        <v>209</v>
      </c>
      <c r="BS4" s="3" t="s">
        <v>210</v>
      </c>
      <c r="BT4" s="3" t="s">
        <v>211</v>
      </c>
      <c r="BU4" s="3" t="s">
        <v>212</v>
      </c>
      <c r="BV4" s="3" t="s">
        <v>213</v>
      </c>
    </row>
    <row r="5" spans="1:74">
      <c r="A5" s="10">
        <v>1</v>
      </c>
      <c r="B5" s="10">
        <f>'Base'!B5</f>
        <v>0</v>
      </c>
      <c r="C5" s="10">
        <f>'Base'!C5</f>
        <v>0</v>
      </c>
      <c r="D5" s="10">
        <f>ROUNDDOWN('Base'!D5*'Premissas'!$B$29,0)</f>
        <v>0</v>
      </c>
      <c r="E5" s="10">
        <f>ROUNDDOWN('Base'!E5*'Premissas'!$B$29,0)</f>
        <v>0</v>
      </c>
      <c r="F5" s="10">
        <f>ROUNDDOWN('Base'!F5*'Premissas'!$B$29,0)</f>
        <v>0</v>
      </c>
      <c r="G5" s="10">
        <f>MAX(0,F5-0)</f>
        <v>0</v>
      </c>
      <c r="H5" s="10">
        <f>ROUNDUP(B5/'Premissas'!$B$14,0)</f>
        <v>0</v>
      </c>
      <c r="I5" s="8">
        <f>ROUND(B5*'Premissas'!$B$5,2)</f>
        <v>0.0</v>
      </c>
      <c r="J5" s="8">
        <f>ROUND(I5*'Premissas'!$B$6,2)</f>
        <v>0.0</v>
      </c>
      <c r="K5" s="8">
        <f>ROUND(J5*'Premissas'!$B$7,2)</f>
        <v>0.0</v>
      </c>
      <c r="L5" s="8">
        <f>ROUND(J5-K5,2)</f>
        <v>0.0</v>
      </c>
      <c r="M5" s="8">
        <f>ROUND(L5*'Premissas'!$B$8+B5*(1-'Premissas'!$B$7)*'Premissas'!$B$9*'Premissas'!$B$6,2)</f>
        <v>0.0</v>
      </c>
      <c r="N5" s="8">
        <f>ROUND(L5-M5,2)</f>
        <v>0.0</v>
      </c>
      <c r="O5" s="8">
        <f>IF(A5&gt;'Premissas'!$B$20,INDEX($N$5:$N$28,MAX(1,A5-'Premissas'!$B$20)),0)</f>
        <v>0</v>
      </c>
      <c r="P5" s="8">
        <f>ROUND(L5*'Premissas'!$B$10,2)</f>
        <v>0.0</v>
      </c>
      <c r="Q5" s="8">
        <f>ROUND(L5*'Premissas'!$B$11,2)</f>
        <v>0.0</v>
      </c>
      <c r="R5" s="8">
        <f>ROUND(B5*'Premissas'!$B$12*'Premissas'!$B$6,2)</f>
        <v>0.0</v>
      </c>
      <c r="S5" s="8">
        <f>ROUND(B5*'Premissas'!$B$13*'Premissas'!$B$6,2)</f>
        <v>0.0</v>
      </c>
      <c r="T5" s="8">
        <f>ROUND(L5-M5-P5-Q5-R5-S5,2)</f>
        <v>0.0</v>
      </c>
      <c r="U5" s="10">
        <f>C5*'Premissas'!$B$16</f>
        <v>0</v>
      </c>
      <c r="V5" s="8">
        <f>ROUND(C5*'Premissas'!$B$15,2)</f>
        <v>0.0</v>
      </c>
      <c r="W5" s="8">
        <f>ROUND(V5*'Premissas'!$B$19+0*(1-'Premissas'!$B$19),2)</f>
        <v>0.0</v>
      </c>
      <c r="X5" s="8">
        <f>ROUND(U5*'Premissas'!$B$17,2)</f>
        <v>0.0</v>
      </c>
      <c r="Y5" s="8">
        <f>ROUND(V5*'Premissas'!$B$10,2)</f>
        <v>0.0</v>
      </c>
      <c r="Z5" s="8">
        <f>ROUND(W5*'Premissas'!$B$18,2)</f>
        <v>0.0</v>
      </c>
      <c r="AA5" s="8">
        <f>ROUND(V5*'Premissas'!$B$18,2)</f>
        <v>0.0</v>
      </c>
      <c r="AB5" s="8">
        <f>ROUND(V5-X5-Y5-AA5,2)</f>
        <v>0.0</v>
      </c>
      <c r="AC5" s="10">
        <f>D5*'Ofertas'!$C$5</f>
        <v>0.0</v>
      </c>
      <c r="AD5" s="8">
        <f>ROUND(D5*'Ofertas'!$B$5,2)</f>
        <v>0.0</v>
      </c>
      <c r="AE5" s="8">
        <f>AD5</f>
        <v>0.0</v>
      </c>
      <c r="AF5" s="8">
        <f>ROUND(AC5*'Ofertas'!$D$5,2)</f>
        <v>0.0</v>
      </c>
      <c r="AG5" s="8">
        <f>ROUND(AD5*'Premissas'!$B$10,2)</f>
        <v>0.0</v>
      </c>
      <c r="AH5" s="8">
        <f>ROUND(AD5*'Premissas'!$B$31,2)</f>
        <v>0.0</v>
      </c>
      <c r="AI5" s="8">
        <f>ROUND(D5*'Ofertas'!$H$5,2)</f>
        <v>0.0</v>
      </c>
      <c r="AJ5" s="8">
        <f>ROUND(AD5-AF5-AG5-AH5-AI5,2)</f>
        <v>0.0</v>
      </c>
      <c r="AK5" s="10">
        <f>E5*'Ofertas'!$C$6</f>
        <v>0.0</v>
      </c>
      <c r="AL5" s="8">
        <f>ROUND(E5*'Ofertas'!$B$6,2)</f>
        <v>0.0</v>
      </c>
      <c r="AM5" s="8">
        <f>ROUND(AL5*'Premissas'!$B$32+0*(1-'Premissas'!$B$32),2)</f>
        <v>0.0</v>
      </c>
      <c r="AN5" s="8">
        <f>ROUND(AK5*'Ofertas'!$D$6,2)</f>
        <v>0.0</v>
      </c>
      <c r="AO5" s="8">
        <f>ROUND(AL5*'Premissas'!$B$10,2)</f>
        <v>0.0</v>
      </c>
      <c r="AP5" s="8">
        <f>ROUND(AL5*'Premissas'!$B$31,2)</f>
        <v>0.0</v>
      </c>
      <c r="AQ5" s="8">
        <f>ROUND(E5*'Ofertas'!$H$6,2)</f>
        <v>0.0</v>
      </c>
      <c r="AR5" s="8">
        <f>ROUND(AL5-AN5-AO5-AP5-AQ5,2)</f>
        <v>0.0</v>
      </c>
      <c r="AS5" s="10">
        <f>F5*'Ofertas'!$C$7</f>
        <v>0.0</v>
      </c>
      <c r="AT5" s="8">
        <f>ROUND(F5*'Ofertas'!$B$7,2)</f>
        <v>0.0</v>
      </c>
      <c r="AU5" s="8">
        <f>AT5</f>
        <v>0.0</v>
      </c>
      <c r="AV5" s="8">
        <f>ROUND(AS5*'Ofertas'!$D$7,2)</f>
        <v>0.0</v>
      </c>
      <c r="AW5" s="8">
        <f>ROUND(AT5*'Premissas'!$B$10,2)</f>
        <v>0.0</v>
      </c>
      <c r="AX5" s="8">
        <f>ROUND(AT5*'Premissas'!$B$31,2)</f>
        <v>0.0</v>
      </c>
      <c r="AY5" s="8">
        <f>ROUND(F5*'Ofertas'!$H$7,2)</f>
        <v>0.0</v>
      </c>
      <c r="AZ5" s="8">
        <f>ROUND(AT5-AV5-AW5-AX5-AY5,2)</f>
        <v>0.0</v>
      </c>
      <c r="BA5" s="10">
        <f>G5*'Ofertas'!$C$8</f>
        <v>0.0</v>
      </c>
      <c r="BB5" s="8">
        <f>ROUND(G5*'Ofertas'!$B$8,2)</f>
        <v>0.0</v>
      </c>
      <c r="BC5" s="8">
        <f>BB5</f>
        <v>0.0</v>
      </c>
      <c r="BD5" s="8">
        <f>ROUND(BA5*'Ofertas'!$D$8,2)</f>
        <v>0.0</v>
      </c>
      <c r="BE5" s="8">
        <f>ROUND(BB5*'Premissas'!$B$10,2)</f>
        <v>0.0</v>
      </c>
      <c r="BF5" s="8">
        <f>ROUND(BB5*'Premissas'!$B$31,2)</f>
        <v>0.0</v>
      </c>
      <c r="BG5" s="8">
        <f>ROUND(G5*'Ofertas'!$H$8,2)</f>
        <v>0.0</v>
      </c>
      <c r="BH5" s="8">
        <f>ROUND(BB5-BD5-BE5-BF5-BG5,2)</f>
        <v>0.0</v>
      </c>
      <c r="BI5" s="10">
        <f>U5+AC5+AK5+AS5+BA5</f>
        <v>0.0</v>
      </c>
      <c r="BJ5" s="11">
        <f>BI5/'Premissas'!$B$30</f>
        <v>0.0</v>
      </c>
      <c r="BK5" s="8">
        <f>IF(A5&lt;=12,'Premissas'!$B$24,'Premissas'!$B$25)</f>
        <v>37000</v>
      </c>
      <c r="BL5" s="8">
        <f>ROUND(J5+V5+AD5+AL5+AT5+BB5,2)</f>
        <v>0.0</v>
      </c>
      <c r="BM5" s="8">
        <f>ROUND(L5+V5+AD5+AL5+AT5+BB5,2)</f>
        <v>0.0</v>
      </c>
      <c r="BN5" s="8">
        <f>ROUND(T5+AB5+AJ5+AR5+AZ5+BH5,2)</f>
        <v>0.0</v>
      </c>
      <c r="BO5" s="8">
        <f>ROUND(O5+W5+AE5+AM5+AU5+BC5,2)</f>
        <v>0.0</v>
      </c>
      <c r="BP5" s="8">
        <f>ROUND(P5+Q5+R5+S5+X5+Y5+Z5+BK5+AF5+AG5+AH5+AI5+AN5+AO5+AP5+AQ5+AV5+AW5+AX5+AY5+BD5+BE5+BF5+BG5,2)</f>
        <v>37000.0</v>
      </c>
      <c r="BQ5" s="8">
        <f>ROUND(BO5-BP5,2)</f>
        <v>-37000.0</v>
      </c>
      <c r="BR5" s="8">
        <f>ROUND(-'Premissas'!$B$23+BQ5,2)</f>
        <v>-137000.0</v>
      </c>
      <c r="BS5" s="8">
        <f>ROUND(BN5-BK5,2)</f>
        <v>-37000.0</v>
      </c>
      <c r="BT5" s="8">
        <f>ROUND(0+N5-O5+V5-W5+AL5-AM5,2)</f>
        <v>0.0</v>
      </c>
      <c r="BU5" s="10">
        <f>IF(BR5&gt;=0,A5,999)</f>
        <v>999</v>
      </c>
      <c r="BV5" s="8">
        <f>ROUND(BR5+200000,2)</f>
        <v>63000.0</v>
      </c>
    </row>
    <row r="6" spans="1:74">
      <c r="A6" s="10">
        <v>2</v>
      </c>
      <c r="B6" s="10">
        <f>'Base'!B6</f>
        <v>0</v>
      </c>
      <c r="C6" s="10">
        <f>'Base'!C6</f>
        <v>0</v>
      </c>
      <c r="D6" s="10">
        <f>ROUNDDOWN('Base'!D6*'Premissas'!$B$29,0)</f>
        <v>0</v>
      </c>
      <c r="E6" s="10">
        <f>ROUNDDOWN('Base'!E6*'Premissas'!$B$29,0)</f>
        <v>0</v>
      </c>
      <c r="F6" s="10">
        <f>ROUNDDOWN('Base'!F6*'Premissas'!$B$29,0)</f>
        <v>0</v>
      </c>
      <c r="G6" s="10">
        <f>MAX(0,F6-F5)</f>
        <v>0</v>
      </c>
      <c r="H6" s="10">
        <f>ROUNDUP(B6/'Premissas'!$B$14,0)</f>
        <v>0</v>
      </c>
      <c r="I6" s="8">
        <f>ROUND(B6*'Premissas'!$B$5,2)</f>
        <v>0.0</v>
      </c>
      <c r="J6" s="8">
        <f>ROUND(I6*'Premissas'!$B$6,2)</f>
        <v>0.0</v>
      </c>
      <c r="K6" s="8">
        <f>ROUND(J6*'Premissas'!$B$7,2)</f>
        <v>0.0</v>
      </c>
      <c r="L6" s="8">
        <f>ROUND(J6-K6,2)</f>
        <v>0.0</v>
      </c>
      <c r="M6" s="8">
        <f>ROUND(L6*'Premissas'!$B$8+B6*(1-'Premissas'!$B$7)*'Premissas'!$B$9*'Premissas'!$B$6,2)</f>
        <v>0.0</v>
      </c>
      <c r="N6" s="8">
        <f>ROUND(L6-M6,2)</f>
        <v>0.0</v>
      </c>
      <c r="O6" s="8">
        <f>IF(A6&gt;'Premissas'!$B$20,INDEX($N$5:$N$28,MAX(1,A6-'Premissas'!$B$20)),0)</f>
        <v>0.0</v>
      </c>
      <c r="P6" s="8">
        <f>ROUND(L6*'Premissas'!$B$10,2)</f>
        <v>0.0</v>
      </c>
      <c r="Q6" s="8">
        <f>ROUND(L6*'Premissas'!$B$11,2)</f>
        <v>0.0</v>
      </c>
      <c r="R6" s="8">
        <f>ROUND(B6*'Premissas'!$B$12*'Premissas'!$B$6,2)</f>
        <v>0.0</v>
      </c>
      <c r="S6" s="8">
        <f>ROUND(B6*'Premissas'!$B$13*'Premissas'!$B$6,2)</f>
        <v>0.0</v>
      </c>
      <c r="T6" s="8">
        <f>ROUND(L6-M6-P6-Q6-R6-S6,2)</f>
        <v>0.0</v>
      </c>
      <c r="U6" s="10">
        <f>C6*'Premissas'!$B$16</f>
        <v>0</v>
      </c>
      <c r="V6" s="8">
        <f>ROUND(C6*'Premissas'!$B$15,2)</f>
        <v>0.0</v>
      </c>
      <c r="W6" s="8">
        <f>ROUND(V6*'Premissas'!$B$19+V5*(1-'Premissas'!$B$19),2)</f>
        <v>0.0</v>
      </c>
      <c r="X6" s="8">
        <f>ROUND(U6*'Premissas'!$B$17,2)</f>
        <v>0.0</v>
      </c>
      <c r="Y6" s="8">
        <f>ROUND(V6*'Premissas'!$B$10,2)</f>
        <v>0.0</v>
      </c>
      <c r="Z6" s="8">
        <f>ROUND(W6*'Premissas'!$B$18,2)</f>
        <v>0.0</v>
      </c>
      <c r="AA6" s="8">
        <f>ROUND(V6*'Premissas'!$B$18,2)</f>
        <v>0.0</v>
      </c>
      <c r="AB6" s="8">
        <f>ROUND(V6-X6-Y6-AA6,2)</f>
        <v>0.0</v>
      </c>
      <c r="AC6" s="10">
        <f>D6*'Ofertas'!$C$5</f>
        <v>0.0</v>
      </c>
      <c r="AD6" s="8">
        <f>ROUND(D6*'Ofertas'!$B$5,2)</f>
        <v>0.0</v>
      </c>
      <c r="AE6" s="8">
        <f>AD6</f>
        <v>0.0</v>
      </c>
      <c r="AF6" s="8">
        <f>ROUND(AC6*'Ofertas'!$D$5,2)</f>
        <v>0.0</v>
      </c>
      <c r="AG6" s="8">
        <f>ROUND(AD6*'Premissas'!$B$10,2)</f>
        <v>0.0</v>
      </c>
      <c r="AH6" s="8">
        <f>ROUND(AD6*'Premissas'!$B$31,2)</f>
        <v>0.0</v>
      </c>
      <c r="AI6" s="8">
        <f>ROUND(D6*'Ofertas'!$H$5,2)</f>
        <v>0.0</v>
      </c>
      <c r="AJ6" s="8">
        <f>ROUND(AD6-AF6-AG6-AH6-AI6,2)</f>
        <v>0.0</v>
      </c>
      <c r="AK6" s="10">
        <f>E6*'Ofertas'!$C$6</f>
        <v>0.0</v>
      </c>
      <c r="AL6" s="8">
        <f>ROUND(E6*'Ofertas'!$B$6,2)</f>
        <v>0.0</v>
      </c>
      <c r="AM6" s="8">
        <f>ROUND(AL6*'Premissas'!$B$32+AL5*(1-'Premissas'!$B$32),2)</f>
        <v>0.0</v>
      </c>
      <c r="AN6" s="8">
        <f>ROUND(AK6*'Ofertas'!$D$6,2)</f>
        <v>0.0</v>
      </c>
      <c r="AO6" s="8">
        <f>ROUND(AL6*'Premissas'!$B$10,2)</f>
        <v>0.0</v>
      </c>
      <c r="AP6" s="8">
        <f>ROUND(AL6*'Premissas'!$B$31,2)</f>
        <v>0.0</v>
      </c>
      <c r="AQ6" s="8">
        <f>ROUND(E6*'Ofertas'!$H$6,2)</f>
        <v>0.0</v>
      </c>
      <c r="AR6" s="8">
        <f>ROUND(AL6-AN6-AO6-AP6-AQ6,2)</f>
        <v>0.0</v>
      </c>
      <c r="AS6" s="10">
        <f>F6*'Ofertas'!$C$7</f>
        <v>0.0</v>
      </c>
      <c r="AT6" s="8">
        <f>ROUND(F6*'Ofertas'!$B$7,2)</f>
        <v>0.0</v>
      </c>
      <c r="AU6" s="8">
        <f>AT6</f>
        <v>0.0</v>
      </c>
      <c r="AV6" s="8">
        <f>ROUND(AS6*'Ofertas'!$D$7,2)</f>
        <v>0.0</v>
      </c>
      <c r="AW6" s="8">
        <f>ROUND(AT6*'Premissas'!$B$10,2)</f>
        <v>0.0</v>
      </c>
      <c r="AX6" s="8">
        <f>ROUND(AT6*'Premissas'!$B$31,2)</f>
        <v>0.0</v>
      </c>
      <c r="AY6" s="8">
        <f>ROUND(F6*'Ofertas'!$H$7,2)</f>
        <v>0.0</v>
      </c>
      <c r="AZ6" s="8">
        <f>ROUND(AT6-AV6-AW6-AX6-AY6,2)</f>
        <v>0.0</v>
      </c>
      <c r="BA6" s="10">
        <f>G6*'Ofertas'!$C$8</f>
        <v>0.0</v>
      </c>
      <c r="BB6" s="8">
        <f>ROUND(G6*'Ofertas'!$B$8,2)</f>
        <v>0.0</v>
      </c>
      <c r="BC6" s="8">
        <f>BB6</f>
        <v>0.0</v>
      </c>
      <c r="BD6" s="8">
        <f>ROUND(BA6*'Ofertas'!$D$8,2)</f>
        <v>0.0</v>
      </c>
      <c r="BE6" s="8">
        <f>ROUND(BB6*'Premissas'!$B$10,2)</f>
        <v>0.0</v>
      </c>
      <c r="BF6" s="8">
        <f>ROUND(BB6*'Premissas'!$B$31,2)</f>
        <v>0.0</v>
      </c>
      <c r="BG6" s="8">
        <f>ROUND(G6*'Ofertas'!$H$8,2)</f>
        <v>0.0</v>
      </c>
      <c r="BH6" s="8">
        <f>ROUND(BB6-BD6-BE6-BF6-BG6,2)</f>
        <v>0.0</v>
      </c>
      <c r="BI6" s="10">
        <f>U6+AC6+AK6+AS6+BA6</f>
        <v>0.0</v>
      </c>
      <c r="BJ6" s="11">
        <f>BI6/'Premissas'!$B$30</f>
        <v>0.0</v>
      </c>
      <c r="BK6" s="8">
        <f>IF(A6&lt;=12,'Premissas'!$B$24,'Premissas'!$B$25)</f>
        <v>37000</v>
      </c>
      <c r="BL6" s="8">
        <f>ROUND(J6+V6+AD6+AL6+AT6+BB6,2)</f>
        <v>0.0</v>
      </c>
      <c r="BM6" s="8">
        <f>ROUND(L6+V6+AD6+AL6+AT6+BB6,2)</f>
        <v>0.0</v>
      </c>
      <c r="BN6" s="8">
        <f>ROUND(T6+AB6+AJ6+AR6+AZ6+BH6,2)</f>
        <v>0.0</v>
      </c>
      <c r="BO6" s="8">
        <f>ROUND(O6+W6+AE6+AM6+AU6+BC6,2)</f>
        <v>0.0</v>
      </c>
      <c r="BP6" s="8">
        <f>ROUND(P6+Q6+R6+S6+X6+Y6+Z6+BK6+AF6+AG6+AH6+AI6+AN6+AO6+AP6+AQ6+AV6+AW6+AX6+AY6+BD6+BE6+BF6+BG6,2)</f>
        <v>37000.0</v>
      </c>
      <c r="BQ6" s="8">
        <f>ROUND(BO6-BP6,2)</f>
        <v>-37000.0</v>
      </c>
      <c r="BR6" s="8">
        <f>ROUND(BR5+BQ6,2)</f>
        <v>-174000.0</v>
      </c>
      <c r="BS6" s="8">
        <f>ROUND(BN6-BK6,2)</f>
        <v>-37000.0</v>
      </c>
      <c r="BT6" s="8">
        <f>ROUND(BT5+N6-O6+V6-W6+AL6-AM6,2)</f>
        <v>0.0</v>
      </c>
      <c r="BU6" s="10">
        <f>IF(BR6&gt;=0,A6,999)</f>
        <v>999</v>
      </c>
      <c r="BV6" s="8">
        <f>ROUND(BR6+200000,2)</f>
        <v>26000.0</v>
      </c>
    </row>
    <row r="7" spans="1:74">
      <c r="A7" s="10">
        <v>3</v>
      </c>
      <c r="B7" s="10">
        <f>'Base'!B7</f>
        <v>50</v>
      </c>
      <c r="C7" s="10">
        <f>'Base'!C7</f>
        <v>1</v>
      </c>
      <c r="D7" s="10">
        <f>ROUNDDOWN('Base'!D7*'Premissas'!$B$29,0)</f>
        <v>0</v>
      </c>
      <c r="E7" s="10">
        <f>ROUNDDOWN('Base'!E7*'Premissas'!$B$29,0)</f>
        <v>0</v>
      </c>
      <c r="F7" s="10">
        <f>ROUNDDOWN('Base'!F7*'Premissas'!$B$29,0)</f>
        <v>0</v>
      </c>
      <c r="G7" s="10">
        <f>MAX(0,F7-F6)</f>
        <v>0</v>
      </c>
      <c r="H7" s="10">
        <f>ROUNDUP(B7/'Premissas'!$B$14,0)</f>
        <v>2500</v>
      </c>
      <c r="I7" s="8">
        <f>ROUND(B7*'Premissas'!$B$5,2)</f>
        <v>1450.0</v>
      </c>
      <c r="J7" s="8">
        <f>ROUND(I7*'Premissas'!$B$6,2)</f>
        <v>7250.0</v>
      </c>
      <c r="K7" s="8">
        <f>ROUND(J7*'Premissas'!$B$7,2)</f>
        <v>580.0</v>
      </c>
      <c r="L7" s="8">
        <f>ROUND(J7-K7,2)</f>
        <v>6670.0</v>
      </c>
      <c r="M7" s="8">
        <f>ROUND(L7*'Premissas'!$B$8+B7*(1-'Premissas'!$B$7)*'Premissas'!$B$9*'Premissas'!$B$6,2)</f>
        <v>890.33</v>
      </c>
      <c r="N7" s="8">
        <f>ROUND(L7-M7,2)</f>
        <v>5779.67</v>
      </c>
      <c r="O7" s="8">
        <f>IF(A7&gt;'Premissas'!$B$20,INDEX($N$5:$N$28,MAX(1,A7-'Premissas'!$B$20)),0)</f>
        <v>0.0</v>
      </c>
      <c r="P7" s="8">
        <f>ROUND(L7*'Premissas'!$B$10,2)</f>
        <v>1000.5</v>
      </c>
      <c r="Q7" s="8">
        <f>ROUND(L7*'Premissas'!$B$11,2)</f>
        <v>200.1</v>
      </c>
      <c r="R7" s="8">
        <f>ROUND(B7*'Premissas'!$B$12*'Premissas'!$B$6,2)</f>
        <v>2500.0</v>
      </c>
      <c r="S7" s="8">
        <f>ROUND(B7*'Premissas'!$B$13*'Premissas'!$B$6,2)</f>
        <v>250.0</v>
      </c>
      <c r="T7" s="8">
        <f>ROUND(L7-M7-P7-Q7-R7-S7,2)</f>
        <v>1829.07</v>
      </c>
      <c r="U7" s="10">
        <f>C7*'Premissas'!$B$16</f>
        <v>80</v>
      </c>
      <c r="V7" s="8">
        <f>ROUND(C7*'Premissas'!$B$15,2)</f>
        <v>30000.0</v>
      </c>
      <c r="W7" s="8">
        <f>ROUND(V7*'Premissas'!$B$19+V6*(1-'Premissas'!$B$19),2)</f>
        <v>15000.0</v>
      </c>
      <c r="X7" s="8">
        <f>ROUND(U7*'Premissas'!$B$17,2)</f>
        <v>14400.0</v>
      </c>
      <c r="Y7" s="8">
        <f>ROUND(V7*'Premissas'!$B$10,2)</f>
        <v>4500.0</v>
      </c>
      <c r="Z7" s="8">
        <f>ROUND(W7*'Premissas'!$B$18,2)</f>
        <v>750.0</v>
      </c>
      <c r="AA7" s="8">
        <f>ROUND(V7*'Premissas'!$B$18,2)</f>
        <v>1500.0</v>
      </c>
      <c r="AB7" s="8">
        <f>ROUND(V7-X7-Y7-AA7,2)</f>
        <v>9600.0</v>
      </c>
      <c r="AC7" s="10">
        <f>D7*'Ofertas'!$C$5</f>
        <v>0.0</v>
      </c>
      <c r="AD7" s="8">
        <f>ROUND(D7*'Ofertas'!$B$5,2)</f>
        <v>0.0</v>
      </c>
      <c r="AE7" s="8">
        <f>AD7</f>
        <v>0.0</v>
      </c>
      <c r="AF7" s="8">
        <f>ROUND(AC7*'Ofertas'!$D$5,2)</f>
        <v>0.0</v>
      </c>
      <c r="AG7" s="8">
        <f>ROUND(AD7*'Premissas'!$B$10,2)</f>
        <v>0.0</v>
      </c>
      <c r="AH7" s="8">
        <f>ROUND(AD7*'Premissas'!$B$31,2)</f>
        <v>0.0</v>
      </c>
      <c r="AI7" s="8">
        <f>ROUND(D7*'Ofertas'!$H$5,2)</f>
        <v>0.0</v>
      </c>
      <c r="AJ7" s="8">
        <f>ROUND(AD7-AF7-AG7-AH7-AI7,2)</f>
        <v>0.0</v>
      </c>
      <c r="AK7" s="10">
        <f>E7*'Ofertas'!$C$6</f>
        <v>0.0</v>
      </c>
      <c r="AL7" s="8">
        <f>ROUND(E7*'Ofertas'!$B$6,2)</f>
        <v>0.0</v>
      </c>
      <c r="AM7" s="8">
        <f>ROUND(AL7*'Premissas'!$B$32+AL6*(1-'Premissas'!$B$32),2)</f>
        <v>0.0</v>
      </c>
      <c r="AN7" s="8">
        <f>ROUND(AK7*'Ofertas'!$D$6,2)</f>
        <v>0.0</v>
      </c>
      <c r="AO7" s="8">
        <f>ROUND(AL7*'Premissas'!$B$10,2)</f>
        <v>0.0</v>
      </c>
      <c r="AP7" s="8">
        <f>ROUND(AL7*'Premissas'!$B$31,2)</f>
        <v>0.0</v>
      </c>
      <c r="AQ7" s="8">
        <f>ROUND(E7*'Ofertas'!$H$6,2)</f>
        <v>0.0</v>
      </c>
      <c r="AR7" s="8">
        <f>ROUND(AL7-AN7-AO7-AP7-AQ7,2)</f>
        <v>0.0</v>
      </c>
      <c r="AS7" s="10">
        <f>F7*'Ofertas'!$C$7</f>
        <v>0.0</v>
      </c>
      <c r="AT7" s="8">
        <f>ROUND(F7*'Ofertas'!$B$7,2)</f>
        <v>0.0</v>
      </c>
      <c r="AU7" s="8">
        <f>AT7</f>
        <v>0.0</v>
      </c>
      <c r="AV7" s="8">
        <f>ROUND(AS7*'Ofertas'!$D$7,2)</f>
        <v>0.0</v>
      </c>
      <c r="AW7" s="8">
        <f>ROUND(AT7*'Premissas'!$B$10,2)</f>
        <v>0.0</v>
      </c>
      <c r="AX7" s="8">
        <f>ROUND(AT7*'Premissas'!$B$31,2)</f>
        <v>0.0</v>
      </c>
      <c r="AY7" s="8">
        <f>ROUND(F7*'Ofertas'!$H$7,2)</f>
        <v>0.0</v>
      </c>
      <c r="AZ7" s="8">
        <f>ROUND(AT7-AV7-AW7-AX7-AY7,2)</f>
        <v>0.0</v>
      </c>
      <c r="BA7" s="10">
        <f>G7*'Ofertas'!$C$8</f>
        <v>0.0</v>
      </c>
      <c r="BB7" s="8">
        <f>ROUND(G7*'Ofertas'!$B$8,2)</f>
        <v>0.0</v>
      </c>
      <c r="BC7" s="8">
        <f>BB7</f>
        <v>0.0</v>
      </c>
      <c r="BD7" s="8">
        <f>ROUND(BA7*'Ofertas'!$D$8,2)</f>
        <v>0.0</v>
      </c>
      <c r="BE7" s="8">
        <f>ROUND(BB7*'Premissas'!$B$10,2)</f>
        <v>0.0</v>
      </c>
      <c r="BF7" s="8">
        <f>ROUND(BB7*'Premissas'!$B$31,2)</f>
        <v>0.0</v>
      </c>
      <c r="BG7" s="8">
        <f>ROUND(G7*'Ofertas'!$H$8,2)</f>
        <v>0.0</v>
      </c>
      <c r="BH7" s="8">
        <f>ROUND(BB7-BD7-BE7-BF7-BG7,2)</f>
        <v>0.0</v>
      </c>
      <c r="BI7" s="10">
        <f>U7+AC7+AK7+AS7+BA7</f>
        <v>80.0</v>
      </c>
      <c r="BJ7" s="11">
        <f>BI7/'Premissas'!$B$30</f>
        <v>0.5</v>
      </c>
      <c r="BK7" s="8">
        <f>IF(A7&lt;=12,'Premissas'!$B$24,'Premissas'!$B$25)</f>
        <v>37000</v>
      </c>
      <c r="BL7" s="8">
        <f>ROUND(J7+V7+AD7+AL7+AT7+BB7,2)</f>
        <v>37250.0</v>
      </c>
      <c r="BM7" s="8">
        <f>ROUND(L7+V7+AD7+AL7+AT7+BB7,2)</f>
        <v>36670.0</v>
      </c>
      <c r="BN7" s="8">
        <f>ROUND(T7+AB7+AJ7+AR7+AZ7+BH7,2)</f>
        <v>11429.07</v>
      </c>
      <c r="BO7" s="8">
        <f>ROUND(O7+W7+AE7+AM7+AU7+BC7,2)</f>
        <v>15000.0</v>
      </c>
      <c r="BP7" s="8">
        <f>ROUND(P7+Q7+R7+S7+X7+Y7+Z7+BK7+AF7+AG7+AH7+AI7+AN7+AO7+AP7+AQ7+AV7+AW7+AX7+AY7+BD7+BE7+BF7+BG7,2)</f>
        <v>60600.6</v>
      </c>
      <c r="BQ7" s="8">
        <f>ROUND(BO7-BP7,2)</f>
        <v>-45600.6</v>
      </c>
      <c r="BR7" s="8">
        <f>ROUND(BR6+BQ7,2)</f>
        <v>-219600.6</v>
      </c>
      <c r="BS7" s="8">
        <f>ROUND(BN7-BK7,2)</f>
        <v>-25570.93</v>
      </c>
      <c r="BT7" s="8">
        <f>ROUND(BT6+N7-O7+V7-W7+AL7-AM7,2)</f>
        <v>20779.67</v>
      </c>
      <c r="BU7" s="10">
        <f>IF(BR7&gt;=0,A7,999)</f>
        <v>999</v>
      </c>
      <c r="BV7" s="8">
        <f>ROUND(BR7+200000,2)</f>
        <v>-19600.6</v>
      </c>
    </row>
    <row r="8" spans="1:74">
      <c r="A8" s="10">
        <v>4</v>
      </c>
      <c r="B8" s="10">
        <f>'Base'!B8</f>
        <v>150</v>
      </c>
      <c r="C8" s="10">
        <f>'Base'!C8</f>
        <v>0</v>
      </c>
      <c r="D8" s="10">
        <f>ROUNDDOWN('Base'!D8*'Premissas'!$B$29,0)</f>
        <v>1</v>
      </c>
      <c r="E8" s="10">
        <f>ROUNDDOWN('Base'!E8*'Premissas'!$B$29,0)</f>
        <v>0</v>
      </c>
      <c r="F8" s="10">
        <f>ROUNDDOWN('Base'!F8*'Premissas'!$B$29,0)</f>
        <v>0</v>
      </c>
      <c r="G8" s="10">
        <f>MAX(0,F8-F7)</f>
        <v>0</v>
      </c>
      <c r="H8" s="10">
        <f>ROUNDUP(B8/'Premissas'!$B$14,0)</f>
        <v>7500</v>
      </c>
      <c r="I8" s="8">
        <f>ROUND(B8*'Premissas'!$B$5,2)</f>
        <v>4350.0</v>
      </c>
      <c r="J8" s="8">
        <f>ROUND(I8*'Premissas'!$B$6,2)</f>
        <v>21750.0</v>
      </c>
      <c r="K8" s="8">
        <f>ROUND(J8*'Premissas'!$B$7,2)</f>
        <v>1740.0</v>
      </c>
      <c r="L8" s="8">
        <f>ROUND(J8-K8,2)</f>
        <v>20010.0</v>
      </c>
      <c r="M8" s="8">
        <f>ROUND(L8*'Premissas'!$B$8+B8*(1-'Premissas'!$B$7)*'Premissas'!$B$9*'Premissas'!$B$6,2)</f>
        <v>2670.99</v>
      </c>
      <c r="N8" s="8">
        <f>ROUND(L8-M8,2)</f>
        <v>17339.01</v>
      </c>
      <c r="O8" s="8">
        <f>IF(A8&gt;'Premissas'!$B$20,INDEX($N$5:$N$28,MAX(1,A8-'Premissas'!$B$20)),0)</f>
        <v>5779.67</v>
      </c>
      <c r="P8" s="8">
        <f>ROUND(L8*'Premissas'!$B$10,2)</f>
        <v>3001.5</v>
      </c>
      <c r="Q8" s="8">
        <f>ROUND(L8*'Premissas'!$B$11,2)</f>
        <v>600.3</v>
      </c>
      <c r="R8" s="8">
        <f>ROUND(B8*'Premissas'!$B$12*'Premissas'!$B$6,2)</f>
        <v>7500.0</v>
      </c>
      <c r="S8" s="8">
        <f>ROUND(B8*'Premissas'!$B$13*'Premissas'!$B$6,2)</f>
        <v>750.0</v>
      </c>
      <c r="T8" s="8">
        <f>ROUND(L8-M8-P8-Q8-R8-S8,2)</f>
        <v>5487.21</v>
      </c>
      <c r="U8" s="10">
        <f>C8*'Premissas'!$B$16</f>
        <v>0</v>
      </c>
      <c r="V8" s="8">
        <f>ROUND(C8*'Premissas'!$B$15,2)</f>
        <v>0.0</v>
      </c>
      <c r="W8" s="8">
        <f>ROUND(V8*'Premissas'!$B$19+V7*(1-'Premissas'!$B$19),2)</f>
        <v>15000.0</v>
      </c>
      <c r="X8" s="8">
        <f>ROUND(U8*'Premissas'!$B$17,2)</f>
        <v>0.0</v>
      </c>
      <c r="Y8" s="8">
        <f>ROUND(V8*'Premissas'!$B$10,2)</f>
        <v>0.0</v>
      </c>
      <c r="Z8" s="8">
        <f>ROUND(W8*'Premissas'!$B$18,2)</f>
        <v>750.0</v>
      </c>
      <c r="AA8" s="8">
        <f>ROUND(V8*'Premissas'!$B$18,2)</f>
        <v>0.0</v>
      </c>
      <c r="AB8" s="8">
        <f>ROUND(V8-X8-Y8-AA8,2)</f>
        <v>0.0</v>
      </c>
      <c r="AC8" s="10">
        <f>D8*'Ofertas'!$C$5</f>
        <v>12.0</v>
      </c>
      <c r="AD8" s="8">
        <f>ROUND(D8*'Ofertas'!$B$5,2)</f>
        <v>4500.0</v>
      </c>
      <c r="AE8" s="8">
        <f>AD8</f>
        <v>4500.0</v>
      </c>
      <c r="AF8" s="8">
        <f>ROUND(AC8*'Ofertas'!$D$5,2)</f>
        <v>1440.0</v>
      </c>
      <c r="AG8" s="8">
        <f>ROUND(AD8*'Premissas'!$B$10,2)</f>
        <v>675.0</v>
      </c>
      <c r="AH8" s="8">
        <f>ROUND(AD8*'Premissas'!$B$31,2)</f>
        <v>225.0</v>
      </c>
      <c r="AI8" s="8">
        <f>ROUND(D8*'Ofertas'!$H$5,2)</f>
        <v>160.0</v>
      </c>
      <c r="AJ8" s="8">
        <f>ROUND(AD8-AF8-AG8-AH8-AI8,2)</f>
        <v>2000.0</v>
      </c>
      <c r="AK8" s="10">
        <f>E8*'Ofertas'!$C$6</f>
        <v>0.0</v>
      </c>
      <c r="AL8" s="8">
        <f>ROUND(E8*'Ofertas'!$B$6,2)</f>
        <v>0.0</v>
      </c>
      <c r="AM8" s="8">
        <f>ROUND(AL8*'Premissas'!$B$32+AL7*(1-'Premissas'!$B$32),2)</f>
        <v>0.0</v>
      </c>
      <c r="AN8" s="8">
        <f>ROUND(AK8*'Ofertas'!$D$6,2)</f>
        <v>0.0</v>
      </c>
      <c r="AO8" s="8">
        <f>ROUND(AL8*'Premissas'!$B$10,2)</f>
        <v>0.0</v>
      </c>
      <c r="AP8" s="8">
        <f>ROUND(AL8*'Premissas'!$B$31,2)</f>
        <v>0.0</v>
      </c>
      <c r="AQ8" s="8">
        <f>ROUND(E8*'Ofertas'!$H$6,2)</f>
        <v>0.0</v>
      </c>
      <c r="AR8" s="8">
        <f>ROUND(AL8-AN8-AO8-AP8-AQ8,2)</f>
        <v>0.0</v>
      </c>
      <c r="AS8" s="10">
        <f>F8*'Ofertas'!$C$7</f>
        <v>0.0</v>
      </c>
      <c r="AT8" s="8">
        <f>ROUND(F8*'Ofertas'!$B$7,2)</f>
        <v>0.0</v>
      </c>
      <c r="AU8" s="8">
        <f>AT8</f>
        <v>0.0</v>
      </c>
      <c r="AV8" s="8">
        <f>ROUND(AS8*'Ofertas'!$D$7,2)</f>
        <v>0.0</v>
      </c>
      <c r="AW8" s="8">
        <f>ROUND(AT8*'Premissas'!$B$10,2)</f>
        <v>0.0</v>
      </c>
      <c r="AX8" s="8">
        <f>ROUND(AT8*'Premissas'!$B$31,2)</f>
        <v>0.0</v>
      </c>
      <c r="AY8" s="8">
        <f>ROUND(F8*'Ofertas'!$H$7,2)</f>
        <v>0.0</v>
      </c>
      <c r="AZ8" s="8">
        <f>ROUND(AT8-AV8-AW8-AX8-AY8,2)</f>
        <v>0.0</v>
      </c>
      <c r="BA8" s="10">
        <f>G8*'Ofertas'!$C$8</f>
        <v>0.0</v>
      </c>
      <c r="BB8" s="8">
        <f>ROUND(G8*'Ofertas'!$B$8,2)</f>
        <v>0.0</v>
      </c>
      <c r="BC8" s="8">
        <f>BB8</f>
        <v>0.0</v>
      </c>
      <c r="BD8" s="8">
        <f>ROUND(BA8*'Ofertas'!$D$8,2)</f>
        <v>0.0</v>
      </c>
      <c r="BE8" s="8">
        <f>ROUND(BB8*'Premissas'!$B$10,2)</f>
        <v>0.0</v>
      </c>
      <c r="BF8" s="8">
        <f>ROUND(BB8*'Premissas'!$B$31,2)</f>
        <v>0.0</v>
      </c>
      <c r="BG8" s="8">
        <f>ROUND(G8*'Ofertas'!$H$8,2)</f>
        <v>0.0</v>
      </c>
      <c r="BH8" s="8">
        <f>ROUND(BB8-BD8-BE8-BF8-BG8,2)</f>
        <v>0.0</v>
      </c>
      <c r="BI8" s="10">
        <f>U8+AC8+AK8+AS8+BA8</f>
        <v>12.0</v>
      </c>
      <c r="BJ8" s="11">
        <f>BI8/'Premissas'!$B$30</f>
        <v>0.075</v>
      </c>
      <c r="BK8" s="8">
        <f>IF(A8&lt;=12,'Premissas'!$B$24,'Premissas'!$B$25)</f>
        <v>37000</v>
      </c>
      <c r="BL8" s="8">
        <f>ROUND(J8+V8+AD8+AL8+AT8+BB8,2)</f>
        <v>26250.0</v>
      </c>
      <c r="BM8" s="8">
        <f>ROUND(L8+V8+AD8+AL8+AT8+BB8,2)</f>
        <v>24510.0</v>
      </c>
      <c r="BN8" s="8">
        <f>ROUND(T8+AB8+AJ8+AR8+AZ8+BH8,2)</f>
        <v>7487.21</v>
      </c>
      <c r="BO8" s="8">
        <f>ROUND(O8+W8+AE8+AM8+AU8+BC8,2)</f>
        <v>25279.67</v>
      </c>
      <c r="BP8" s="8">
        <f>ROUND(P8+Q8+R8+S8+X8+Y8+Z8+BK8+AF8+AG8+AH8+AI8+AN8+AO8+AP8+AQ8+AV8+AW8+AX8+AY8+BD8+BE8+BF8+BG8,2)</f>
        <v>52101.8</v>
      </c>
      <c r="BQ8" s="8">
        <f>ROUND(BO8-BP8,2)</f>
        <v>-26822.13</v>
      </c>
      <c r="BR8" s="8">
        <f>ROUND(BR7+BQ8,2)</f>
        <v>-246422.73</v>
      </c>
      <c r="BS8" s="8">
        <f>ROUND(BN8-BK8,2)</f>
        <v>-29512.79</v>
      </c>
      <c r="BT8" s="8">
        <f>ROUND(BT7+N8-O8+V8-W8+AL8-AM8,2)</f>
        <v>17339.01</v>
      </c>
      <c r="BU8" s="10">
        <f>IF(BR8&gt;=0,A8,999)</f>
        <v>999</v>
      </c>
      <c r="BV8" s="8">
        <f>ROUND(BR8+200000,2)</f>
        <v>-46422.73</v>
      </c>
    </row>
    <row r="9" spans="1:74">
      <c r="A9" s="10">
        <v>5</v>
      </c>
      <c r="B9" s="10">
        <f>'Base'!B9</f>
        <v>300</v>
      </c>
      <c r="C9" s="10">
        <f>'Base'!C9</f>
        <v>1</v>
      </c>
      <c r="D9" s="10">
        <f>ROUNDDOWN('Base'!D9*'Premissas'!$B$29,0)</f>
        <v>1</v>
      </c>
      <c r="E9" s="10">
        <f>ROUNDDOWN('Base'!E9*'Premissas'!$B$29,0)</f>
        <v>0</v>
      </c>
      <c r="F9" s="10">
        <f>ROUNDDOWN('Base'!F9*'Premissas'!$B$29,0)</f>
        <v>1</v>
      </c>
      <c r="G9" s="10">
        <f>MAX(0,F9-F8)</f>
        <v>1</v>
      </c>
      <c r="H9" s="10">
        <f>ROUNDUP(B9/'Premissas'!$B$14,0)</f>
        <v>15000</v>
      </c>
      <c r="I9" s="8">
        <f>ROUND(B9*'Premissas'!$B$5,2)</f>
        <v>8700.0</v>
      </c>
      <c r="J9" s="8">
        <f>ROUND(I9*'Premissas'!$B$6,2)</f>
        <v>43500.0</v>
      </c>
      <c r="K9" s="8">
        <f>ROUND(J9*'Premissas'!$B$7,2)</f>
        <v>3480.0</v>
      </c>
      <c r="L9" s="8">
        <f>ROUND(J9-K9,2)</f>
        <v>40020.0</v>
      </c>
      <c r="M9" s="8">
        <f>ROUND(L9*'Premissas'!$B$8+B9*(1-'Premissas'!$B$7)*'Premissas'!$B$9*'Premissas'!$B$6,2)</f>
        <v>5341.98</v>
      </c>
      <c r="N9" s="8">
        <f>ROUND(L9-M9,2)</f>
        <v>34678.02</v>
      </c>
      <c r="O9" s="8">
        <f>IF(A9&gt;'Premissas'!$B$20,INDEX($N$5:$N$28,MAX(1,A9-'Premissas'!$B$20)),0)</f>
        <v>17339.01</v>
      </c>
      <c r="P9" s="8">
        <f>ROUND(L9*'Premissas'!$B$10,2)</f>
        <v>6003.0</v>
      </c>
      <c r="Q9" s="8">
        <f>ROUND(L9*'Premissas'!$B$11,2)</f>
        <v>1200.6</v>
      </c>
      <c r="R9" s="8">
        <f>ROUND(B9*'Premissas'!$B$12*'Premissas'!$B$6,2)</f>
        <v>15000.0</v>
      </c>
      <c r="S9" s="8">
        <f>ROUND(B9*'Premissas'!$B$13*'Premissas'!$B$6,2)</f>
        <v>1500.0</v>
      </c>
      <c r="T9" s="8">
        <f>ROUND(L9-M9-P9-Q9-R9-S9,2)</f>
        <v>10974.42</v>
      </c>
      <c r="U9" s="10">
        <f>C9*'Premissas'!$B$16</f>
        <v>80</v>
      </c>
      <c r="V9" s="8">
        <f>ROUND(C9*'Premissas'!$B$15,2)</f>
        <v>30000.0</v>
      </c>
      <c r="W9" s="8">
        <f>ROUND(V9*'Premissas'!$B$19+V8*(1-'Premissas'!$B$19),2)</f>
        <v>15000.0</v>
      </c>
      <c r="X9" s="8">
        <f>ROUND(U9*'Premissas'!$B$17,2)</f>
        <v>14400.0</v>
      </c>
      <c r="Y9" s="8">
        <f>ROUND(V9*'Premissas'!$B$10,2)</f>
        <v>4500.0</v>
      </c>
      <c r="Z9" s="8">
        <f>ROUND(W9*'Premissas'!$B$18,2)</f>
        <v>750.0</v>
      </c>
      <c r="AA9" s="8">
        <f>ROUND(V9*'Premissas'!$B$18,2)</f>
        <v>1500.0</v>
      </c>
      <c r="AB9" s="8">
        <f>ROUND(V9-X9-Y9-AA9,2)</f>
        <v>9600.0</v>
      </c>
      <c r="AC9" s="10">
        <f>D9*'Ofertas'!$C$5</f>
        <v>12.0</v>
      </c>
      <c r="AD9" s="8">
        <f>ROUND(D9*'Ofertas'!$B$5,2)</f>
        <v>4500.0</v>
      </c>
      <c r="AE9" s="8">
        <f>AD9</f>
        <v>4500.0</v>
      </c>
      <c r="AF9" s="8">
        <f>ROUND(AC9*'Ofertas'!$D$5,2)</f>
        <v>1440.0</v>
      </c>
      <c r="AG9" s="8">
        <f>ROUND(AD9*'Premissas'!$B$10,2)</f>
        <v>675.0</v>
      </c>
      <c r="AH9" s="8">
        <f>ROUND(AD9*'Premissas'!$B$31,2)</f>
        <v>225.0</v>
      </c>
      <c r="AI9" s="8">
        <f>ROUND(D9*'Ofertas'!$H$5,2)</f>
        <v>160.0</v>
      </c>
      <c r="AJ9" s="8">
        <f>ROUND(AD9-AF9-AG9-AH9-AI9,2)</f>
        <v>2000.0</v>
      </c>
      <c r="AK9" s="10">
        <f>E9*'Ofertas'!$C$6</f>
        <v>0.0</v>
      </c>
      <c r="AL9" s="8">
        <f>ROUND(E9*'Ofertas'!$B$6,2)</f>
        <v>0.0</v>
      </c>
      <c r="AM9" s="8">
        <f>ROUND(AL9*'Premissas'!$B$32+AL8*(1-'Premissas'!$B$32),2)</f>
        <v>0.0</v>
      </c>
      <c r="AN9" s="8">
        <f>ROUND(AK9*'Ofertas'!$D$6,2)</f>
        <v>0.0</v>
      </c>
      <c r="AO9" s="8">
        <f>ROUND(AL9*'Premissas'!$B$10,2)</f>
        <v>0.0</v>
      </c>
      <c r="AP9" s="8">
        <f>ROUND(AL9*'Premissas'!$B$31,2)</f>
        <v>0.0</v>
      </c>
      <c r="AQ9" s="8">
        <f>ROUND(E9*'Ofertas'!$H$6,2)</f>
        <v>0.0</v>
      </c>
      <c r="AR9" s="8">
        <f>ROUND(AL9-AN9-AO9-AP9-AQ9,2)</f>
        <v>0.0</v>
      </c>
      <c r="AS9" s="10">
        <f>F9*'Ofertas'!$C$7</f>
        <v>8.0</v>
      </c>
      <c r="AT9" s="8">
        <f>ROUND(F9*'Ofertas'!$B$7,2)</f>
        <v>3500.0</v>
      </c>
      <c r="AU9" s="8">
        <f>AT9</f>
        <v>3500.0</v>
      </c>
      <c r="AV9" s="8">
        <f>ROUND(AS9*'Ofertas'!$D$7,2)</f>
        <v>960.0</v>
      </c>
      <c r="AW9" s="8">
        <f>ROUND(AT9*'Premissas'!$B$10,2)</f>
        <v>525.0</v>
      </c>
      <c r="AX9" s="8">
        <f>ROUND(AT9*'Premissas'!$B$31,2)</f>
        <v>175.0</v>
      </c>
      <c r="AY9" s="8">
        <f>ROUND(F9*'Ofertas'!$H$7,2)</f>
        <v>210.0</v>
      </c>
      <c r="AZ9" s="8">
        <f>ROUND(AT9-AV9-AW9-AX9-AY9,2)</f>
        <v>1630.0</v>
      </c>
      <c r="BA9" s="10">
        <f>G9*'Ofertas'!$C$8</f>
        <v>20.0</v>
      </c>
      <c r="BB9" s="8">
        <f>ROUND(G9*'Ofertas'!$B$8,2)</f>
        <v>6000.0</v>
      </c>
      <c r="BC9" s="8">
        <f>BB9</f>
        <v>6000.0</v>
      </c>
      <c r="BD9" s="8">
        <f>ROUND(BA9*'Ofertas'!$D$8,2)</f>
        <v>3600.0</v>
      </c>
      <c r="BE9" s="8">
        <f>ROUND(BB9*'Premissas'!$B$10,2)</f>
        <v>900.0</v>
      </c>
      <c r="BF9" s="8">
        <f>ROUND(BB9*'Premissas'!$B$31,2)</f>
        <v>300.0</v>
      </c>
      <c r="BG9" s="8">
        <f>ROUND(G9*'Ofertas'!$H$8,2)</f>
        <v>200.0</v>
      </c>
      <c r="BH9" s="8">
        <f>ROUND(BB9-BD9-BE9-BF9-BG9,2)</f>
        <v>1000.0</v>
      </c>
      <c r="BI9" s="10">
        <f>U9+AC9+AK9+AS9+BA9</f>
        <v>120.0</v>
      </c>
      <c r="BJ9" s="11">
        <f>BI9/'Premissas'!$B$30</f>
        <v>0.75</v>
      </c>
      <c r="BK9" s="8">
        <f>IF(A9&lt;=12,'Premissas'!$B$24,'Premissas'!$B$25)</f>
        <v>37000</v>
      </c>
      <c r="BL9" s="8">
        <f>ROUND(J9+V9+AD9+AL9+AT9+BB9,2)</f>
        <v>87500.0</v>
      </c>
      <c r="BM9" s="8">
        <f>ROUND(L9+V9+AD9+AL9+AT9+BB9,2)</f>
        <v>84020.0</v>
      </c>
      <c r="BN9" s="8">
        <f>ROUND(T9+AB9+AJ9+AR9+AZ9+BH9,2)</f>
        <v>25204.42</v>
      </c>
      <c r="BO9" s="8">
        <f>ROUND(O9+W9+AE9+AM9+AU9+BC9,2)</f>
        <v>46339.01</v>
      </c>
      <c r="BP9" s="8">
        <f>ROUND(P9+Q9+R9+S9+X9+Y9+Z9+BK9+AF9+AG9+AH9+AI9+AN9+AO9+AP9+AQ9+AV9+AW9+AX9+AY9+BD9+BE9+BF9+BG9,2)</f>
        <v>89723.6</v>
      </c>
      <c r="BQ9" s="8">
        <f>ROUND(BO9-BP9,2)</f>
        <v>-43384.59</v>
      </c>
      <c r="BR9" s="8">
        <f>ROUND(BR8+BQ9,2)</f>
        <v>-289807.32</v>
      </c>
      <c r="BS9" s="8">
        <f>ROUND(BN9-BK9,2)</f>
        <v>-11795.58</v>
      </c>
      <c r="BT9" s="8">
        <f>ROUND(BT8+N9-O9+V9-W9+AL9-AM9,2)</f>
        <v>49678.02</v>
      </c>
      <c r="BU9" s="10">
        <f>IF(BR9&gt;=0,A9,999)</f>
        <v>999</v>
      </c>
      <c r="BV9" s="8">
        <f>ROUND(BR9+200000,2)</f>
        <v>-89807.32</v>
      </c>
    </row>
    <row r="10" spans="1:74">
      <c r="A10" s="10">
        <v>6</v>
      </c>
      <c r="B10" s="10">
        <f>'Base'!B10</f>
        <v>500</v>
      </c>
      <c r="C10" s="10">
        <f>'Base'!C10</f>
        <v>0</v>
      </c>
      <c r="D10" s="10">
        <f>ROUNDDOWN('Base'!D10*'Premissas'!$B$29,0)</f>
        <v>2</v>
      </c>
      <c r="E10" s="10">
        <f>ROUNDDOWN('Base'!E10*'Premissas'!$B$29,0)</f>
        <v>0</v>
      </c>
      <c r="F10" s="10">
        <f>ROUNDDOWN('Base'!F10*'Premissas'!$B$29,0)</f>
        <v>1</v>
      </c>
      <c r="G10" s="10">
        <f>MAX(0,F10-F9)</f>
        <v>0</v>
      </c>
      <c r="H10" s="10">
        <f>ROUNDUP(B10/'Premissas'!$B$14,0)</f>
        <v>25000</v>
      </c>
      <c r="I10" s="8">
        <f>ROUND(B10*'Premissas'!$B$5,2)</f>
        <v>14500.0</v>
      </c>
      <c r="J10" s="8">
        <f>ROUND(I10*'Premissas'!$B$6,2)</f>
        <v>72500.0</v>
      </c>
      <c r="K10" s="8">
        <f>ROUND(J10*'Premissas'!$B$7,2)</f>
        <v>5800.0</v>
      </c>
      <c r="L10" s="8">
        <f>ROUND(J10-K10,2)</f>
        <v>66700.0</v>
      </c>
      <c r="M10" s="8">
        <f>ROUND(L10*'Premissas'!$B$8+B10*(1-'Premissas'!$B$7)*'Premissas'!$B$9*'Premissas'!$B$6,2)</f>
        <v>8903.3</v>
      </c>
      <c r="N10" s="8">
        <f>ROUND(L10-M10,2)</f>
        <v>57796.7</v>
      </c>
      <c r="O10" s="8">
        <f>IF(A10&gt;'Premissas'!$B$20,INDEX($N$5:$N$28,MAX(1,A10-'Premissas'!$B$20)),0)</f>
        <v>34678.02</v>
      </c>
      <c r="P10" s="8">
        <f>ROUND(L10*'Premissas'!$B$10,2)</f>
        <v>10005.0</v>
      </c>
      <c r="Q10" s="8">
        <f>ROUND(L10*'Premissas'!$B$11,2)</f>
        <v>2001.0</v>
      </c>
      <c r="R10" s="8">
        <f>ROUND(B10*'Premissas'!$B$12*'Premissas'!$B$6,2)</f>
        <v>25000.0</v>
      </c>
      <c r="S10" s="8">
        <f>ROUND(B10*'Premissas'!$B$13*'Premissas'!$B$6,2)</f>
        <v>2500.0</v>
      </c>
      <c r="T10" s="8">
        <f>ROUND(L10-M10-P10-Q10-R10-S10,2)</f>
        <v>18290.7</v>
      </c>
      <c r="U10" s="10">
        <f>C10*'Premissas'!$B$16</f>
        <v>0</v>
      </c>
      <c r="V10" s="8">
        <f>ROUND(C10*'Premissas'!$B$15,2)</f>
        <v>0.0</v>
      </c>
      <c r="W10" s="8">
        <f>ROUND(V10*'Premissas'!$B$19+V9*(1-'Premissas'!$B$19),2)</f>
        <v>15000.0</v>
      </c>
      <c r="X10" s="8">
        <f>ROUND(U10*'Premissas'!$B$17,2)</f>
        <v>0.0</v>
      </c>
      <c r="Y10" s="8">
        <f>ROUND(V10*'Premissas'!$B$10,2)</f>
        <v>0.0</v>
      </c>
      <c r="Z10" s="8">
        <f>ROUND(W10*'Premissas'!$B$18,2)</f>
        <v>750.0</v>
      </c>
      <c r="AA10" s="8">
        <f>ROUND(V10*'Premissas'!$B$18,2)</f>
        <v>0.0</v>
      </c>
      <c r="AB10" s="8">
        <f>ROUND(V10-X10-Y10-AA10,2)</f>
        <v>0.0</v>
      </c>
      <c r="AC10" s="10">
        <f>D10*'Ofertas'!$C$5</f>
        <v>24.0</v>
      </c>
      <c r="AD10" s="8">
        <f>ROUND(D10*'Ofertas'!$B$5,2)</f>
        <v>9000.0</v>
      </c>
      <c r="AE10" s="8">
        <f>AD10</f>
        <v>9000.0</v>
      </c>
      <c r="AF10" s="8">
        <f>ROUND(AC10*'Ofertas'!$D$5,2)</f>
        <v>2880.0</v>
      </c>
      <c r="AG10" s="8">
        <f>ROUND(AD10*'Premissas'!$B$10,2)</f>
        <v>1350.0</v>
      </c>
      <c r="AH10" s="8">
        <f>ROUND(AD10*'Premissas'!$B$31,2)</f>
        <v>450.0</v>
      </c>
      <c r="AI10" s="8">
        <f>ROUND(D10*'Ofertas'!$H$5,2)</f>
        <v>320.0</v>
      </c>
      <c r="AJ10" s="8">
        <f>ROUND(AD10-AF10-AG10-AH10-AI10,2)</f>
        <v>4000.0</v>
      </c>
      <c r="AK10" s="10">
        <f>E10*'Ofertas'!$C$6</f>
        <v>0.0</v>
      </c>
      <c r="AL10" s="8">
        <f>ROUND(E10*'Ofertas'!$B$6,2)</f>
        <v>0.0</v>
      </c>
      <c r="AM10" s="8">
        <f>ROUND(AL10*'Premissas'!$B$32+AL9*(1-'Premissas'!$B$32),2)</f>
        <v>0.0</v>
      </c>
      <c r="AN10" s="8">
        <f>ROUND(AK10*'Ofertas'!$D$6,2)</f>
        <v>0.0</v>
      </c>
      <c r="AO10" s="8">
        <f>ROUND(AL10*'Premissas'!$B$10,2)</f>
        <v>0.0</v>
      </c>
      <c r="AP10" s="8">
        <f>ROUND(AL10*'Premissas'!$B$31,2)</f>
        <v>0.0</v>
      </c>
      <c r="AQ10" s="8">
        <f>ROUND(E10*'Ofertas'!$H$6,2)</f>
        <v>0.0</v>
      </c>
      <c r="AR10" s="8">
        <f>ROUND(AL10-AN10-AO10-AP10-AQ10,2)</f>
        <v>0.0</v>
      </c>
      <c r="AS10" s="10">
        <f>F10*'Ofertas'!$C$7</f>
        <v>8.0</v>
      </c>
      <c r="AT10" s="8">
        <f>ROUND(F10*'Ofertas'!$B$7,2)</f>
        <v>3500.0</v>
      </c>
      <c r="AU10" s="8">
        <f>AT10</f>
        <v>3500.0</v>
      </c>
      <c r="AV10" s="8">
        <f>ROUND(AS10*'Ofertas'!$D$7,2)</f>
        <v>960.0</v>
      </c>
      <c r="AW10" s="8">
        <f>ROUND(AT10*'Premissas'!$B$10,2)</f>
        <v>525.0</v>
      </c>
      <c r="AX10" s="8">
        <f>ROUND(AT10*'Premissas'!$B$31,2)</f>
        <v>175.0</v>
      </c>
      <c r="AY10" s="8">
        <f>ROUND(F10*'Ofertas'!$H$7,2)</f>
        <v>210.0</v>
      </c>
      <c r="AZ10" s="8">
        <f>ROUND(AT10-AV10-AW10-AX10-AY10,2)</f>
        <v>1630.0</v>
      </c>
      <c r="BA10" s="10">
        <f>G10*'Ofertas'!$C$8</f>
        <v>0.0</v>
      </c>
      <c r="BB10" s="8">
        <f>ROUND(G10*'Ofertas'!$B$8,2)</f>
        <v>0.0</v>
      </c>
      <c r="BC10" s="8">
        <f>BB10</f>
        <v>0.0</v>
      </c>
      <c r="BD10" s="8">
        <f>ROUND(BA10*'Ofertas'!$D$8,2)</f>
        <v>0.0</v>
      </c>
      <c r="BE10" s="8">
        <f>ROUND(BB10*'Premissas'!$B$10,2)</f>
        <v>0.0</v>
      </c>
      <c r="BF10" s="8">
        <f>ROUND(BB10*'Premissas'!$B$31,2)</f>
        <v>0.0</v>
      </c>
      <c r="BG10" s="8">
        <f>ROUND(G10*'Ofertas'!$H$8,2)</f>
        <v>0.0</v>
      </c>
      <c r="BH10" s="8">
        <f>ROUND(BB10-BD10-BE10-BF10-BG10,2)</f>
        <v>0.0</v>
      </c>
      <c r="BI10" s="10">
        <f>U10+AC10+AK10+AS10+BA10</f>
        <v>32.0</v>
      </c>
      <c r="BJ10" s="11">
        <f>BI10/'Premissas'!$B$30</f>
        <v>0.2</v>
      </c>
      <c r="BK10" s="8">
        <f>IF(A10&lt;=12,'Premissas'!$B$24,'Premissas'!$B$25)</f>
        <v>37000</v>
      </c>
      <c r="BL10" s="8">
        <f>ROUND(J10+V10+AD10+AL10+AT10+BB10,2)</f>
        <v>85000.0</v>
      </c>
      <c r="BM10" s="8">
        <f>ROUND(L10+V10+AD10+AL10+AT10+BB10,2)</f>
        <v>79200.0</v>
      </c>
      <c r="BN10" s="8">
        <f>ROUND(T10+AB10+AJ10+AR10+AZ10+BH10,2)</f>
        <v>23920.7</v>
      </c>
      <c r="BO10" s="8">
        <f>ROUND(O10+W10+AE10+AM10+AU10+BC10,2)</f>
        <v>62178.02</v>
      </c>
      <c r="BP10" s="8">
        <f>ROUND(P10+Q10+R10+S10+X10+Y10+Z10+BK10+AF10+AG10+AH10+AI10+AN10+AO10+AP10+AQ10+AV10+AW10+AX10+AY10+BD10+BE10+BF10+BG10,2)</f>
        <v>84126.0</v>
      </c>
      <c r="BQ10" s="8">
        <f>ROUND(BO10-BP10,2)</f>
        <v>-21947.98</v>
      </c>
      <c r="BR10" s="8">
        <f>ROUND(BR9+BQ10,2)</f>
        <v>-311755.3</v>
      </c>
      <c r="BS10" s="8">
        <f>ROUND(BN10-BK10,2)</f>
        <v>-13079.3</v>
      </c>
      <c r="BT10" s="8">
        <f>ROUND(BT9+N10-O10+V10-W10+AL10-AM10,2)</f>
        <v>57796.7</v>
      </c>
      <c r="BU10" s="10">
        <f>IF(BR10&gt;=0,A10,999)</f>
        <v>999</v>
      </c>
      <c r="BV10" s="8">
        <f>ROUND(BR10+200000,2)</f>
        <v>-111755.3</v>
      </c>
    </row>
    <row r="11" spans="1:74">
      <c r="A11" s="10">
        <v>7</v>
      </c>
      <c r="B11" s="10">
        <f>'Base'!B11</f>
        <v>750</v>
      </c>
      <c r="C11" s="10">
        <f>'Base'!C11</f>
        <v>1</v>
      </c>
      <c r="D11" s="10">
        <f>ROUNDDOWN('Base'!D11*'Premissas'!$B$29,0)</f>
        <v>2</v>
      </c>
      <c r="E11" s="10">
        <f>ROUNDDOWN('Base'!E11*'Premissas'!$B$29,0)</f>
        <v>1</v>
      </c>
      <c r="F11" s="10">
        <f>ROUNDDOWN('Base'!F11*'Premissas'!$B$29,0)</f>
        <v>1</v>
      </c>
      <c r="G11" s="10">
        <f>MAX(0,F11-F10)</f>
        <v>0</v>
      </c>
      <c r="H11" s="10">
        <f>ROUNDUP(B11/'Premissas'!$B$14,0)</f>
        <v>37500</v>
      </c>
      <c r="I11" s="8">
        <f>ROUND(B11*'Premissas'!$B$5,2)</f>
        <v>21750.0</v>
      </c>
      <c r="J11" s="8">
        <f>ROUND(I11*'Premissas'!$B$6,2)</f>
        <v>108750.0</v>
      </c>
      <c r="K11" s="8">
        <f>ROUND(J11*'Premissas'!$B$7,2)</f>
        <v>8700.0</v>
      </c>
      <c r="L11" s="8">
        <f>ROUND(J11-K11,2)</f>
        <v>100050.0</v>
      </c>
      <c r="M11" s="8">
        <f>ROUND(L11*'Premissas'!$B$8+B11*(1-'Premissas'!$B$7)*'Premissas'!$B$9*'Premissas'!$B$6,2)</f>
        <v>13354.95</v>
      </c>
      <c r="N11" s="8">
        <f>ROUND(L11-M11,2)</f>
        <v>86695.05</v>
      </c>
      <c r="O11" s="8">
        <f>IF(A11&gt;'Premissas'!$B$20,INDEX($N$5:$N$28,MAX(1,A11-'Premissas'!$B$20)),0)</f>
        <v>57796.7</v>
      </c>
      <c r="P11" s="8">
        <f>ROUND(L11*'Premissas'!$B$10,2)</f>
        <v>15007.5</v>
      </c>
      <c r="Q11" s="8">
        <f>ROUND(L11*'Premissas'!$B$11,2)</f>
        <v>3001.5</v>
      </c>
      <c r="R11" s="8">
        <f>ROUND(B11*'Premissas'!$B$12*'Premissas'!$B$6,2)</f>
        <v>37500.0</v>
      </c>
      <c r="S11" s="8">
        <f>ROUND(B11*'Premissas'!$B$13*'Premissas'!$B$6,2)</f>
        <v>3750.0</v>
      </c>
      <c r="T11" s="8">
        <f>ROUND(L11-M11-P11-Q11-R11-S11,2)</f>
        <v>27436.05</v>
      </c>
      <c r="U11" s="10">
        <f>C11*'Premissas'!$B$16</f>
        <v>80</v>
      </c>
      <c r="V11" s="8">
        <f>ROUND(C11*'Premissas'!$B$15,2)</f>
        <v>30000.0</v>
      </c>
      <c r="W11" s="8">
        <f>ROUND(V11*'Premissas'!$B$19+V10*(1-'Premissas'!$B$19),2)</f>
        <v>15000.0</v>
      </c>
      <c r="X11" s="8">
        <f>ROUND(U11*'Premissas'!$B$17,2)</f>
        <v>14400.0</v>
      </c>
      <c r="Y11" s="8">
        <f>ROUND(V11*'Premissas'!$B$10,2)</f>
        <v>4500.0</v>
      </c>
      <c r="Z11" s="8">
        <f>ROUND(W11*'Premissas'!$B$18,2)</f>
        <v>750.0</v>
      </c>
      <c r="AA11" s="8">
        <f>ROUND(V11*'Premissas'!$B$18,2)</f>
        <v>1500.0</v>
      </c>
      <c r="AB11" s="8">
        <f>ROUND(V11-X11-Y11-AA11,2)</f>
        <v>9600.0</v>
      </c>
      <c r="AC11" s="10">
        <f>D11*'Ofertas'!$C$5</f>
        <v>24.0</v>
      </c>
      <c r="AD11" s="8">
        <f>ROUND(D11*'Ofertas'!$B$5,2)</f>
        <v>9000.0</v>
      </c>
      <c r="AE11" s="8">
        <f>AD11</f>
        <v>9000.0</v>
      </c>
      <c r="AF11" s="8">
        <f>ROUND(AC11*'Ofertas'!$D$5,2)</f>
        <v>2880.0</v>
      </c>
      <c r="AG11" s="8">
        <f>ROUND(AD11*'Premissas'!$B$10,2)</f>
        <v>1350.0</v>
      </c>
      <c r="AH11" s="8">
        <f>ROUND(AD11*'Premissas'!$B$31,2)</f>
        <v>450.0</v>
      </c>
      <c r="AI11" s="8">
        <f>ROUND(D11*'Ofertas'!$H$5,2)</f>
        <v>320.0</v>
      </c>
      <c r="AJ11" s="8">
        <f>ROUND(AD11-AF11-AG11-AH11-AI11,2)</f>
        <v>4000.0</v>
      </c>
      <c r="AK11" s="10">
        <f>E11*'Ofertas'!$C$6</f>
        <v>40.0</v>
      </c>
      <c r="AL11" s="8">
        <f>ROUND(E11*'Ofertas'!$B$6,2)</f>
        <v>18000.0</v>
      </c>
      <c r="AM11" s="8">
        <f>ROUND(AL11*'Premissas'!$B$32+AL10*(1-'Premissas'!$B$32),2)</f>
        <v>9000.0</v>
      </c>
      <c r="AN11" s="8">
        <f>ROUND(AK11*'Ofertas'!$D$6,2)</f>
        <v>7200.0</v>
      </c>
      <c r="AO11" s="8">
        <f>ROUND(AL11*'Premissas'!$B$10,2)</f>
        <v>2700.0</v>
      </c>
      <c r="AP11" s="8">
        <f>ROUND(AL11*'Premissas'!$B$31,2)</f>
        <v>900.0</v>
      </c>
      <c r="AQ11" s="8">
        <f>ROUND(E11*'Ofertas'!$H$6,2)</f>
        <v>600.0</v>
      </c>
      <c r="AR11" s="8">
        <f>ROUND(AL11-AN11-AO11-AP11-AQ11,2)</f>
        <v>6600.0</v>
      </c>
      <c r="AS11" s="10">
        <f>F11*'Ofertas'!$C$7</f>
        <v>8.0</v>
      </c>
      <c r="AT11" s="8">
        <f>ROUND(F11*'Ofertas'!$B$7,2)</f>
        <v>3500.0</v>
      </c>
      <c r="AU11" s="8">
        <f>AT11</f>
        <v>3500.0</v>
      </c>
      <c r="AV11" s="8">
        <f>ROUND(AS11*'Ofertas'!$D$7,2)</f>
        <v>960.0</v>
      </c>
      <c r="AW11" s="8">
        <f>ROUND(AT11*'Premissas'!$B$10,2)</f>
        <v>525.0</v>
      </c>
      <c r="AX11" s="8">
        <f>ROUND(AT11*'Premissas'!$B$31,2)</f>
        <v>175.0</v>
      </c>
      <c r="AY11" s="8">
        <f>ROUND(F11*'Ofertas'!$H$7,2)</f>
        <v>210.0</v>
      </c>
      <c r="AZ11" s="8">
        <f>ROUND(AT11-AV11-AW11-AX11-AY11,2)</f>
        <v>1630.0</v>
      </c>
      <c r="BA11" s="10">
        <f>G11*'Ofertas'!$C$8</f>
        <v>0.0</v>
      </c>
      <c r="BB11" s="8">
        <f>ROUND(G11*'Ofertas'!$B$8,2)</f>
        <v>0.0</v>
      </c>
      <c r="BC11" s="8">
        <f>BB11</f>
        <v>0.0</v>
      </c>
      <c r="BD11" s="8">
        <f>ROUND(BA11*'Ofertas'!$D$8,2)</f>
        <v>0.0</v>
      </c>
      <c r="BE11" s="8">
        <f>ROUND(BB11*'Premissas'!$B$10,2)</f>
        <v>0.0</v>
      </c>
      <c r="BF11" s="8">
        <f>ROUND(BB11*'Premissas'!$B$31,2)</f>
        <v>0.0</v>
      </c>
      <c r="BG11" s="8">
        <f>ROUND(G11*'Ofertas'!$H$8,2)</f>
        <v>0.0</v>
      </c>
      <c r="BH11" s="8">
        <f>ROUND(BB11-BD11-BE11-BF11-BG11,2)</f>
        <v>0.0</v>
      </c>
      <c r="BI11" s="10">
        <f>U11+AC11+AK11+AS11+BA11</f>
        <v>152.0</v>
      </c>
      <c r="BJ11" s="11">
        <f>BI11/'Premissas'!$B$30</f>
        <v>0.95</v>
      </c>
      <c r="BK11" s="8">
        <f>IF(A11&lt;=12,'Premissas'!$B$24,'Premissas'!$B$25)</f>
        <v>37000</v>
      </c>
      <c r="BL11" s="8">
        <f>ROUND(J11+V11+AD11+AL11+AT11+BB11,2)</f>
        <v>169250.0</v>
      </c>
      <c r="BM11" s="8">
        <f>ROUND(L11+V11+AD11+AL11+AT11+BB11,2)</f>
        <v>160550.0</v>
      </c>
      <c r="BN11" s="8">
        <f>ROUND(T11+AB11+AJ11+AR11+AZ11+BH11,2)</f>
        <v>49266.05</v>
      </c>
      <c r="BO11" s="8">
        <f>ROUND(O11+W11+AE11+AM11+AU11+BC11,2)</f>
        <v>94296.7</v>
      </c>
      <c r="BP11" s="8">
        <f>ROUND(P11+Q11+R11+S11+X11+Y11+Z11+BK11+AF11+AG11+AH11+AI11+AN11+AO11+AP11+AQ11+AV11+AW11+AX11+AY11+BD11+BE11+BF11+BG11,2)</f>
        <v>134179.0</v>
      </c>
      <c r="BQ11" s="8">
        <f>ROUND(BO11-BP11,2)</f>
        <v>-39882.3</v>
      </c>
      <c r="BR11" s="8">
        <f>ROUND(BR10+BQ11,2)</f>
        <v>-351637.6</v>
      </c>
      <c r="BS11" s="8">
        <f>ROUND(BN11-BK11,2)</f>
        <v>12266.05</v>
      </c>
      <c r="BT11" s="8">
        <f>ROUND(BT10+N11-O11+V11-W11+AL11-AM11,2)</f>
        <v>110695.05</v>
      </c>
      <c r="BU11" s="10">
        <f>IF(BR11&gt;=0,A11,999)</f>
        <v>999</v>
      </c>
      <c r="BV11" s="8">
        <f>ROUND(BR11+200000,2)</f>
        <v>-151637.6</v>
      </c>
    </row>
    <row r="12" spans="1:74">
      <c r="A12" s="10">
        <v>8</v>
      </c>
      <c r="B12" s="10">
        <f>'Base'!B12</f>
        <v>1000</v>
      </c>
      <c r="C12" s="10">
        <f>'Base'!C12</f>
        <v>1</v>
      </c>
      <c r="D12" s="10">
        <f>ROUNDDOWN('Base'!D12*'Premissas'!$B$29,0)</f>
        <v>3</v>
      </c>
      <c r="E12" s="10">
        <f>ROUNDDOWN('Base'!E12*'Premissas'!$B$29,0)</f>
        <v>1</v>
      </c>
      <c r="F12" s="10">
        <f>ROUNDDOWN('Base'!F12*'Premissas'!$B$29,0)</f>
        <v>1</v>
      </c>
      <c r="G12" s="10">
        <f>MAX(0,F12-F11)</f>
        <v>0</v>
      </c>
      <c r="H12" s="10">
        <f>ROUNDUP(B12/'Premissas'!$B$14,0)</f>
        <v>50000</v>
      </c>
      <c r="I12" s="8">
        <f>ROUND(B12*'Premissas'!$B$5,2)</f>
        <v>29000.0</v>
      </c>
      <c r="J12" s="8">
        <f>ROUND(I12*'Premissas'!$B$6,2)</f>
        <v>145000.0</v>
      </c>
      <c r="K12" s="8">
        <f>ROUND(J12*'Premissas'!$B$7,2)</f>
        <v>11600.0</v>
      </c>
      <c r="L12" s="8">
        <f>ROUND(J12-K12,2)</f>
        <v>133400.0</v>
      </c>
      <c r="M12" s="8">
        <f>ROUND(L12*'Premissas'!$B$8+B12*(1-'Premissas'!$B$7)*'Premissas'!$B$9*'Premissas'!$B$6,2)</f>
        <v>17806.6</v>
      </c>
      <c r="N12" s="8">
        <f>ROUND(L12-M12,2)</f>
        <v>115593.4</v>
      </c>
      <c r="O12" s="8">
        <f>IF(A12&gt;'Premissas'!$B$20,INDEX($N$5:$N$28,MAX(1,A12-'Premissas'!$B$20)),0)</f>
        <v>86695.05</v>
      </c>
      <c r="P12" s="8">
        <f>ROUND(L12*'Premissas'!$B$10,2)</f>
        <v>20010.0</v>
      </c>
      <c r="Q12" s="8">
        <f>ROUND(L12*'Premissas'!$B$11,2)</f>
        <v>4002.0</v>
      </c>
      <c r="R12" s="8">
        <f>ROUND(B12*'Premissas'!$B$12*'Premissas'!$B$6,2)</f>
        <v>50000.0</v>
      </c>
      <c r="S12" s="8">
        <f>ROUND(B12*'Premissas'!$B$13*'Premissas'!$B$6,2)</f>
        <v>5000.0</v>
      </c>
      <c r="T12" s="8">
        <f>ROUND(L12-M12-P12-Q12-R12-S12,2)</f>
        <v>36581.4</v>
      </c>
      <c r="U12" s="10">
        <f>C12*'Premissas'!$B$16</f>
        <v>80</v>
      </c>
      <c r="V12" s="8">
        <f>ROUND(C12*'Premissas'!$B$15,2)</f>
        <v>30000.0</v>
      </c>
      <c r="W12" s="8">
        <f>ROUND(V12*'Premissas'!$B$19+V11*(1-'Premissas'!$B$19),2)</f>
        <v>30000.0</v>
      </c>
      <c r="X12" s="8">
        <f>ROUND(U12*'Premissas'!$B$17,2)</f>
        <v>14400.0</v>
      </c>
      <c r="Y12" s="8">
        <f>ROUND(V12*'Premissas'!$B$10,2)</f>
        <v>4500.0</v>
      </c>
      <c r="Z12" s="8">
        <f>ROUND(W12*'Premissas'!$B$18,2)</f>
        <v>1500.0</v>
      </c>
      <c r="AA12" s="8">
        <f>ROUND(V12*'Premissas'!$B$18,2)</f>
        <v>1500.0</v>
      </c>
      <c r="AB12" s="8">
        <f>ROUND(V12-X12-Y12-AA12,2)</f>
        <v>9600.0</v>
      </c>
      <c r="AC12" s="10">
        <f>D12*'Ofertas'!$C$5</f>
        <v>36.0</v>
      </c>
      <c r="AD12" s="8">
        <f>ROUND(D12*'Ofertas'!$B$5,2)</f>
        <v>13500.0</v>
      </c>
      <c r="AE12" s="8">
        <f>AD12</f>
        <v>13500.0</v>
      </c>
      <c r="AF12" s="8">
        <f>ROUND(AC12*'Ofertas'!$D$5,2)</f>
        <v>4320.0</v>
      </c>
      <c r="AG12" s="8">
        <f>ROUND(AD12*'Premissas'!$B$10,2)</f>
        <v>2025.0</v>
      </c>
      <c r="AH12" s="8">
        <f>ROUND(AD12*'Premissas'!$B$31,2)</f>
        <v>675.0</v>
      </c>
      <c r="AI12" s="8">
        <f>ROUND(D12*'Ofertas'!$H$5,2)</f>
        <v>480.0</v>
      </c>
      <c r="AJ12" s="8">
        <f>ROUND(AD12-AF12-AG12-AH12-AI12,2)</f>
        <v>6000.0</v>
      </c>
      <c r="AK12" s="10">
        <f>E12*'Ofertas'!$C$6</f>
        <v>40.0</v>
      </c>
      <c r="AL12" s="8">
        <f>ROUND(E12*'Ofertas'!$B$6,2)</f>
        <v>18000.0</v>
      </c>
      <c r="AM12" s="8">
        <f>ROUND(AL12*'Premissas'!$B$32+AL11*(1-'Premissas'!$B$32),2)</f>
        <v>18000.0</v>
      </c>
      <c r="AN12" s="8">
        <f>ROUND(AK12*'Ofertas'!$D$6,2)</f>
        <v>7200.0</v>
      </c>
      <c r="AO12" s="8">
        <f>ROUND(AL12*'Premissas'!$B$10,2)</f>
        <v>2700.0</v>
      </c>
      <c r="AP12" s="8">
        <f>ROUND(AL12*'Premissas'!$B$31,2)</f>
        <v>900.0</v>
      </c>
      <c r="AQ12" s="8">
        <f>ROUND(E12*'Ofertas'!$H$6,2)</f>
        <v>600.0</v>
      </c>
      <c r="AR12" s="8">
        <f>ROUND(AL12-AN12-AO12-AP12-AQ12,2)</f>
        <v>6600.0</v>
      </c>
      <c r="AS12" s="10">
        <f>F12*'Ofertas'!$C$7</f>
        <v>8.0</v>
      </c>
      <c r="AT12" s="8">
        <f>ROUND(F12*'Ofertas'!$B$7,2)</f>
        <v>3500.0</v>
      </c>
      <c r="AU12" s="8">
        <f>AT12</f>
        <v>3500.0</v>
      </c>
      <c r="AV12" s="8">
        <f>ROUND(AS12*'Ofertas'!$D$7,2)</f>
        <v>960.0</v>
      </c>
      <c r="AW12" s="8">
        <f>ROUND(AT12*'Premissas'!$B$10,2)</f>
        <v>525.0</v>
      </c>
      <c r="AX12" s="8">
        <f>ROUND(AT12*'Premissas'!$B$31,2)</f>
        <v>175.0</v>
      </c>
      <c r="AY12" s="8">
        <f>ROUND(F12*'Ofertas'!$H$7,2)</f>
        <v>210.0</v>
      </c>
      <c r="AZ12" s="8">
        <f>ROUND(AT12-AV12-AW12-AX12-AY12,2)</f>
        <v>1630.0</v>
      </c>
      <c r="BA12" s="10">
        <f>G12*'Ofertas'!$C$8</f>
        <v>0.0</v>
      </c>
      <c r="BB12" s="8">
        <f>ROUND(G12*'Ofertas'!$B$8,2)</f>
        <v>0.0</v>
      </c>
      <c r="BC12" s="8">
        <f>BB12</f>
        <v>0.0</v>
      </c>
      <c r="BD12" s="8">
        <f>ROUND(BA12*'Ofertas'!$D$8,2)</f>
        <v>0.0</v>
      </c>
      <c r="BE12" s="8">
        <f>ROUND(BB12*'Premissas'!$B$10,2)</f>
        <v>0.0</v>
      </c>
      <c r="BF12" s="8">
        <f>ROUND(BB12*'Premissas'!$B$31,2)</f>
        <v>0.0</v>
      </c>
      <c r="BG12" s="8">
        <f>ROUND(G12*'Ofertas'!$H$8,2)</f>
        <v>0.0</v>
      </c>
      <c r="BH12" s="8">
        <f>ROUND(BB12-BD12-BE12-BF12-BG12,2)</f>
        <v>0.0</v>
      </c>
      <c r="BI12" s="10">
        <f>U12+AC12+AK12+AS12+BA12</f>
        <v>164.0</v>
      </c>
      <c r="BJ12" s="11">
        <f>BI12/'Premissas'!$B$30</f>
        <v>1.025</v>
      </c>
      <c r="BK12" s="8">
        <f>IF(A12&lt;=12,'Premissas'!$B$24,'Premissas'!$B$25)</f>
        <v>37000</v>
      </c>
      <c r="BL12" s="8">
        <f>ROUND(J12+V12+AD12+AL12+AT12+BB12,2)</f>
        <v>210000.0</v>
      </c>
      <c r="BM12" s="8">
        <f>ROUND(L12+V12+AD12+AL12+AT12+BB12,2)</f>
        <v>198400.0</v>
      </c>
      <c r="BN12" s="8">
        <f>ROUND(T12+AB12+AJ12+AR12+AZ12+BH12,2)</f>
        <v>60411.4</v>
      </c>
      <c r="BO12" s="8">
        <f>ROUND(O12+W12+AE12+AM12+AU12+BC12,2)</f>
        <v>151695.05</v>
      </c>
      <c r="BP12" s="8">
        <f>ROUND(P12+Q12+R12+S12+X12+Y12+Z12+BK12+AF12+AG12+AH12+AI12+AN12+AO12+AP12+AQ12+AV12+AW12+AX12+AY12+BD12+BE12+BF12+BG12,2)</f>
        <v>157182.0</v>
      </c>
      <c r="BQ12" s="8">
        <f>ROUND(BO12-BP12,2)</f>
        <v>-5486.95</v>
      </c>
      <c r="BR12" s="8">
        <f>ROUND(BR11+BQ12,2)</f>
        <v>-357124.55</v>
      </c>
      <c r="BS12" s="8">
        <f>ROUND(BN12-BK12,2)</f>
        <v>23411.4</v>
      </c>
      <c r="BT12" s="8">
        <f>ROUND(BT11+N12-O12+V12-W12+AL12-AM12,2)</f>
        <v>139593.4</v>
      </c>
      <c r="BU12" s="10">
        <f>IF(BR12&gt;=0,A12,999)</f>
        <v>999</v>
      </c>
      <c r="BV12" s="8">
        <f>ROUND(BR12+200000,2)</f>
        <v>-157124.55</v>
      </c>
    </row>
    <row r="13" spans="1:74">
      <c r="A13" s="10">
        <v>9</v>
      </c>
      <c r="B13" s="10">
        <f>'Base'!B13</f>
        <v>1250</v>
      </c>
      <c r="C13" s="10">
        <f>'Base'!C13</f>
        <v>1</v>
      </c>
      <c r="D13" s="10">
        <f>ROUNDDOWN('Base'!D13*'Premissas'!$B$29,0)</f>
        <v>3</v>
      </c>
      <c r="E13" s="10">
        <f>ROUNDDOWN('Base'!E13*'Premissas'!$B$29,0)</f>
        <v>1</v>
      </c>
      <c r="F13" s="10">
        <f>ROUNDDOWN('Base'!F13*'Premissas'!$B$29,0)</f>
        <v>2</v>
      </c>
      <c r="G13" s="10">
        <f>MAX(0,F13-F12)</f>
        <v>1</v>
      </c>
      <c r="H13" s="10">
        <f>ROUNDUP(B13/'Premissas'!$B$14,0)</f>
        <v>62500</v>
      </c>
      <c r="I13" s="8">
        <f>ROUND(B13*'Premissas'!$B$5,2)</f>
        <v>36250.0</v>
      </c>
      <c r="J13" s="8">
        <f>ROUND(I13*'Premissas'!$B$6,2)</f>
        <v>181250.0</v>
      </c>
      <c r="K13" s="8">
        <f>ROUND(J13*'Premissas'!$B$7,2)</f>
        <v>14500.0</v>
      </c>
      <c r="L13" s="8">
        <f>ROUND(J13-K13,2)</f>
        <v>166750.0</v>
      </c>
      <c r="M13" s="8">
        <f>ROUND(L13*'Premissas'!$B$8+B13*(1-'Premissas'!$B$7)*'Premissas'!$B$9*'Premissas'!$B$6,2)</f>
        <v>22258.25</v>
      </c>
      <c r="N13" s="8">
        <f>ROUND(L13-M13,2)</f>
        <v>144491.75</v>
      </c>
      <c r="O13" s="8">
        <f>IF(A13&gt;'Premissas'!$B$20,INDEX($N$5:$N$28,MAX(1,A13-'Premissas'!$B$20)),0)</f>
        <v>115593.4</v>
      </c>
      <c r="P13" s="8">
        <f>ROUND(L13*'Premissas'!$B$10,2)</f>
        <v>25012.5</v>
      </c>
      <c r="Q13" s="8">
        <f>ROUND(L13*'Premissas'!$B$11,2)</f>
        <v>5002.5</v>
      </c>
      <c r="R13" s="8">
        <f>ROUND(B13*'Premissas'!$B$12*'Premissas'!$B$6,2)</f>
        <v>62500.0</v>
      </c>
      <c r="S13" s="8">
        <f>ROUND(B13*'Premissas'!$B$13*'Premissas'!$B$6,2)</f>
        <v>6250.0</v>
      </c>
      <c r="T13" s="8">
        <f>ROUND(L13-M13-P13-Q13-R13-S13,2)</f>
        <v>45726.75</v>
      </c>
      <c r="U13" s="10">
        <f>C13*'Premissas'!$B$16</f>
        <v>80</v>
      </c>
      <c r="V13" s="8">
        <f>ROUND(C13*'Premissas'!$B$15,2)</f>
        <v>30000.0</v>
      </c>
      <c r="W13" s="8">
        <f>ROUND(V13*'Premissas'!$B$19+V12*(1-'Premissas'!$B$19),2)</f>
        <v>30000.0</v>
      </c>
      <c r="X13" s="8">
        <f>ROUND(U13*'Premissas'!$B$17,2)</f>
        <v>14400.0</v>
      </c>
      <c r="Y13" s="8">
        <f>ROUND(V13*'Premissas'!$B$10,2)</f>
        <v>4500.0</v>
      </c>
      <c r="Z13" s="8">
        <f>ROUND(W13*'Premissas'!$B$18,2)</f>
        <v>1500.0</v>
      </c>
      <c r="AA13" s="8">
        <f>ROUND(V13*'Premissas'!$B$18,2)</f>
        <v>1500.0</v>
      </c>
      <c r="AB13" s="8">
        <f>ROUND(V13-X13-Y13-AA13,2)</f>
        <v>9600.0</v>
      </c>
      <c r="AC13" s="10">
        <f>D13*'Ofertas'!$C$5</f>
        <v>36.0</v>
      </c>
      <c r="AD13" s="8">
        <f>ROUND(D13*'Ofertas'!$B$5,2)</f>
        <v>13500.0</v>
      </c>
      <c r="AE13" s="8">
        <f>AD13</f>
        <v>13500.0</v>
      </c>
      <c r="AF13" s="8">
        <f>ROUND(AC13*'Ofertas'!$D$5,2)</f>
        <v>4320.0</v>
      </c>
      <c r="AG13" s="8">
        <f>ROUND(AD13*'Premissas'!$B$10,2)</f>
        <v>2025.0</v>
      </c>
      <c r="AH13" s="8">
        <f>ROUND(AD13*'Premissas'!$B$31,2)</f>
        <v>675.0</v>
      </c>
      <c r="AI13" s="8">
        <f>ROUND(D13*'Ofertas'!$H$5,2)</f>
        <v>480.0</v>
      </c>
      <c r="AJ13" s="8">
        <f>ROUND(AD13-AF13-AG13-AH13-AI13,2)</f>
        <v>6000.0</v>
      </c>
      <c r="AK13" s="10">
        <f>E13*'Ofertas'!$C$6</f>
        <v>40.0</v>
      </c>
      <c r="AL13" s="8">
        <f>ROUND(E13*'Ofertas'!$B$6,2)</f>
        <v>18000.0</v>
      </c>
      <c r="AM13" s="8">
        <f>ROUND(AL13*'Premissas'!$B$32+AL12*(1-'Premissas'!$B$32),2)</f>
        <v>18000.0</v>
      </c>
      <c r="AN13" s="8">
        <f>ROUND(AK13*'Ofertas'!$D$6,2)</f>
        <v>7200.0</v>
      </c>
      <c r="AO13" s="8">
        <f>ROUND(AL13*'Premissas'!$B$10,2)</f>
        <v>2700.0</v>
      </c>
      <c r="AP13" s="8">
        <f>ROUND(AL13*'Premissas'!$B$31,2)</f>
        <v>900.0</v>
      </c>
      <c r="AQ13" s="8">
        <f>ROUND(E13*'Ofertas'!$H$6,2)</f>
        <v>600.0</v>
      </c>
      <c r="AR13" s="8">
        <f>ROUND(AL13-AN13-AO13-AP13-AQ13,2)</f>
        <v>6600.0</v>
      </c>
      <c r="AS13" s="10">
        <f>F13*'Ofertas'!$C$7</f>
        <v>16.0</v>
      </c>
      <c r="AT13" s="8">
        <f>ROUND(F13*'Ofertas'!$B$7,2)</f>
        <v>7000.0</v>
      </c>
      <c r="AU13" s="8">
        <f>AT13</f>
        <v>7000.0</v>
      </c>
      <c r="AV13" s="8">
        <f>ROUND(AS13*'Ofertas'!$D$7,2)</f>
        <v>1920.0</v>
      </c>
      <c r="AW13" s="8">
        <f>ROUND(AT13*'Premissas'!$B$10,2)</f>
        <v>1050.0</v>
      </c>
      <c r="AX13" s="8">
        <f>ROUND(AT13*'Premissas'!$B$31,2)</f>
        <v>350.0</v>
      </c>
      <c r="AY13" s="8">
        <f>ROUND(F13*'Ofertas'!$H$7,2)</f>
        <v>420.0</v>
      </c>
      <c r="AZ13" s="8">
        <f>ROUND(AT13-AV13-AW13-AX13-AY13,2)</f>
        <v>3260.0</v>
      </c>
      <c r="BA13" s="10">
        <f>G13*'Ofertas'!$C$8</f>
        <v>20.0</v>
      </c>
      <c r="BB13" s="8">
        <f>ROUND(G13*'Ofertas'!$B$8,2)</f>
        <v>6000.0</v>
      </c>
      <c r="BC13" s="8">
        <f>BB13</f>
        <v>6000.0</v>
      </c>
      <c r="BD13" s="8">
        <f>ROUND(BA13*'Ofertas'!$D$8,2)</f>
        <v>3600.0</v>
      </c>
      <c r="BE13" s="8">
        <f>ROUND(BB13*'Premissas'!$B$10,2)</f>
        <v>900.0</v>
      </c>
      <c r="BF13" s="8">
        <f>ROUND(BB13*'Premissas'!$B$31,2)</f>
        <v>300.0</v>
      </c>
      <c r="BG13" s="8">
        <f>ROUND(G13*'Ofertas'!$H$8,2)</f>
        <v>200.0</v>
      </c>
      <c r="BH13" s="8">
        <f>ROUND(BB13-BD13-BE13-BF13-BG13,2)</f>
        <v>1000.0</v>
      </c>
      <c r="BI13" s="10">
        <f>U13+AC13+AK13+AS13+BA13</f>
        <v>192.0</v>
      </c>
      <c r="BJ13" s="11">
        <f>BI13/'Premissas'!$B$30</f>
        <v>1.2</v>
      </c>
      <c r="BK13" s="8">
        <f>IF(A13&lt;=12,'Premissas'!$B$24,'Premissas'!$B$25)</f>
        <v>37000</v>
      </c>
      <c r="BL13" s="8">
        <f>ROUND(J13+V13+AD13+AL13+AT13+BB13,2)</f>
        <v>255750.0</v>
      </c>
      <c r="BM13" s="8">
        <f>ROUND(L13+V13+AD13+AL13+AT13+BB13,2)</f>
        <v>241250.0</v>
      </c>
      <c r="BN13" s="8">
        <f>ROUND(T13+AB13+AJ13+AR13+AZ13+BH13,2)</f>
        <v>72186.75</v>
      </c>
      <c r="BO13" s="8">
        <f>ROUND(O13+W13+AE13+AM13+AU13+BC13,2)</f>
        <v>190093.4</v>
      </c>
      <c r="BP13" s="8">
        <f>ROUND(P13+Q13+R13+S13+X13+Y13+Z13+BK13+AF13+AG13+AH13+AI13+AN13+AO13+AP13+AQ13+AV13+AW13+AX13+AY13+BD13+BE13+BF13+BG13,2)</f>
        <v>183805.0</v>
      </c>
      <c r="BQ13" s="8">
        <f>ROUND(BO13-BP13,2)</f>
        <v>6288.4</v>
      </c>
      <c r="BR13" s="8">
        <f>ROUND(BR12+BQ13,2)</f>
        <v>-350836.15</v>
      </c>
      <c r="BS13" s="8">
        <f>ROUND(BN13-BK13,2)</f>
        <v>35186.75</v>
      </c>
      <c r="BT13" s="8">
        <f>ROUND(BT12+N13-O13+V13-W13+AL13-AM13,2)</f>
        <v>168491.75</v>
      </c>
      <c r="BU13" s="10">
        <f>IF(BR13&gt;=0,A13,999)</f>
        <v>999</v>
      </c>
      <c r="BV13" s="8">
        <f>ROUND(BR13+200000,2)</f>
        <v>-150836.15</v>
      </c>
    </row>
    <row r="14" spans="1:74">
      <c r="A14" s="10">
        <v>10</v>
      </c>
      <c r="B14" s="10">
        <f>'Base'!B14</f>
        <v>1500</v>
      </c>
      <c r="C14" s="10">
        <f>'Base'!C14</f>
        <v>1</v>
      </c>
      <c r="D14" s="10">
        <f>ROUNDDOWN('Base'!D14*'Premissas'!$B$29,0)</f>
        <v>4</v>
      </c>
      <c r="E14" s="10">
        <f>ROUNDDOWN('Base'!E14*'Premissas'!$B$29,0)</f>
        <v>1</v>
      </c>
      <c r="F14" s="10">
        <f>ROUNDDOWN('Base'!F14*'Premissas'!$B$29,0)</f>
        <v>2</v>
      </c>
      <c r="G14" s="10">
        <f>MAX(0,F14-F13)</f>
        <v>0</v>
      </c>
      <c r="H14" s="10">
        <f>ROUNDUP(B14/'Premissas'!$B$14,0)</f>
        <v>75000</v>
      </c>
      <c r="I14" s="8">
        <f>ROUND(B14*'Premissas'!$B$5,2)</f>
        <v>43500.0</v>
      </c>
      <c r="J14" s="8">
        <f>ROUND(I14*'Premissas'!$B$6,2)</f>
        <v>217500.0</v>
      </c>
      <c r="K14" s="8">
        <f>ROUND(J14*'Premissas'!$B$7,2)</f>
        <v>17400.0</v>
      </c>
      <c r="L14" s="8">
        <f>ROUND(J14-K14,2)</f>
        <v>200100.0</v>
      </c>
      <c r="M14" s="8">
        <f>ROUND(L14*'Premissas'!$B$8+B14*(1-'Premissas'!$B$7)*'Premissas'!$B$9*'Premissas'!$B$6,2)</f>
        <v>26709.9</v>
      </c>
      <c r="N14" s="8">
        <f>ROUND(L14-M14,2)</f>
        <v>173390.1</v>
      </c>
      <c r="O14" s="8">
        <f>IF(A14&gt;'Premissas'!$B$20,INDEX($N$5:$N$28,MAX(1,A14-'Premissas'!$B$20)),0)</f>
        <v>144491.75</v>
      </c>
      <c r="P14" s="8">
        <f>ROUND(L14*'Premissas'!$B$10,2)</f>
        <v>30015.0</v>
      </c>
      <c r="Q14" s="8">
        <f>ROUND(L14*'Premissas'!$B$11,2)</f>
        <v>6003.0</v>
      </c>
      <c r="R14" s="8">
        <f>ROUND(B14*'Premissas'!$B$12*'Premissas'!$B$6,2)</f>
        <v>75000.0</v>
      </c>
      <c r="S14" s="8">
        <f>ROUND(B14*'Premissas'!$B$13*'Premissas'!$B$6,2)</f>
        <v>7500.0</v>
      </c>
      <c r="T14" s="8">
        <f>ROUND(L14-M14-P14-Q14-R14-S14,2)</f>
        <v>54872.1</v>
      </c>
      <c r="U14" s="10">
        <f>C14*'Premissas'!$B$16</f>
        <v>80</v>
      </c>
      <c r="V14" s="8">
        <f>ROUND(C14*'Premissas'!$B$15,2)</f>
        <v>30000.0</v>
      </c>
      <c r="W14" s="8">
        <f>ROUND(V14*'Premissas'!$B$19+V13*(1-'Premissas'!$B$19),2)</f>
        <v>30000.0</v>
      </c>
      <c r="X14" s="8">
        <f>ROUND(U14*'Premissas'!$B$17,2)</f>
        <v>14400.0</v>
      </c>
      <c r="Y14" s="8">
        <f>ROUND(V14*'Premissas'!$B$10,2)</f>
        <v>4500.0</v>
      </c>
      <c r="Z14" s="8">
        <f>ROUND(W14*'Premissas'!$B$18,2)</f>
        <v>1500.0</v>
      </c>
      <c r="AA14" s="8">
        <f>ROUND(V14*'Premissas'!$B$18,2)</f>
        <v>1500.0</v>
      </c>
      <c r="AB14" s="8">
        <f>ROUND(V14-X14-Y14-AA14,2)</f>
        <v>9600.0</v>
      </c>
      <c r="AC14" s="10">
        <f>D14*'Ofertas'!$C$5</f>
        <v>48.0</v>
      </c>
      <c r="AD14" s="8">
        <f>ROUND(D14*'Ofertas'!$B$5,2)</f>
        <v>18000.0</v>
      </c>
      <c r="AE14" s="8">
        <f>AD14</f>
        <v>18000.0</v>
      </c>
      <c r="AF14" s="8">
        <f>ROUND(AC14*'Ofertas'!$D$5,2)</f>
        <v>5760.0</v>
      </c>
      <c r="AG14" s="8">
        <f>ROUND(AD14*'Premissas'!$B$10,2)</f>
        <v>2700.0</v>
      </c>
      <c r="AH14" s="8">
        <f>ROUND(AD14*'Premissas'!$B$31,2)</f>
        <v>900.0</v>
      </c>
      <c r="AI14" s="8">
        <f>ROUND(D14*'Ofertas'!$H$5,2)</f>
        <v>640.0</v>
      </c>
      <c r="AJ14" s="8">
        <f>ROUND(AD14-AF14-AG14-AH14-AI14,2)</f>
        <v>8000.0</v>
      </c>
      <c r="AK14" s="10">
        <f>E14*'Ofertas'!$C$6</f>
        <v>40.0</v>
      </c>
      <c r="AL14" s="8">
        <f>ROUND(E14*'Ofertas'!$B$6,2)</f>
        <v>18000.0</v>
      </c>
      <c r="AM14" s="8">
        <f>ROUND(AL14*'Premissas'!$B$32+AL13*(1-'Premissas'!$B$32),2)</f>
        <v>18000.0</v>
      </c>
      <c r="AN14" s="8">
        <f>ROUND(AK14*'Ofertas'!$D$6,2)</f>
        <v>7200.0</v>
      </c>
      <c r="AO14" s="8">
        <f>ROUND(AL14*'Premissas'!$B$10,2)</f>
        <v>2700.0</v>
      </c>
      <c r="AP14" s="8">
        <f>ROUND(AL14*'Premissas'!$B$31,2)</f>
        <v>900.0</v>
      </c>
      <c r="AQ14" s="8">
        <f>ROUND(E14*'Ofertas'!$H$6,2)</f>
        <v>600.0</v>
      </c>
      <c r="AR14" s="8">
        <f>ROUND(AL14-AN14-AO14-AP14-AQ14,2)</f>
        <v>6600.0</v>
      </c>
      <c r="AS14" s="10">
        <f>F14*'Ofertas'!$C$7</f>
        <v>16.0</v>
      </c>
      <c r="AT14" s="8">
        <f>ROUND(F14*'Ofertas'!$B$7,2)</f>
        <v>7000.0</v>
      </c>
      <c r="AU14" s="8">
        <f>AT14</f>
        <v>7000.0</v>
      </c>
      <c r="AV14" s="8">
        <f>ROUND(AS14*'Ofertas'!$D$7,2)</f>
        <v>1920.0</v>
      </c>
      <c r="AW14" s="8">
        <f>ROUND(AT14*'Premissas'!$B$10,2)</f>
        <v>1050.0</v>
      </c>
      <c r="AX14" s="8">
        <f>ROUND(AT14*'Premissas'!$B$31,2)</f>
        <v>350.0</v>
      </c>
      <c r="AY14" s="8">
        <f>ROUND(F14*'Ofertas'!$H$7,2)</f>
        <v>420.0</v>
      </c>
      <c r="AZ14" s="8">
        <f>ROUND(AT14-AV14-AW14-AX14-AY14,2)</f>
        <v>3260.0</v>
      </c>
      <c r="BA14" s="10">
        <f>G14*'Ofertas'!$C$8</f>
        <v>0.0</v>
      </c>
      <c r="BB14" s="8">
        <f>ROUND(G14*'Ofertas'!$B$8,2)</f>
        <v>0.0</v>
      </c>
      <c r="BC14" s="8">
        <f>BB14</f>
        <v>0.0</v>
      </c>
      <c r="BD14" s="8">
        <f>ROUND(BA14*'Ofertas'!$D$8,2)</f>
        <v>0.0</v>
      </c>
      <c r="BE14" s="8">
        <f>ROUND(BB14*'Premissas'!$B$10,2)</f>
        <v>0.0</v>
      </c>
      <c r="BF14" s="8">
        <f>ROUND(BB14*'Premissas'!$B$31,2)</f>
        <v>0.0</v>
      </c>
      <c r="BG14" s="8">
        <f>ROUND(G14*'Ofertas'!$H$8,2)</f>
        <v>0.0</v>
      </c>
      <c r="BH14" s="8">
        <f>ROUND(BB14-BD14-BE14-BF14-BG14,2)</f>
        <v>0.0</v>
      </c>
      <c r="BI14" s="10">
        <f>U14+AC14+AK14+AS14+BA14</f>
        <v>184.0</v>
      </c>
      <c r="BJ14" s="11">
        <f>BI14/'Premissas'!$B$30</f>
        <v>1.15</v>
      </c>
      <c r="BK14" s="8">
        <f>IF(A14&lt;=12,'Premissas'!$B$24,'Premissas'!$B$25)</f>
        <v>37000</v>
      </c>
      <c r="BL14" s="8">
        <f>ROUND(J14+V14+AD14+AL14+AT14+BB14,2)</f>
        <v>290500.0</v>
      </c>
      <c r="BM14" s="8">
        <f>ROUND(L14+V14+AD14+AL14+AT14+BB14,2)</f>
        <v>273100.0</v>
      </c>
      <c r="BN14" s="8">
        <f>ROUND(T14+AB14+AJ14+AR14+AZ14+BH14,2)</f>
        <v>82332.1</v>
      </c>
      <c r="BO14" s="8">
        <f>ROUND(O14+W14+AE14+AM14+AU14+BC14,2)</f>
        <v>217491.75</v>
      </c>
      <c r="BP14" s="8">
        <f>ROUND(P14+Q14+R14+S14+X14+Y14+Z14+BK14+AF14+AG14+AH14+AI14+AN14+AO14+AP14+AQ14+AV14+AW14+AX14+AY14+BD14+BE14+BF14+BG14,2)</f>
        <v>201058.0</v>
      </c>
      <c r="BQ14" s="8">
        <f>ROUND(BO14-BP14,2)</f>
        <v>16433.75</v>
      </c>
      <c r="BR14" s="8">
        <f>ROUND(BR13+BQ14,2)</f>
        <v>-334402.4</v>
      </c>
      <c r="BS14" s="8">
        <f>ROUND(BN14-BK14,2)</f>
        <v>45332.1</v>
      </c>
      <c r="BT14" s="8">
        <f>ROUND(BT13+N14-O14+V14-W14+AL14-AM14,2)</f>
        <v>197390.1</v>
      </c>
      <c r="BU14" s="10">
        <f>IF(BR14&gt;=0,A14,999)</f>
        <v>999</v>
      </c>
      <c r="BV14" s="8">
        <f>ROUND(BR14+200000,2)</f>
        <v>-134402.4</v>
      </c>
    </row>
    <row r="15" spans="1:74">
      <c r="A15" s="10">
        <v>11</v>
      </c>
      <c r="B15" s="10">
        <f>'Base'!B15</f>
        <v>1750</v>
      </c>
      <c r="C15" s="10">
        <f>'Base'!C15</f>
        <v>1</v>
      </c>
      <c r="D15" s="10">
        <f>ROUNDDOWN('Base'!D15*'Premissas'!$B$29,0)</f>
        <v>4</v>
      </c>
      <c r="E15" s="10">
        <f>ROUNDDOWN('Base'!E15*'Premissas'!$B$29,0)</f>
        <v>1</v>
      </c>
      <c r="F15" s="10">
        <f>ROUNDDOWN('Base'!F15*'Premissas'!$B$29,0)</f>
        <v>2</v>
      </c>
      <c r="G15" s="10">
        <f>MAX(0,F15-F14)</f>
        <v>0</v>
      </c>
      <c r="H15" s="10">
        <f>ROUNDUP(B15/'Premissas'!$B$14,0)</f>
        <v>87500</v>
      </c>
      <c r="I15" s="8">
        <f>ROUND(B15*'Premissas'!$B$5,2)</f>
        <v>50750.0</v>
      </c>
      <c r="J15" s="8">
        <f>ROUND(I15*'Premissas'!$B$6,2)</f>
        <v>253750.0</v>
      </c>
      <c r="K15" s="8">
        <f>ROUND(J15*'Premissas'!$B$7,2)</f>
        <v>20300.0</v>
      </c>
      <c r="L15" s="8">
        <f>ROUND(J15-K15,2)</f>
        <v>233450.0</v>
      </c>
      <c r="M15" s="8">
        <f>ROUND(L15*'Premissas'!$B$8+B15*(1-'Premissas'!$B$7)*'Premissas'!$B$9*'Premissas'!$B$6,2)</f>
        <v>31161.55</v>
      </c>
      <c r="N15" s="8">
        <f>ROUND(L15-M15,2)</f>
        <v>202288.45</v>
      </c>
      <c r="O15" s="8">
        <f>IF(A15&gt;'Premissas'!$B$20,INDEX($N$5:$N$28,MAX(1,A15-'Premissas'!$B$20)),0)</f>
        <v>173390.1</v>
      </c>
      <c r="P15" s="8">
        <f>ROUND(L15*'Premissas'!$B$10,2)</f>
        <v>35017.5</v>
      </c>
      <c r="Q15" s="8">
        <f>ROUND(L15*'Premissas'!$B$11,2)</f>
        <v>7003.5</v>
      </c>
      <c r="R15" s="8">
        <f>ROUND(B15*'Premissas'!$B$12*'Premissas'!$B$6,2)</f>
        <v>87500.0</v>
      </c>
      <c r="S15" s="8">
        <f>ROUND(B15*'Premissas'!$B$13*'Premissas'!$B$6,2)</f>
        <v>8750.0</v>
      </c>
      <c r="T15" s="8">
        <f>ROUND(L15-M15-P15-Q15-R15-S15,2)</f>
        <v>64017.45</v>
      </c>
      <c r="U15" s="10">
        <f>C15*'Premissas'!$B$16</f>
        <v>80</v>
      </c>
      <c r="V15" s="8">
        <f>ROUND(C15*'Premissas'!$B$15,2)</f>
        <v>30000.0</v>
      </c>
      <c r="W15" s="8">
        <f>ROUND(V15*'Premissas'!$B$19+V14*(1-'Premissas'!$B$19),2)</f>
        <v>30000.0</v>
      </c>
      <c r="X15" s="8">
        <f>ROUND(U15*'Premissas'!$B$17,2)</f>
        <v>14400.0</v>
      </c>
      <c r="Y15" s="8">
        <f>ROUND(V15*'Premissas'!$B$10,2)</f>
        <v>4500.0</v>
      </c>
      <c r="Z15" s="8">
        <f>ROUND(W15*'Premissas'!$B$18,2)</f>
        <v>1500.0</v>
      </c>
      <c r="AA15" s="8">
        <f>ROUND(V15*'Premissas'!$B$18,2)</f>
        <v>1500.0</v>
      </c>
      <c r="AB15" s="8">
        <f>ROUND(V15-X15-Y15-AA15,2)</f>
        <v>9600.0</v>
      </c>
      <c r="AC15" s="10">
        <f>D15*'Ofertas'!$C$5</f>
        <v>48.0</v>
      </c>
      <c r="AD15" s="8">
        <f>ROUND(D15*'Ofertas'!$B$5,2)</f>
        <v>18000.0</v>
      </c>
      <c r="AE15" s="8">
        <f>AD15</f>
        <v>18000.0</v>
      </c>
      <c r="AF15" s="8">
        <f>ROUND(AC15*'Ofertas'!$D$5,2)</f>
        <v>5760.0</v>
      </c>
      <c r="AG15" s="8">
        <f>ROUND(AD15*'Premissas'!$B$10,2)</f>
        <v>2700.0</v>
      </c>
      <c r="AH15" s="8">
        <f>ROUND(AD15*'Premissas'!$B$31,2)</f>
        <v>900.0</v>
      </c>
      <c r="AI15" s="8">
        <f>ROUND(D15*'Ofertas'!$H$5,2)</f>
        <v>640.0</v>
      </c>
      <c r="AJ15" s="8">
        <f>ROUND(AD15-AF15-AG15-AH15-AI15,2)</f>
        <v>8000.0</v>
      </c>
      <c r="AK15" s="10">
        <f>E15*'Ofertas'!$C$6</f>
        <v>40.0</v>
      </c>
      <c r="AL15" s="8">
        <f>ROUND(E15*'Ofertas'!$B$6,2)</f>
        <v>18000.0</v>
      </c>
      <c r="AM15" s="8">
        <f>ROUND(AL15*'Premissas'!$B$32+AL14*(1-'Premissas'!$B$32),2)</f>
        <v>18000.0</v>
      </c>
      <c r="AN15" s="8">
        <f>ROUND(AK15*'Ofertas'!$D$6,2)</f>
        <v>7200.0</v>
      </c>
      <c r="AO15" s="8">
        <f>ROUND(AL15*'Premissas'!$B$10,2)</f>
        <v>2700.0</v>
      </c>
      <c r="AP15" s="8">
        <f>ROUND(AL15*'Premissas'!$B$31,2)</f>
        <v>900.0</v>
      </c>
      <c r="AQ15" s="8">
        <f>ROUND(E15*'Ofertas'!$H$6,2)</f>
        <v>600.0</v>
      </c>
      <c r="AR15" s="8">
        <f>ROUND(AL15-AN15-AO15-AP15-AQ15,2)</f>
        <v>6600.0</v>
      </c>
      <c r="AS15" s="10">
        <f>F15*'Ofertas'!$C$7</f>
        <v>16.0</v>
      </c>
      <c r="AT15" s="8">
        <f>ROUND(F15*'Ofertas'!$B$7,2)</f>
        <v>7000.0</v>
      </c>
      <c r="AU15" s="8">
        <f>AT15</f>
        <v>7000.0</v>
      </c>
      <c r="AV15" s="8">
        <f>ROUND(AS15*'Ofertas'!$D$7,2)</f>
        <v>1920.0</v>
      </c>
      <c r="AW15" s="8">
        <f>ROUND(AT15*'Premissas'!$B$10,2)</f>
        <v>1050.0</v>
      </c>
      <c r="AX15" s="8">
        <f>ROUND(AT15*'Premissas'!$B$31,2)</f>
        <v>350.0</v>
      </c>
      <c r="AY15" s="8">
        <f>ROUND(F15*'Ofertas'!$H$7,2)</f>
        <v>420.0</v>
      </c>
      <c r="AZ15" s="8">
        <f>ROUND(AT15-AV15-AW15-AX15-AY15,2)</f>
        <v>3260.0</v>
      </c>
      <c r="BA15" s="10">
        <f>G15*'Ofertas'!$C$8</f>
        <v>0.0</v>
      </c>
      <c r="BB15" s="8">
        <f>ROUND(G15*'Ofertas'!$B$8,2)</f>
        <v>0.0</v>
      </c>
      <c r="BC15" s="8">
        <f>BB15</f>
        <v>0.0</v>
      </c>
      <c r="BD15" s="8">
        <f>ROUND(BA15*'Ofertas'!$D$8,2)</f>
        <v>0.0</v>
      </c>
      <c r="BE15" s="8">
        <f>ROUND(BB15*'Premissas'!$B$10,2)</f>
        <v>0.0</v>
      </c>
      <c r="BF15" s="8">
        <f>ROUND(BB15*'Premissas'!$B$31,2)</f>
        <v>0.0</v>
      </c>
      <c r="BG15" s="8">
        <f>ROUND(G15*'Ofertas'!$H$8,2)</f>
        <v>0.0</v>
      </c>
      <c r="BH15" s="8">
        <f>ROUND(BB15-BD15-BE15-BF15-BG15,2)</f>
        <v>0.0</v>
      </c>
      <c r="BI15" s="10">
        <f>U15+AC15+AK15+AS15+BA15</f>
        <v>184.0</v>
      </c>
      <c r="BJ15" s="11">
        <f>BI15/'Premissas'!$B$30</f>
        <v>1.15</v>
      </c>
      <c r="BK15" s="8">
        <f>IF(A15&lt;=12,'Premissas'!$B$24,'Premissas'!$B$25)</f>
        <v>37000</v>
      </c>
      <c r="BL15" s="8">
        <f>ROUND(J15+V15+AD15+AL15+AT15+BB15,2)</f>
        <v>326750.0</v>
      </c>
      <c r="BM15" s="8">
        <f>ROUND(L15+V15+AD15+AL15+AT15+BB15,2)</f>
        <v>306450.0</v>
      </c>
      <c r="BN15" s="8">
        <f>ROUND(T15+AB15+AJ15+AR15+AZ15+BH15,2)</f>
        <v>91477.45</v>
      </c>
      <c r="BO15" s="8">
        <f>ROUND(O15+W15+AE15+AM15+AU15+BC15,2)</f>
        <v>246390.1</v>
      </c>
      <c r="BP15" s="8">
        <f>ROUND(P15+Q15+R15+S15+X15+Y15+Z15+BK15+AF15+AG15+AH15+AI15+AN15+AO15+AP15+AQ15+AV15+AW15+AX15+AY15+BD15+BE15+BF15+BG15,2)</f>
        <v>220811.0</v>
      </c>
      <c r="BQ15" s="8">
        <f>ROUND(BO15-BP15,2)</f>
        <v>25579.1</v>
      </c>
      <c r="BR15" s="8">
        <f>ROUND(BR14+BQ15,2)</f>
        <v>-308823.3</v>
      </c>
      <c r="BS15" s="8">
        <f>ROUND(BN15-BK15,2)</f>
        <v>54477.45</v>
      </c>
      <c r="BT15" s="8">
        <f>ROUND(BT14+N15-O15+V15-W15+AL15-AM15,2)</f>
        <v>226288.45</v>
      </c>
      <c r="BU15" s="10">
        <f>IF(BR15&gt;=0,A15,999)</f>
        <v>999</v>
      </c>
      <c r="BV15" s="8">
        <f>ROUND(BR15+200000,2)</f>
        <v>-108823.3</v>
      </c>
    </row>
    <row r="16" spans="1:74">
      <c r="A16" s="10">
        <v>12</v>
      </c>
      <c r="B16" s="10">
        <f>'Base'!B16</f>
        <v>2000</v>
      </c>
      <c r="C16" s="10">
        <f>'Base'!C16</f>
        <v>1</v>
      </c>
      <c r="D16" s="10">
        <f>ROUNDDOWN('Base'!D16*'Premissas'!$B$29,0)</f>
        <v>4</v>
      </c>
      <c r="E16" s="10">
        <f>ROUNDDOWN('Base'!E16*'Premissas'!$B$29,0)</f>
        <v>1</v>
      </c>
      <c r="F16" s="10">
        <f>ROUNDDOWN('Base'!F16*'Premissas'!$B$29,0)</f>
        <v>2</v>
      </c>
      <c r="G16" s="10">
        <f>MAX(0,F16-F15)</f>
        <v>0</v>
      </c>
      <c r="H16" s="10">
        <f>ROUNDUP(B16/'Premissas'!$B$14,0)</f>
        <v>100000</v>
      </c>
      <c r="I16" s="8">
        <f>ROUND(B16*'Premissas'!$B$5,2)</f>
        <v>58000.0</v>
      </c>
      <c r="J16" s="8">
        <f>ROUND(I16*'Premissas'!$B$6,2)</f>
        <v>290000.0</v>
      </c>
      <c r="K16" s="8">
        <f>ROUND(J16*'Premissas'!$B$7,2)</f>
        <v>23200.0</v>
      </c>
      <c r="L16" s="8">
        <f>ROUND(J16-K16,2)</f>
        <v>266800.0</v>
      </c>
      <c r="M16" s="8">
        <f>ROUND(L16*'Premissas'!$B$8+B16*(1-'Premissas'!$B$7)*'Premissas'!$B$9*'Premissas'!$B$6,2)</f>
        <v>35613.2</v>
      </c>
      <c r="N16" s="8">
        <f>ROUND(L16-M16,2)</f>
        <v>231186.8</v>
      </c>
      <c r="O16" s="8">
        <f>IF(A16&gt;'Premissas'!$B$20,INDEX($N$5:$N$28,MAX(1,A16-'Premissas'!$B$20)),0)</f>
        <v>202288.45</v>
      </c>
      <c r="P16" s="8">
        <f>ROUND(L16*'Premissas'!$B$10,2)</f>
        <v>40020.0</v>
      </c>
      <c r="Q16" s="8">
        <f>ROUND(L16*'Premissas'!$B$11,2)</f>
        <v>8004.0</v>
      </c>
      <c r="R16" s="8">
        <f>ROUND(B16*'Premissas'!$B$12*'Premissas'!$B$6,2)</f>
        <v>100000.0</v>
      </c>
      <c r="S16" s="8">
        <f>ROUND(B16*'Premissas'!$B$13*'Premissas'!$B$6,2)</f>
        <v>10000.0</v>
      </c>
      <c r="T16" s="8">
        <f>ROUND(L16-M16-P16-Q16-R16-S16,2)</f>
        <v>73162.8</v>
      </c>
      <c r="U16" s="10">
        <f>C16*'Premissas'!$B$16</f>
        <v>80</v>
      </c>
      <c r="V16" s="8">
        <f>ROUND(C16*'Premissas'!$B$15,2)</f>
        <v>30000.0</v>
      </c>
      <c r="W16" s="8">
        <f>ROUND(V16*'Premissas'!$B$19+V15*(1-'Premissas'!$B$19),2)</f>
        <v>30000.0</v>
      </c>
      <c r="X16" s="8">
        <f>ROUND(U16*'Premissas'!$B$17,2)</f>
        <v>14400.0</v>
      </c>
      <c r="Y16" s="8">
        <f>ROUND(V16*'Premissas'!$B$10,2)</f>
        <v>4500.0</v>
      </c>
      <c r="Z16" s="8">
        <f>ROUND(W16*'Premissas'!$B$18,2)</f>
        <v>1500.0</v>
      </c>
      <c r="AA16" s="8">
        <f>ROUND(V16*'Premissas'!$B$18,2)</f>
        <v>1500.0</v>
      </c>
      <c r="AB16" s="8">
        <f>ROUND(V16-X16-Y16-AA16,2)</f>
        <v>9600.0</v>
      </c>
      <c r="AC16" s="10">
        <f>D16*'Ofertas'!$C$5</f>
        <v>48.0</v>
      </c>
      <c r="AD16" s="8">
        <f>ROUND(D16*'Ofertas'!$B$5,2)</f>
        <v>18000.0</v>
      </c>
      <c r="AE16" s="8">
        <f>AD16</f>
        <v>18000.0</v>
      </c>
      <c r="AF16" s="8">
        <f>ROUND(AC16*'Ofertas'!$D$5,2)</f>
        <v>5760.0</v>
      </c>
      <c r="AG16" s="8">
        <f>ROUND(AD16*'Premissas'!$B$10,2)</f>
        <v>2700.0</v>
      </c>
      <c r="AH16" s="8">
        <f>ROUND(AD16*'Premissas'!$B$31,2)</f>
        <v>900.0</v>
      </c>
      <c r="AI16" s="8">
        <f>ROUND(D16*'Ofertas'!$H$5,2)</f>
        <v>640.0</v>
      </c>
      <c r="AJ16" s="8">
        <f>ROUND(AD16-AF16-AG16-AH16-AI16,2)</f>
        <v>8000.0</v>
      </c>
      <c r="AK16" s="10">
        <f>E16*'Ofertas'!$C$6</f>
        <v>40.0</v>
      </c>
      <c r="AL16" s="8">
        <f>ROUND(E16*'Ofertas'!$B$6,2)</f>
        <v>18000.0</v>
      </c>
      <c r="AM16" s="8">
        <f>ROUND(AL16*'Premissas'!$B$32+AL15*(1-'Premissas'!$B$32),2)</f>
        <v>18000.0</v>
      </c>
      <c r="AN16" s="8">
        <f>ROUND(AK16*'Ofertas'!$D$6,2)</f>
        <v>7200.0</v>
      </c>
      <c r="AO16" s="8">
        <f>ROUND(AL16*'Premissas'!$B$10,2)</f>
        <v>2700.0</v>
      </c>
      <c r="AP16" s="8">
        <f>ROUND(AL16*'Premissas'!$B$31,2)</f>
        <v>900.0</v>
      </c>
      <c r="AQ16" s="8">
        <f>ROUND(E16*'Ofertas'!$H$6,2)</f>
        <v>600.0</v>
      </c>
      <c r="AR16" s="8">
        <f>ROUND(AL16-AN16-AO16-AP16-AQ16,2)</f>
        <v>6600.0</v>
      </c>
      <c r="AS16" s="10">
        <f>F16*'Ofertas'!$C$7</f>
        <v>16.0</v>
      </c>
      <c r="AT16" s="8">
        <f>ROUND(F16*'Ofertas'!$B$7,2)</f>
        <v>7000.0</v>
      </c>
      <c r="AU16" s="8">
        <f>AT16</f>
        <v>7000.0</v>
      </c>
      <c r="AV16" s="8">
        <f>ROUND(AS16*'Ofertas'!$D$7,2)</f>
        <v>1920.0</v>
      </c>
      <c r="AW16" s="8">
        <f>ROUND(AT16*'Premissas'!$B$10,2)</f>
        <v>1050.0</v>
      </c>
      <c r="AX16" s="8">
        <f>ROUND(AT16*'Premissas'!$B$31,2)</f>
        <v>350.0</v>
      </c>
      <c r="AY16" s="8">
        <f>ROUND(F16*'Ofertas'!$H$7,2)</f>
        <v>420.0</v>
      </c>
      <c r="AZ16" s="8">
        <f>ROUND(AT16-AV16-AW16-AX16-AY16,2)</f>
        <v>3260.0</v>
      </c>
      <c r="BA16" s="10">
        <f>G16*'Ofertas'!$C$8</f>
        <v>0.0</v>
      </c>
      <c r="BB16" s="8">
        <f>ROUND(G16*'Ofertas'!$B$8,2)</f>
        <v>0.0</v>
      </c>
      <c r="BC16" s="8">
        <f>BB16</f>
        <v>0.0</v>
      </c>
      <c r="BD16" s="8">
        <f>ROUND(BA16*'Ofertas'!$D$8,2)</f>
        <v>0.0</v>
      </c>
      <c r="BE16" s="8">
        <f>ROUND(BB16*'Premissas'!$B$10,2)</f>
        <v>0.0</v>
      </c>
      <c r="BF16" s="8">
        <f>ROUND(BB16*'Premissas'!$B$31,2)</f>
        <v>0.0</v>
      </c>
      <c r="BG16" s="8">
        <f>ROUND(G16*'Ofertas'!$H$8,2)</f>
        <v>0.0</v>
      </c>
      <c r="BH16" s="8">
        <f>ROUND(BB16-BD16-BE16-BF16-BG16,2)</f>
        <v>0.0</v>
      </c>
      <c r="BI16" s="10">
        <f>U16+AC16+AK16+AS16+BA16</f>
        <v>184.0</v>
      </c>
      <c r="BJ16" s="11">
        <f>BI16/'Premissas'!$B$30</f>
        <v>1.15</v>
      </c>
      <c r="BK16" s="8">
        <f>IF(A16&lt;=12,'Premissas'!$B$24,'Premissas'!$B$25)</f>
        <v>37000</v>
      </c>
      <c r="BL16" s="8">
        <f>ROUND(J16+V16+AD16+AL16+AT16+BB16,2)</f>
        <v>363000.0</v>
      </c>
      <c r="BM16" s="8">
        <f>ROUND(L16+V16+AD16+AL16+AT16+BB16,2)</f>
        <v>339800.0</v>
      </c>
      <c r="BN16" s="8">
        <f>ROUND(T16+AB16+AJ16+AR16+AZ16+BH16,2)</f>
        <v>100622.8</v>
      </c>
      <c r="BO16" s="8">
        <f>ROUND(O16+W16+AE16+AM16+AU16+BC16,2)</f>
        <v>275288.45</v>
      </c>
      <c r="BP16" s="8">
        <f>ROUND(P16+Q16+R16+S16+X16+Y16+Z16+BK16+AF16+AG16+AH16+AI16+AN16+AO16+AP16+AQ16+AV16+AW16+AX16+AY16+BD16+BE16+BF16+BG16,2)</f>
        <v>240564.0</v>
      </c>
      <c r="BQ16" s="8">
        <f>ROUND(BO16-BP16,2)</f>
        <v>34724.45</v>
      </c>
      <c r="BR16" s="8">
        <f>ROUND(BR15+BQ16,2)</f>
        <v>-274098.85</v>
      </c>
      <c r="BS16" s="8">
        <f>ROUND(BN16-BK16,2)</f>
        <v>63622.8</v>
      </c>
      <c r="BT16" s="8">
        <f>ROUND(BT15+N16-O16+V16-W16+AL16-AM16,2)</f>
        <v>255186.8</v>
      </c>
      <c r="BU16" s="10">
        <f>IF(BR16&gt;=0,A16,999)</f>
        <v>999</v>
      </c>
      <c r="BV16" s="8">
        <f>ROUND(BR16+200000,2)</f>
        <v>-74098.85</v>
      </c>
    </row>
    <row r="17" spans="1:74">
      <c r="A17" s="10">
        <v>13</v>
      </c>
      <c r="B17" s="10">
        <f>'Base'!B17</f>
        <v>2200</v>
      </c>
      <c r="C17" s="10">
        <f>'Base'!C17</f>
        <v>2</v>
      </c>
      <c r="D17" s="10">
        <f>ROUNDDOWN('Base'!D17*'Premissas'!$B$29,0)</f>
        <v>5</v>
      </c>
      <c r="E17" s="10">
        <f>ROUNDDOWN('Base'!E17*'Premissas'!$B$29,0)</f>
        <v>1</v>
      </c>
      <c r="F17" s="10">
        <f>ROUNDDOWN('Base'!F17*'Premissas'!$B$29,0)</f>
        <v>3</v>
      </c>
      <c r="G17" s="10">
        <f>MAX(0,F17-F16)</f>
        <v>1</v>
      </c>
      <c r="H17" s="10">
        <f>ROUNDUP(B17/'Premissas'!$B$14,0)</f>
        <v>110000</v>
      </c>
      <c r="I17" s="8">
        <f>ROUND(B17*'Premissas'!$B$5,2)</f>
        <v>63800.0</v>
      </c>
      <c r="J17" s="8">
        <f>ROUND(I17*'Premissas'!$B$6,2)</f>
        <v>319000.0</v>
      </c>
      <c r="K17" s="8">
        <f>ROUND(J17*'Premissas'!$B$7,2)</f>
        <v>25520.0</v>
      </c>
      <c r="L17" s="8">
        <f>ROUND(J17-K17,2)</f>
        <v>293480.0</v>
      </c>
      <c r="M17" s="8">
        <f>ROUND(L17*'Premissas'!$B$8+B17*(1-'Premissas'!$B$7)*'Premissas'!$B$9*'Premissas'!$B$6,2)</f>
        <v>39174.52</v>
      </c>
      <c r="N17" s="8">
        <f>ROUND(L17-M17,2)</f>
        <v>254305.48</v>
      </c>
      <c r="O17" s="8">
        <f>IF(A17&gt;'Premissas'!$B$20,INDEX($N$5:$N$28,MAX(1,A17-'Premissas'!$B$20)),0)</f>
        <v>231186.8</v>
      </c>
      <c r="P17" s="8">
        <f>ROUND(L17*'Premissas'!$B$10,2)</f>
        <v>44022.0</v>
      </c>
      <c r="Q17" s="8">
        <f>ROUND(L17*'Premissas'!$B$11,2)</f>
        <v>8804.4</v>
      </c>
      <c r="R17" s="8">
        <f>ROUND(B17*'Premissas'!$B$12*'Premissas'!$B$6,2)</f>
        <v>110000.0</v>
      </c>
      <c r="S17" s="8">
        <f>ROUND(B17*'Premissas'!$B$13*'Premissas'!$B$6,2)</f>
        <v>11000.0</v>
      </c>
      <c r="T17" s="8">
        <f>ROUND(L17-M17-P17-Q17-R17-S17,2)</f>
        <v>80479.08</v>
      </c>
      <c r="U17" s="10">
        <f>C17*'Premissas'!$B$16</f>
        <v>160</v>
      </c>
      <c r="V17" s="8">
        <f>ROUND(C17*'Premissas'!$B$15,2)</f>
        <v>60000.0</v>
      </c>
      <c r="W17" s="8">
        <f>ROUND(V17*'Premissas'!$B$19+V16*(1-'Premissas'!$B$19),2)</f>
        <v>45000.0</v>
      </c>
      <c r="X17" s="8">
        <f>ROUND(U17*'Premissas'!$B$17,2)</f>
        <v>28800.0</v>
      </c>
      <c r="Y17" s="8">
        <f>ROUND(V17*'Premissas'!$B$10,2)</f>
        <v>9000.0</v>
      </c>
      <c r="Z17" s="8">
        <f>ROUND(W17*'Premissas'!$B$18,2)</f>
        <v>2250.0</v>
      </c>
      <c r="AA17" s="8">
        <f>ROUND(V17*'Premissas'!$B$18,2)</f>
        <v>3000.0</v>
      </c>
      <c r="AB17" s="8">
        <f>ROUND(V17-X17-Y17-AA17,2)</f>
        <v>19200.0</v>
      </c>
      <c r="AC17" s="10">
        <f>D17*'Ofertas'!$C$5</f>
        <v>60.0</v>
      </c>
      <c r="AD17" s="8">
        <f>ROUND(D17*'Ofertas'!$B$5,2)</f>
        <v>22500.0</v>
      </c>
      <c r="AE17" s="8">
        <f>AD17</f>
        <v>22500.0</v>
      </c>
      <c r="AF17" s="8">
        <f>ROUND(AC17*'Ofertas'!$D$5,2)</f>
        <v>7200.0</v>
      </c>
      <c r="AG17" s="8">
        <f>ROUND(AD17*'Premissas'!$B$10,2)</f>
        <v>3375.0</v>
      </c>
      <c r="AH17" s="8">
        <f>ROUND(AD17*'Premissas'!$B$31,2)</f>
        <v>1125.0</v>
      </c>
      <c r="AI17" s="8">
        <f>ROUND(D17*'Ofertas'!$H$5,2)</f>
        <v>800.0</v>
      </c>
      <c r="AJ17" s="8">
        <f>ROUND(AD17-AF17-AG17-AH17-AI17,2)</f>
        <v>10000.0</v>
      </c>
      <c r="AK17" s="10">
        <f>E17*'Ofertas'!$C$6</f>
        <v>40.0</v>
      </c>
      <c r="AL17" s="8">
        <f>ROUND(E17*'Ofertas'!$B$6,2)</f>
        <v>18000.0</v>
      </c>
      <c r="AM17" s="8">
        <f>ROUND(AL17*'Premissas'!$B$32+AL16*(1-'Premissas'!$B$32),2)</f>
        <v>18000.0</v>
      </c>
      <c r="AN17" s="8">
        <f>ROUND(AK17*'Ofertas'!$D$6,2)</f>
        <v>7200.0</v>
      </c>
      <c r="AO17" s="8">
        <f>ROUND(AL17*'Premissas'!$B$10,2)</f>
        <v>2700.0</v>
      </c>
      <c r="AP17" s="8">
        <f>ROUND(AL17*'Premissas'!$B$31,2)</f>
        <v>900.0</v>
      </c>
      <c r="AQ17" s="8">
        <f>ROUND(E17*'Ofertas'!$H$6,2)</f>
        <v>600.0</v>
      </c>
      <c r="AR17" s="8">
        <f>ROUND(AL17-AN17-AO17-AP17-AQ17,2)</f>
        <v>6600.0</v>
      </c>
      <c r="AS17" s="10">
        <f>F17*'Ofertas'!$C$7</f>
        <v>24.0</v>
      </c>
      <c r="AT17" s="8">
        <f>ROUND(F17*'Ofertas'!$B$7,2)</f>
        <v>10500.0</v>
      </c>
      <c r="AU17" s="8">
        <f>AT17</f>
        <v>10500.0</v>
      </c>
      <c r="AV17" s="8">
        <f>ROUND(AS17*'Ofertas'!$D$7,2)</f>
        <v>2880.0</v>
      </c>
      <c r="AW17" s="8">
        <f>ROUND(AT17*'Premissas'!$B$10,2)</f>
        <v>1575.0</v>
      </c>
      <c r="AX17" s="8">
        <f>ROUND(AT17*'Premissas'!$B$31,2)</f>
        <v>525.0</v>
      </c>
      <c r="AY17" s="8">
        <f>ROUND(F17*'Ofertas'!$H$7,2)</f>
        <v>630.0</v>
      </c>
      <c r="AZ17" s="8">
        <f>ROUND(AT17-AV17-AW17-AX17-AY17,2)</f>
        <v>4890.0</v>
      </c>
      <c r="BA17" s="10">
        <f>G17*'Ofertas'!$C$8</f>
        <v>20.0</v>
      </c>
      <c r="BB17" s="8">
        <f>ROUND(G17*'Ofertas'!$B$8,2)</f>
        <v>6000.0</v>
      </c>
      <c r="BC17" s="8">
        <f>BB17</f>
        <v>6000.0</v>
      </c>
      <c r="BD17" s="8">
        <f>ROUND(BA17*'Ofertas'!$D$8,2)</f>
        <v>3600.0</v>
      </c>
      <c r="BE17" s="8">
        <f>ROUND(BB17*'Premissas'!$B$10,2)</f>
        <v>900.0</v>
      </c>
      <c r="BF17" s="8">
        <f>ROUND(BB17*'Premissas'!$B$31,2)</f>
        <v>300.0</v>
      </c>
      <c r="BG17" s="8">
        <f>ROUND(G17*'Ofertas'!$H$8,2)</f>
        <v>200.0</v>
      </c>
      <c r="BH17" s="8">
        <f>ROUND(BB17-BD17-BE17-BF17-BG17,2)</f>
        <v>1000.0</v>
      </c>
      <c r="BI17" s="10">
        <f>U17+AC17+AK17+AS17+BA17</f>
        <v>304.0</v>
      </c>
      <c r="BJ17" s="11">
        <f>BI17/'Premissas'!$B$30</f>
        <v>1.9</v>
      </c>
      <c r="BK17" s="8">
        <f>IF(A17&lt;=12,'Premissas'!$B$24,'Premissas'!$B$25)</f>
        <v>42000</v>
      </c>
      <c r="BL17" s="8">
        <f>ROUND(J17+V17+AD17+AL17+AT17+BB17,2)</f>
        <v>436000.0</v>
      </c>
      <c r="BM17" s="8">
        <f>ROUND(L17+V17+AD17+AL17+AT17+BB17,2)</f>
        <v>410480.0</v>
      </c>
      <c r="BN17" s="8">
        <f>ROUND(T17+AB17+AJ17+AR17+AZ17+BH17,2)</f>
        <v>122169.08</v>
      </c>
      <c r="BO17" s="8">
        <f>ROUND(O17+W17+AE17+AM17+AU17+BC17,2)</f>
        <v>333186.8</v>
      </c>
      <c r="BP17" s="8">
        <f>ROUND(P17+Q17+R17+S17+X17+Y17+Z17+BK17+AF17+AG17+AH17+AI17+AN17+AO17+AP17+AQ17+AV17+AW17+AX17+AY17+BD17+BE17+BF17+BG17,2)</f>
        <v>290386.4</v>
      </c>
      <c r="BQ17" s="8">
        <f>ROUND(BO17-BP17,2)</f>
        <v>42800.4</v>
      </c>
      <c r="BR17" s="8">
        <f>ROUND(BR16+BQ17,2)</f>
        <v>-231298.45</v>
      </c>
      <c r="BS17" s="8">
        <f>ROUND(BN17-BK17,2)</f>
        <v>80169.08</v>
      </c>
      <c r="BT17" s="8">
        <f>ROUND(BT16+N17-O17+V17-W17+AL17-AM17,2)</f>
        <v>293305.48</v>
      </c>
      <c r="BU17" s="10">
        <f>IF(BR17&gt;=0,A17,999)</f>
        <v>999</v>
      </c>
      <c r="BV17" s="8">
        <f>ROUND(BR17+200000,2)</f>
        <v>-31298.45</v>
      </c>
    </row>
    <row r="18" spans="1:74">
      <c r="A18" s="10">
        <v>14</v>
      </c>
      <c r="B18" s="10">
        <f>'Base'!B18</f>
        <v>2400</v>
      </c>
      <c r="C18" s="10">
        <f>'Base'!C18</f>
        <v>2</v>
      </c>
      <c r="D18" s="10">
        <f>ROUNDDOWN('Base'!D18*'Premissas'!$B$29,0)</f>
        <v>5</v>
      </c>
      <c r="E18" s="10">
        <f>ROUNDDOWN('Base'!E18*'Premissas'!$B$29,0)</f>
        <v>1</v>
      </c>
      <c r="F18" s="10">
        <f>ROUNDDOWN('Base'!F18*'Premissas'!$B$29,0)</f>
        <v>3</v>
      </c>
      <c r="G18" s="10">
        <f>MAX(0,F18-F17)</f>
        <v>0</v>
      </c>
      <c r="H18" s="10">
        <f>ROUNDUP(B18/'Premissas'!$B$14,0)</f>
        <v>120000</v>
      </c>
      <c r="I18" s="8">
        <f>ROUND(B18*'Premissas'!$B$5,2)</f>
        <v>69600.0</v>
      </c>
      <c r="J18" s="8">
        <f>ROUND(I18*'Premissas'!$B$6,2)</f>
        <v>348000.0</v>
      </c>
      <c r="K18" s="8">
        <f>ROUND(J18*'Premissas'!$B$7,2)</f>
        <v>27840.0</v>
      </c>
      <c r="L18" s="8">
        <f>ROUND(J18-K18,2)</f>
        <v>320160.0</v>
      </c>
      <c r="M18" s="8">
        <f>ROUND(L18*'Premissas'!$B$8+B18*(1-'Premissas'!$B$7)*'Premissas'!$B$9*'Premissas'!$B$6,2)</f>
        <v>42735.84</v>
      </c>
      <c r="N18" s="8">
        <f>ROUND(L18-M18,2)</f>
        <v>277424.16</v>
      </c>
      <c r="O18" s="8">
        <f>IF(A18&gt;'Premissas'!$B$20,INDEX($N$5:$N$28,MAX(1,A18-'Premissas'!$B$20)),0)</f>
        <v>254305.48</v>
      </c>
      <c r="P18" s="8">
        <f>ROUND(L18*'Premissas'!$B$10,2)</f>
        <v>48024.0</v>
      </c>
      <c r="Q18" s="8">
        <f>ROUND(L18*'Premissas'!$B$11,2)</f>
        <v>9604.8</v>
      </c>
      <c r="R18" s="8">
        <f>ROUND(B18*'Premissas'!$B$12*'Premissas'!$B$6,2)</f>
        <v>120000.0</v>
      </c>
      <c r="S18" s="8">
        <f>ROUND(B18*'Premissas'!$B$13*'Premissas'!$B$6,2)</f>
        <v>12000.0</v>
      </c>
      <c r="T18" s="8">
        <f>ROUND(L18-M18-P18-Q18-R18-S18,2)</f>
        <v>87795.36</v>
      </c>
      <c r="U18" s="10">
        <f>C18*'Premissas'!$B$16</f>
        <v>160</v>
      </c>
      <c r="V18" s="8">
        <f>ROUND(C18*'Premissas'!$B$15,2)</f>
        <v>60000.0</v>
      </c>
      <c r="W18" s="8">
        <f>ROUND(V18*'Premissas'!$B$19+V17*(1-'Premissas'!$B$19),2)</f>
        <v>60000.0</v>
      </c>
      <c r="X18" s="8">
        <f>ROUND(U18*'Premissas'!$B$17,2)</f>
        <v>28800.0</v>
      </c>
      <c r="Y18" s="8">
        <f>ROUND(V18*'Premissas'!$B$10,2)</f>
        <v>9000.0</v>
      </c>
      <c r="Z18" s="8">
        <f>ROUND(W18*'Premissas'!$B$18,2)</f>
        <v>3000.0</v>
      </c>
      <c r="AA18" s="8">
        <f>ROUND(V18*'Premissas'!$B$18,2)</f>
        <v>3000.0</v>
      </c>
      <c r="AB18" s="8">
        <f>ROUND(V18-X18-Y18-AA18,2)</f>
        <v>19200.0</v>
      </c>
      <c r="AC18" s="10">
        <f>D18*'Ofertas'!$C$5</f>
        <v>60.0</v>
      </c>
      <c r="AD18" s="8">
        <f>ROUND(D18*'Ofertas'!$B$5,2)</f>
        <v>22500.0</v>
      </c>
      <c r="AE18" s="8">
        <f>AD18</f>
        <v>22500.0</v>
      </c>
      <c r="AF18" s="8">
        <f>ROUND(AC18*'Ofertas'!$D$5,2)</f>
        <v>7200.0</v>
      </c>
      <c r="AG18" s="8">
        <f>ROUND(AD18*'Premissas'!$B$10,2)</f>
        <v>3375.0</v>
      </c>
      <c r="AH18" s="8">
        <f>ROUND(AD18*'Premissas'!$B$31,2)</f>
        <v>1125.0</v>
      </c>
      <c r="AI18" s="8">
        <f>ROUND(D18*'Ofertas'!$H$5,2)</f>
        <v>800.0</v>
      </c>
      <c r="AJ18" s="8">
        <f>ROUND(AD18-AF18-AG18-AH18-AI18,2)</f>
        <v>10000.0</v>
      </c>
      <c r="AK18" s="10">
        <f>E18*'Ofertas'!$C$6</f>
        <v>40.0</v>
      </c>
      <c r="AL18" s="8">
        <f>ROUND(E18*'Ofertas'!$B$6,2)</f>
        <v>18000.0</v>
      </c>
      <c r="AM18" s="8">
        <f>ROUND(AL18*'Premissas'!$B$32+AL17*(1-'Premissas'!$B$32),2)</f>
        <v>18000.0</v>
      </c>
      <c r="AN18" s="8">
        <f>ROUND(AK18*'Ofertas'!$D$6,2)</f>
        <v>7200.0</v>
      </c>
      <c r="AO18" s="8">
        <f>ROUND(AL18*'Premissas'!$B$10,2)</f>
        <v>2700.0</v>
      </c>
      <c r="AP18" s="8">
        <f>ROUND(AL18*'Premissas'!$B$31,2)</f>
        <v>900.0</v>
      </c>
      <c r="AQ18" s="8">
        <f>ROUND(E18*'Ofertas'!$H$6,2)</f>
        <v>600.0</v>
      </c>
      <c r="AR18" s="8">
        <f>ROUND(AL18-AN18-AO18-AP18-AQ18,2)</f>
        <v>6600.0</v>
      </c>
      <c r="AS18" s="10">
        <f>F18*'Ofertas'!$C$7</f>
        <v>24.0</v>
      </c>
      <c r="AT18" s="8">
        <f>ROUND(F18*'Ofertas'!$B$7,2)</f>
        <v>10500.0</v>
      </c>
      <c r="AU18" s="8">
        <f>AT18</f>
        <v>10500.0</v>
      </c>
      <c r="AV18" s="8">
        <f>ROUND(AS18*'Ofertas'!$D$7,2)</f>
        <v>2880.0</v>
      </c>
      <c r="AW18" s="8">
        <f>ROUND(AT18*'Premissas'!$B$10,2)</f>
        <v>1575.0</v>
      </c>
      <c r="AX18" s="8">
        <f>ROUND(AT18*'Premissas'!$B$31,2)</f>
        <v>525.0</v>
      </c>
      <c r="AY18" s="8">
        <f>ROUND(F18*'Ofertas'!$H$7,2)</f>
        <v>630.0</v>
      </c>
      <c r="AZ18" s="8">
        <f>ROUND(AT18-AV18-AW18-AX18-AY18,2)</f>
        <v>4890.0</v>
      </c>
      <c r="BA18" s="10">
        <f>G18*'Ofertas'!$C$8</f>
        <v>0.0</v>
      </c>
      <c r="BB18" s="8">
        <f>ROUND(G18*'Ofertas'!$B$8,2)</f>
        <v>0.0</v>
      </c>
      <c r="BC18" s="8">
        <f>BB18</f>
        <v>0.0</v>
      </c>
      <c r="BD18" s="8">
        <f>ROUND(BA18*'Ofertas'!$D$8,2)</f>
        <v>0.0</v>
      </c>
      <c r="BE18" s="8">
        <f>ROUND(BB18*'Premissas'!$B$10,2)</f>
        <v>0.0</v>
      </c>
      <c r="BF18" s="8">
        <f>ROUND(BB18*'Premissas'!$B$31,2)</f>
        <v>0.0</v>
      </c>
      <c r="BG18" s="8">
        <f>ROUND(G18*'Ofertas'!$H$8,2)</f>
        <v>0.0</v>
      </c>
      <c r="BH18" s="8">
        <f>ROUND(BB18-BD18-BE18-BF18-BG18,2)</f>
        <v>0.0</v>
      </c>
      <c r="BI18" s="10">
        <f>U18+AC18+AK18+AS18+BA18</f>
        <v>284.0</v>
      </c>
      <c r="BJ18" s="11">
        <f>BI18/'Premissas'!$B$30</f>
        <v>1.775</v>
      </c>
      <c r="BK18" s="8">
        <f>IF(A18&lt;=12,'Premissas'!$B$24,'Premissas'!$B$25)</f>
        <v>42000</v>
      </c>
      <c r="BL18" s="8">
        <f>ROUND(J18+V18+AD18+AL18+AT18+BB18,2)</f>
        <v>459000.0</v>
      </c>
      <c r="BM18" s="8">
        <f>ROUND(L18+V18+AD18+AL18+AT18+BB18,2)</f>
        <v>431160.0</v>
      </c>
      <c r="BN18" s="8">
        <f>ROUND(T18+AB18+AJ18+AR18+AZ18+BH18,2)</f>
        <v>128485.36</v>
      </c>
      <c r="BO18" s="8">
        <f>ROUND(O18+W18+AE18+AM18+AU18+BC18,2)</f>
        <v>365305.48</v>
      </c>
      <c r="BP18" s="8">
        <f>ROUND(P18+Q18+R18+S18+X18+Y18+Z18+BK18+AF18+AG18+AH18+AI18+AN18+AO18+AP18+AQ18+AV18+AW18+AX18+AY18+BD18+BE18+BF18+BG18,2)</f>
        <v>301938.8</v>
      </c>
      <c r="BQ18" s="8">
        <f>ROUND(BO18-BP18,2)</f>
        <v>63366.68</v>
      </c>
      <c r="BR18" s="8">
        <f>ROUND(BR17+BQ18,2)</f>
        <v>-167931.77</v>
      </c>
      <c r="BS18" s="8">
        <f>ROUND(BN18-BK18,2)</f>
        <v>86485.36</v>
      </c>
      <c r="BT18" s="8">
        <f>ROUND(BT17+N18-O18+V18-W18+AL18-AM18,2)</f>
        <v>316424.16</v>
      </c>
      <c r="BU18" s="10">
        <f>IF(BR18&gt;=0,A18,999)</f>
        <v>999</v>
      </c>
      <c r="BV18" s="8">
        <f>ROUND(BR18+200000,2)</f>
        <v>32068.23</v>
      </c>
    </row>
    <row r="19" spans="1:74">
      <c r="A19" s="10">
        <v>15</v>
      </c>
      <c r="B19" s="10">
        <f>'Base'!B19</f>
        <v>2600</v>
      </c>
      <c r="C19" s="10">
        <f>'Base'!C19</f>
        <v>2</v>
      </c>
      <c r="D19" s="10">
        <f>ROUNDDOWN('Base'!D19*'Premissas'!$B$29,0)</f>
        <v>5</v>
      </c>
      <c r="E19" s="10">
        <f>ROUNDDOWN('Base'!E19*'Premissas'!$B$29,0)</f>
        <v>1</v>
      </c>
      <c r="F19" s="10">
        <f>ROUNDDOWN('Base'!F19*'Premissas'!$B$29,0)</f>
        <v>3</v>
      </c>
      <c r="G19" s="10">
        <f>MAX(0,F19-F18)</f>
        <v>0</v>
      </c>
      <c r="H19" s="10">
        <f>ROUNDUP(B19/'Premissas'!$B$14,0)</f>
        <v>130000</v>
      </c>
      <c r="I19" s="8">
        <f>ROUND(B19*'Premissas'!$B$5,2)</f>
        <v>75400.0</v>
      </c>
      <c r="J19" s="8">
        <f>ROUND(I19*'Premissas'!$B$6,2)</f>
        <v>377000.0</v>
      </c>
      <c r="K19" s="8">
        <f>ROUND(J19*'Premissas'!$B$7,2)</f>
        <v>30160.0</v>
      </c>
      <c r="L19" s="8">
        <f>ROUND(J19-K19,2)</f>
        <v>346840.0</v>
      </c>
      <c r="M19" s="8">
        <f>ROUND(L19*'Premissas'!$B$8+B19*(1-'Premissas'!$B$7)*'Premissas'!$B$9*'Premissas'!$B$6,2)</f>
        <v>46297.16</v>
      </c>
      <c r="N19" s="8">
        <f>ROUND(L19-M19,2)</f>
        <v>300542.84</v>
      </c>
      <c r="O19" s="8">
        <f>IF(A19&gt;'Premissas'!$B$20,INDEX($N$5:$N$28,MAX(1,A19-'Premissas'!$B$20)),0)</f>
        <v>277424.16</v>
      </c>
      <c r="P19" s="8">
        <f>ROUND(L19*'Premissas'!$B$10,2)</f>
        <v>52026.0</v>
      </c>
      <c r="Q19" s="8">
        <f>ROUND(L19*'Premissas'!$B$11,2)</f>
        <v>10405.2</v>
      </c>
      <c r="R19" s="8">
        <f>ROUND(B19*'Premissas'!$B$12*'Premissas'!$B$6,2)</f>
        <v>130000.0</v>
      </c>
      <c r="S19" s="8">
        <f>ROUND(B19*'Premissas'!$B$13*'Premissas'!$B$6,2)</f>
        <v>13000.0</v>
      </c>
      <c r="T19" s="8">
        <f>ROUND(L19-M19-P19-Q19-R19-S19,2)</f>
        <v>95111.64</v>
      </c>
      <c r="U19" s="10">
        <f>C19*'Premissas'!$B$16</f>
        <v>160</v>
      </c>
      <c r="V19" s="8">
        <f>ROUND(C19*'Premissas'!$B$15,2)</f>
        <v>60000.0</v>
      </c>
      <c r="W19" s="8">
        <f>ROUND(V19*'Premissas'!$B$19+V18*(1-'Premissas'!$B$19),2)</f>
        <v>60000.0</v>
      </c>
      <c r="X19" s="8">
        <f>ROUND(U19*'Premissas'!$B$17,2)</f>
        <v>28800.0</v>
      </c>
      <c r="Y19" s="8">
        <f>ROUND(V19*'Premissas'!$B$10,2)</f>
        <v>9000.0</v>
      </c>
      <c r="Z19" s="8">
        <f>ROUND(W19*'Premissas'!$B$18,2)</f>
        <v>3000.0</v>
      </c>
      <c r="AA19" s="8">
        <f>ROUND(V19*'Premissas'!$B$18,2)</f>
        <v>3000.0</v>
      </c>
      <c r="AB19" s="8">
        <f>ROUND(V19-X19-Y19-AA19,2)</f>
        <v>19200.0</v>
      </c>
      <c r="AC19" s="10">
        <f>D19*'Ofertas'!$C$5</f>
        <v>60.0</v>
      </c>
      <c r="AD19" s="8">
        <f>ROUND(D19*'Ofertas'!$B$5,2)</f>
        <v>22500.0</v>
      </c>
      <c r="AE19" s="8">
        <f>AD19</f>
        <v>22500.0</v>
      </c>
      <c r="AF19" s="8">
        <f>ROUND(AC19*'Ofertas'!$D$5,2)</f>
        <v>7200.0</v>
      </c>
      <c r="AG19" s="8">
        <f>ROUND(AD19*'Premissas'!$B$10,2)</f>
        <v>3375.0</v>
      </c>
      <c r="AH19" s="8">
        <f>ROUND(AD19*'Premissas'!$B$31,2)</f>
        <v>1125.0</v>
      </c>
      <c r="AI19" s="8">
        <f>ROUND(D19*'Ofertas'!$H$5,2)</f>
        <v>800.0</v>
      </c>
      <c r="AJ19" s="8">
        <f>ROUND(AD19-AF19-AG19-AH19-AI19,2)</f>
        <v>10000.0</v>
      </c>
      <c r="AK19" s="10">
        <f>E19*'Ofertas'!$C$6</f>
        <v>40.0</v>
      </c>
      <c r="AL19" s="8">
        <f>ROUND(E19*'Ofertas'!$B$6,2)</f>
        <v>18000.0</v>
      </c>
      <c r="AM19" s="8">
        <f>ROUND(AL19*'Premissas'!$B$32+AL18*(1-'Premissas'!$B$32),2)</f>
        <v>18000.0</v>
      </c>
      <c r="AN19" s="8">
        <f>ROUND(AK19*'Ofertas'!$D$6,2)</f>
        <v>7200.0</v>
      </c>
      <c r="AO19" s="8">
        <f>ROUND(AL19*'Premissas'!$B$10,2)</f>
        <v>2700.0</v>
      </c>
      <c r="AP19" s="8">
        <f>ROUND(AL19*'Premissas'!$B$31,2)</f>
        <v>900.0</v>
      </c>
      <c r="AQ19" s="8">
        <f>ROUND(E19*'Ofertas'!$H$6,2)</f>
        <v>600.0</v>
      </c>
      <c r="AR19" s="8">
        <f>ROUND(AL19-AN19-AO19-AP19-AQ19,2)</f>
        <v>6600.0</v>
      </c>
      <c r="AS19" s="10">
        <f>F19*'Ofertas'!$C$7</f>
        <v>24.0</v>
      </c>
      <c r="AT19" s="8">
        <f>ROUND(F19*'Ofertas'!$B$7,2)</f>
        <v>10500.0</v>
      </c>
      <c r="AU19" s="8">
        <f>AT19</f>
        <v>10500.0</v>
      </c>
      <c r="AV19" s="8">
        <f>ROUND(AS19*'Ofertas'!$D$7,2)</f>
        <v>2880.0</v>
      </c>
      <c r="AW19" s="8">
        <f>ROUND(AT19*'Premissas'!$B$10,2)</f>
        <v>1575.0</v>
      </c>
      <c r="AX19" s="8">
        <f>ROUND(AT19*'Premissas'!$B$31,2)</f>
        <v>525.0</v>
      </c>
      <c r="AY19" s="8">
        <f>ROUND(F19*'Ofertas'!$H$7,2)</f>
        <v>630.0</v>
      </c>
      <c r="AZ19" s="8">
        <f>ROUND(AT19-AV19-AW19-AX19-AY19,2)</f>
        <v>4890.0</v>
      </c>
      <c r="BA19" s="10">
        <f>G19*'Ofertas'!$C$8</f>
        <v>0.0</v>
      </c>
      <c r="BB19" s="8">
        <f>ROUND(G19*'Ofertas'!$B$8,2)</f>
        <v>0.0</v>
      </c>
      <c r="BC19" s="8">
        <f>BB19</f>
        <v>0.0</v>
      </c>
      <c r="BD19" s="8">
        <f>ROUND(BA19*'Ofertas'!$D$8,2)</f>
        <v>0.0</v>
      </c>
      <c r="BE19" s="8">
        <f>ROUND(BB19*'Premissas'!$B$10,2)</f>
        <v>0.0</v>
      </c>
      <c r="BF19" s="8">
        <f>ROUND(BB19*'Premissas'!$B$31,2)</f>
        <v>0.0</v>
      </c>
      <c r="BG19" s="8">
        <f>ROUND(G19*'Ofertas'!$H$8,2)</f>
        <v>0.0</v>
      </c>
      <c r="BH19" s="8">
        <f>ROUND(BB19-BD19-BE19-BF19-BG19,2)</f>
        <v>0.0</v>
      </c>
      <c r="BI19" s="10">
        <f>U19+AC19+AK19+AS19+BA19</f>
        <v>284.0</v>
      </c>
      <c r="BJ19" s="11">
        <f>BI19/'Premissas'!$B$30</f>
        <v>1.775</v>
      </c>
      <c r="BK19" s="8">
        <f>IF(A19&lt;=12,'Premissas'!$B$24,'Premissas'!$B$25)</f>
        <v>42000</v>
      </c>
      <c r="BL19" s="8">
        <f>ROUND(J19+V19+AD19+AL19+AT19+BB19,2)</f>
        <v>488000.0</v>
      </c>
      <c r="BM19" s="8">
        <f>ROUND(L19+V19+AD19+AL19+AT19+BB19,2)</f>
        <v>457840.0</v>
      </c>
      <c r="BN19" s="8">
        <f>ROUND(T19+AB19+AJ19+AR19+AZ19+BH19,2)</f>
        <v>135801.64</v>
      </c>
      <c r="BO19" s="8">
        <f>ROUND(O19+W19+AE19+AM19+AU19+BC19,2)</f>
        <v>388424.16</v>
      </c>
      <c r="BP19" s="8">
        <f>ROUND(P19+Q19+R19+S19+X19+Y19+Z19+BK19+AF19+AG19+AH19+AI19+AN19+AO19+AP19+AQ19+AV19+AW19+AX19+AY19+BD19+BE19+BF19+BG19,2)</f>
        <v>317741.2</v>
      </c>
      <c r="BQ19" s="8">
        <f>ROUND(BO19-BP19,2)</f>
        <v>70682.96</v>
      </c>
      <c r="BR19" s="8">
        <f>ROUND(BR18+BQ19,2)</f>
        <v>-97248.81</v>
      </c>
      <c r="BS19" s="8">
        <f>ROUND(BN19-BK19,2)</f>
        <v>93801.64</v>
      </c>
      <c r="BT19" s="8">
        <f>ROUND(BT18+N19-O19+V19-W19+AL19-AM19,2)</f>
        <v>339542.84</v>
      </c>
      <c r="BU19" s="10">
        <f>IF(BR19&gt;=0,A19,999)</f>
        <v>999</v>
      </c>
      <c r="BV19" s="8">
        <f>ROUND(BR19+200000,2)</f>
        <v>102751.19</v>
      </c>
    </row>
    <row r="20" spans="1:74">
      <c r="A20" s="10">
        <v>16</v>
      </c>
      <c r="B20" s="10">
        <f>'Base'!B20</f>
        <v>2800</v>
      </c>
      <c r="C20" s="10">
        <f>'Base'!C20</f>
        <v>2</v>
      </c>
      <c r="D20" s="10">
        <f>ROUNDDOWN('Base'!D20*'Premissas'!$B$29,0)</f>
        <v>5</v>
      </c>
      <c r="E20" s="10">
        <f>ROUNDDOWN('Base'!E20*'Premissas'!$B$29,0)</f>
        <v>1</v>
      </c>
      <c r="F20" s="10">
        <f>ROUNDDOWN('Base'!F20*'Premissas'!$B$29,0)</f>
        <v>3</v>
      </c>
      <c r="G20" s="10">
        <f>MAX(0,F20-F19)</f>
        <v>0</v>
      </c>
      <c r="H20" s="10">
        <f>ROUNDUP(B20/'Premissas'!$B$14,0)</f>
        <v>140000</v>
      </c>
      <c r="I20" s="8">
        <f>ROUND(B20*'Premissas'!$B$5,2)</f>
        <v>81200.0</v>
      </c>
      <c r="J20" s="8">
        <f>ROUND(I20*'Premissas'!$B$6,2)</f>
        <v>406000.0</v>
      </c>
      <c r="K20" s="8">
        <f>ROUND(J20*'Premissas'!$B$7,2)</f>
        <v>32480.0</v>
      </c>
      <c r="L20" s="8">
        <f>ROUND(J20-K20,2)</f>
        <v>373520.0</v>
      </c>
      <c r="M20" s="8">
        <f>ROUND(L20*'Premissas'!$B$8+B20*(1-'Premissas'!$B$7)*'Premissas'!$B$9*'Premissas'!$B$6,2)</f>
        <v>49858.48</v>
      </c>
      <c r="N20" s="8">
        <f>ROUND(L20-M20,2)</f>
        <v>323661.52</v>
      </c>
      <c r="O20" s="8">
        <f>IF(A20&gt;'Premissas'!$B$20,INDEX($N$5:$N$28,MAX(1,A20-'Premissas'!$B$20)),0)</f>
        <v>300542.84</v>
      </c>
      <c r="P20" s="8">
        <f>ROUND(L20*'Premissas'!$B$10,2)</f>
        <v>56028.0</v>
      </c>
      <c r="Q20" s="8">
        <f>ROUND(L20*'Premissas'!$B$11,2)</f>
        <v>11205.6</v>
      </c>
      <c r="R20" s="8">
        <f>ROUND(B20*'Premissas'!$B$12*'Premissas'!$B$6,2)</f>
        <v>140000.0</v>
      </c>
      <c r="S20" s="8">
        <f>ROUND(B20*'Premissas'!$B$13*'Premissas'!$B$6,2)</f>
        <v>14000.0</v>
      </c>
      <c r="T20" s="8">
        <f>ROUND(L20-M20-P20-Q20-R20-S20,2)</f>
        <v>102427.92</v>
      </c>
      <c r="U20" s="10">
        <f>C20*'Premissas'!$B$16</f>
        <v>160</v>
      </c>
      <c r="V20" s="8">
        <f>ROUND(C20*'Premissas'!$B$15,2)</f>
        <v>60000.0</v>
      </c>
      <c r="W20" s="8">
        <f>ROUND(V20*'Premissas'!$B$19+V19*(1-'Premissas'!$B$19),2)</f>
        <v>60000.0</v>
      </c>
      <c r="X20" s="8">
        <f>ROUND(U20*'Premissas'!$B$17,2)</f>
        <v>28800.0</v>
      </c>
      <c r="Y20" s="8">
        <f>ROUND(V20*'Premissas'!$B$10,2)</f>
        <v>9000.0</v>
      </c>
      <c r="Z20" s="8">
        <f>ROUND(W20*'Premissas'!$B$18,2)</f>
        <v>3000.0</v>
      </c>
      <c r="AA20" s="8">
        <f>ROUND(V20*'Premissas'!$B$18,2)</f>
        <v>3000.0</v>
      </c>
      <c r="AB20" s="8">
        <f>ROUND(V20-X20-Y20-AA20,2)</f>
        <v>19200.0</v>
      </c>
      <c r="AC20" s="10">
        <f>D20*'Ofertas'!$C$5</f>
        <v>60.0</v>
      </c>
      <c r="AD20" s="8">
        <f>ROUND(D20*'Ofertas'!$B$5,2)</f>
        <v>22500.0</v>
      </c>
      <c r="AE20" s="8">
        <f>AD20</f>
        <v>22500.0</v>
      </c>
      <c r="AF20" s="8">
        <f>ROUND(AC20*'Ofertas'!$D$5,2)</f>
        <v>7200.0</v>
      </c>
      <c r="AG20" s="8">
        <f>ROUND(AD20*'Premissas'!$B$10,2)</f>
        <v>3375.0</v>
      </c>
      <c r="AH20" s="8">
        <f>ROUND(AD20*'Premissas'!$B$31,2)</f>
        <v>1125.0</v>
      </c>
      <c r="AI20" s="8">
        <f>ROUND(D20*'Ofertas'!$H$5,2)</f>
        <v>800.0</v>
      </c>
      <c r="AJ20" s="8">
        <f>ROUND(AD20-AF20-AG20-AH20-AI20,2)</f>
        <v>10000.0</v>
      </c>
      <c r="AK20" s="10">
        <f>E20*'Ofertas'!$C$6</f>
        <v>40.0</v>
      </c>
      <c r="AL20" s="8">
        <f>ROUND(E20*'Ofertas'!$B$6,2)</f>
        <v>18000.0</v>
      </c>
      <c r="AM20" s="8">
        <f>ROUND(AL20*'Premissas'!$B$32+AL19*(1-'Premissas'!$B$32),2)</f>
        <v>18000.0</v>
      </c>
      <c r="AN20" s="8">
        <f>ROUND(AK20*'Ofertas'!$D$6,2)</f>
        <v>7200.0</v>
      </c>
      <c r="AO20" s="8">
        <f>ROUND(AL20*'Premissas'!$B$10,2)</f>
        <v>2700.0</v>
      </c>
      <c r="AP20" s="8">
        <f>ROUND(AL20*'Premissas'!$B$31,2)</f>
        <v>900.0</v>
      </c>
      <c r="AQ20" s="8">
        <f>ROUND(E20*'Ofertas'!$H$6,2)</f>
        <v>600.0</v>
      </c>
      <c r="AR20" s="8">
        <f>ROUND(AL20-AN20-AO20-AP20-AQ20,2)</f>
        <v>6600.0</v>
      </c>
      <c r="AS20" s="10">
        <f>F20*'Ofertas'!$C$7</f>
        <v>24.0</v>
      </c>
      <c r="AT20" s="8">
        <f>ROUND(F20*'Ofertas'!$B$7,2)</f>
        <v>10500.0</v>
      </c>
      <c r="AU20" s="8">
        <f>AT20</f>
        <v>10500.0</v>
      </c>
      <c r="AV20" s="8">
        <f>ROUND(AS20*'Ofertas'!$D$7,2)</f>
        <v>2880.0</v>
      </c>
      <c r="AW20" s="8">
        <f>ROUND(AT20*'Premissas'!$B$10,2)</f>
        <v>1575.0</v>
      </c>
      <c r="AX20" s="8">
        <f>ROUND(AT20*'Premissas'!$B$31,2)</f>
        <v>525.0</v>
      </c>
      <c r="AY20" s="8">
        <f>ROUND(F20*'Ofertas'!$H$7,2)</f>
        <v>630.0</v>
      </c>
      <c r="AZ20" s="8">
        <f>ROUND(AT20-AV20-AW20-AX20-AY20,2)</f>
        <v>4890.0</v>
      </c>
      <c r="BA20" s="10">
        <f>G20*'Ofertas'!$C$8</f>
        <v>0.0</v>
      </c>
      <c r="BB20" s="8">
        <f>ROUND(G20*'Ofertas'!$B$8,2)</f>
        <v>0.0</v>
      </c>
      <c r="BC20" s="8">
        <f>BB20</f>
        <v>0.0</v>
      </c>
      <c r="BD20" s="8">
        <f>ROUND(BA20*'Ofertas'!$D$8,2)</f>
        <v>0.0</v>
      </c>
      <c r="BE20" s="8">
        <f>ROUND(BB20*'Premissas'!$B$10,2)</f>
        <v>0.0</v>
      </c>
      <c r="BF20" s="8">
        <f>ROUND(BB20*'Premissas'!$B$31,2)</f>
        <v>0.0</v>
      </c>
      <c r="BG20" s="8">
        <f>ROUND(G20*'Ofertas'!$H$8,2)</f>
        <v>0.0</v>
      </c>
      <c r="BH20" s="8">
        <f>ROUND(BB20-BD20-BE20-BF20-BG20,2)</f>
        <v>0.0</v>
      </c>
      <c r="BI20" s="10">
        <f>U20+AC20+AK20+AS20+BA20</f>
        <v>284.0</v>
      </c>
      <c r="BJ20" s="11">
        <f>BI20/'Premissas'!$B$30</f>
        <v>1.775</v>
      </c>
      <c r="BK20" s="8">
        <f>IF(A20&lt;=12,'Premissas'!$B$24,'Premissas'!$B$25)</f>
        <v>42000</v>
      </c>
      <c r="BL20" s="8">
        <f>ROUND(J20+V20+AD20+AL20+AT20+BB20,2)</f>
        <v>517000.0</v>
      </c>
      <c r="BM20" s="8">
        <f>ROUND(L20+V20+AD20+AL20+AT20+BB20,2)</f>
        <v>484520.0</v>
      </c>
      <c r="BN20" s="8">
        <f>ROUND(T20+AB20+AJ20+AR20+AZ20+BH20,2)</f>
        <v>143117.92</v>
      </c>
      <c r="BO20" s="8">
        <f>ROUND(O20+W20+AE20+AM20+AU20+BC20,2)</f>
        <v>411542.84</v>
      </c>
      <c r="BP20" s="8">
        <f>ROUND(P20+Q20+R20+S20+X20+Y20+Z20+BK20+AF20+AG20+AH20+AI20+AN20+AO20+AP20+AQ20+AV20+AW20+AX20+AY20+BD20+BE20+BF20+BG20,2)</f>
        <v>333543.6</v>
      </c>
      <c r="BQ20" s="8">
        <f>ROUND(BO20-BP20,2)</f>
        <v>77999.24</v>
      </c>
      <c r="BR20" s="8">
        <f>ROUND(BR19+BQ20,2)</f>
        <v>-19249.57</v>
      </c>
      <c r="BS20" s="8">
        <f>ROUND(BN20-BK20,2)</f>
        <v>101117.92</v>
      </c>
      <c r="BT20" s="8">
        <f>ROUND(BT19+N20-O20+V20-W20+AL20-AM20,2)</f>
        <v>362661.52</v>
      </c>
      <c r="BU20" s="10">
        <f>IF(BR20&gt;=0,A20,999)</f>
        <v>999</v>
      </c>
      <c r="BV20" s="8">
        <f>ROUND(BR20+200000,2)</f>
        <v>180750.43</v>
      </c>
    </row>
    <row r="21" spans="1:74">
      <c r="A21" s="10">
        <v>17</v>
      </c>
      <c r="B21" s="10">
        <f>'Base'!B21</f>
        <v>3000</v>
      </c>
      <c r="C21" s="10">
        <f>'Base'!C21</f>
        <v>2</v>
      </c>
      <c r="D21" s="10">
        <f>ROUNDDOWN('Base'!D21*'Premissas'!$B$29,0)</f>
        <v>5</v>
      </c>
      <c r="E21" s="10">
        <f>ROUNDDOWN('Base'!E21*'Premissas'!$B$29,0)</f>
        <v>1</v>
      </c>
      <c r="F21" s="10">
        <f>ROUNDDOWN('Base'!F21*'Premissas'!$B$29,0)</f>
        <v>3</v>
      </c>
      <c r="G21" s="10">
        <f>MAX(0,F21-F20)</f>
        <v>0</v>
      </c>
      <c r="H21" s="10">
        <f>ROUNDUP(B21/'Premissas'!$B$14,0)</f>
        <v>150000</v>
      </c>
      <c r="I21" s="8">
        <f>ROUND(B21*'Premissas'!$B$5,2)</f>
        <v>87000.0</v>
      </c>
      <c r="J21" s="8">
        <f>ROUND(I21*'Premissas'!$B$6,2)</f>
        <v>435000.0</v>
      </c>
      <c r="K21" s="8">
        <f>ROUND(J21*'Premissas'!$B$7,2)</f>
        <v>34800.0</v>
      </c>
      <c r="L21" s="8">
        <f>ROUND(J21-K21,2)</f>
        <v>400200.0</v>
      </c>
      <c r="M21" s="8">
        <f>ROUND(L21*'Premissas'!$B$8+B21*(1-'Premissas'!$B$7)*'Premissas'!$B$9*'Premissas'!$B$6,2)</f>
        <v>53419.8</v>
      </c>
      <c r="N21" s="8">
        <f>ROUND(L21-M21,2)</f>
        <v>346780.2</v>
      </c>
      <c r="O21" s="8">
        <f>IF(A21&gt;'Premissas'!$B$20,INDEX($N$5:$N$28,MAX(1,A21-'Premissas'!$B$20)),0)</f>
        <v>323661.52</v>
      </c>
      <c r="P21" s="8">
        <f>ROUND(L21*'Premissas'!$B$10,2)</f>
        <v>60030.0</v>
      </c>
      <c r="Q21" s="8">
        <f>ROUND(L21*'Premissas'!$B$11,2)</f>
        <v>12006.0</v>
      </c>
      <c r="R21" s="8">
        <f>ROUND(B21*'Premissas'!$B$12*'Premissas'!$B$6,2)</f>
        <v>150000.0</v>
      </c>
      <c r="S21" s="8">
        <f>ROUND(B21*'Premissas'!$B$13*'Premissas'!$B$6,2)</f>
        <v>15000.0</v>
      </c>
      <c r="T21" s="8">
        <f>ROUND(L21-M21-P21-Q21-R21-S21,2)</f>
        <v>109744.2</v>
      </c>
      <c r="U21" s="10">
        <f>C21*'Premissas'!$B$16</f>
        <v>160</v>
      </c>
      <c r="V21" s="8">
        <f>ROUND(C21*'Premissas'!$B$15,2)</f>
        <v>60000.0</v>
      </c>
      <c r="W21" s="8">
        <f>ROUND(V21*'Premissas'!$B$19+V20*(1-'Premissas'!$B$19),2)</f>
        <v>60000.0</v>
      </c>
      <c r="X21" s="8">
        <f>ROUND(U21*'Premissas'!$B$17,2)</f>
        <v>28800.0</v>
      </c>
      <c r="Y21" s="8">
        <f>ROUND(V21*'Premissas'!$B$10,2)</f>
        <v>9000.0</v>
      </c>
      <c r="Z21" s="8">
        <f>ROUND(W21*'Premissas'!$B$18,2)</f>
        <v>3000.0</v>
      </c>
      <c r="AA21" s="8">
        <f>ROUND(V21*'Premissas'!$B$18,2)</f>
        <v>3000.0</v>
      </c>
      <c r="AB21" s="8">
        <f>ROUND(V21-X21-Y21-AA21,2)</f>
        <v>19200.0</v>
      </c>
      <c r="AC21" s="10">
        <f>D21*'Ofertas'!$C$5</f>
        <v>60.0</v>
      </c>
      <c r="AD21" s="8">
        <f>ROUND(D21*'Ofertas'!$B$5,2)</f>
        <v>22500.0</v>
      </c>
      <c r="AE21" s="8">
        <f>AD21</f>
        <v>22500.0</v>
      </c>
      <c r="AF21" s="8">
        <f>ROUND(AC21*'Ofertas'!$D$5,2)</f>
        <v>7200.0</v>
      </c>
      <c r="AG21" s="8">
        <f>ROUND(AD21*'Premissas'!$B$10,2)</f>
        <v>3375.0</v>
      </c>
      <c r="AH21" s="8">
        <f>ROUND(AD21*'Premissas'!$B$31,2)</f>
        <v>1125.0</v>
      </c>
      <c r="AI21" s="8">
        <f>ROUND(D21*'Ofertas'!$H$5,2)</f>
        <v>800.0</v>
      </c>
      <c r="AJ21" s="8">
        <f>ROUND(AD21-AF21-AG21-AH21-AI21,2)</f>
        <v>10000.0</v>
      </c>
      <c r="AK21" s="10">
        <f>E21*'Ofertas'!$C$6</f>
        <v>40.0</v>
      </c>
      <c r="AL21" s="8">
        <f>ROUND(E21*'Ofertas'!$B$6,2)</f>
        <v>18000.0</v>
      </c>
      <c r="AM21" s="8">
        <f>ROUND(AL21*'Premissas'!$B$32+AL20*(1-'Premissas'!$B$32),2)</f>
        <v>18000.0</v>
      </c>
      <c r="AN21" s="8">
        <f>ROUND(AK21*'Ofertas'!$D$6,2)</f>
        <v>7200.0</v>
      </c>
      <c r="AO21" s="8">
        <f>ROUND(AL21*'Premissas'!$B$10,2)</f>
        <v>2700.0</v>
      </c>
      <c r="AP21" s="8">
        <f>ROUND(AL21*'Premissas'!$B$31,2)</f>
        <v>900.0</v>
      </c>
      <c r="AQ21" s="8">
        <f>ROUND(E21*'Ofertas'!$H$6,2)</f>
        <v>600.0</v>
      </c>
      <c r="AR21" s="8">
        <f>ROUND(AL21-AN21-AO21-AP21-AQ21,2)</f>
        <v>6600.0</v>
      </c>
      <c r="AS21" s="10">
        <f>F21*'Ofertas'!$C$7</f>
        <v>24.0</v>
      </c>
      <c r="AT21" s="8">
        <f>ROUND(F21*'Ofertas'!$B$7,2)</f>
        <v>10500.0</v>
      </c>
      <c r="AU21" s="8">
        <f>AT21</f>
        <v>10500.0</v>
      </c>
      <c r="AV21" s="8">
        <f>ROUND(AS21*'Ofertas'!$D$7,2)</f>
        <v>2880.0</v>
      </c>
      <c r="AW21" s="8">
        <f>ROUND(AT21*'Premissas'!$B$10,2)</f>
        <v>1575.0</v>
      </c>
      <c r="AX21" s="8">
        <f>ROUND(AT21*'Premissas'!$B$31,2)</f>
        <v>525.0</v>
      </c>
      <c r="AY21" s="8">
        <f>ROUND(F21*'Ofertas'!$H$7,2)</f>
        <v>630.0</v>
      </c>
      <c r="AZ21" s="8">
        <f>ROUND(AT21-AV21-AW21-AX21-AY21,2)</f>
        <v>4890.0</v>
      </c>
      <c r="BA21" s="10">
        <f>G21*'Ofertas'!$C$8</f>
        <v>0.0</v>
      </c>
      <c r="BB21" s="8">
        <f>ROUND(G21*'Ofertas'!$B$8,2)</f>
        <v>0.0</v>
      </c>
      <c r="BC21" s="8">
        <f>BB21</f>
        <v>0.0</v>
      </c>
      <c r="BD21" s="8">
        <f>ROUND(BA21*'Ofertas'!$D$8,2)</f>
        <v>0.0</v>
      </c>
      <c r="BE21" s="8">
        <f>ROUND(BB21*'Premissas'!$B$10,2)</f>
        <v>0.0</v>
      </c>
      <c r="BF21" s="8">
        <f>ROUND(BB21*'Premissas'!$B$31,2)</f>
        <v>0.0</v>
      </c>
      <c r="BG21" s="8">
        <f>ROUND(G21*'Ofertas'!$H$8,2)</f>
        <v>0.0</v>
      </c>
      <c r="BH21" s="8">
        <f>ROUND(BB21-BD21-BE21-BF21-BG21,2)</f>
        <v>0.0</v>
      </c>
      <c r="BI21" s="10">
        <f>U21+AC21+AK21+AS21+BA21</f>
        <v>284.0</v>
      </c>
      <c r="BJ21" s="11">
        <f>BI21/'Premissas'!$B$30</f>
        <v>1.775</v>
      </c>
      <c r="BK21" s="8">
        <f>IF(A21&lt;=12,'Premissas'!$B$24,'Premissas'!$B$25)</f>
        <v>42000</v>
      </c>
      <c r="BL21" s="8">
        <f>ROUND(J21+V21+AD21+AL21+AT21+BB21,2)</f>
        <v>546000.0</v>
      </c>
      <c r="BM21" s="8">
        <f>ROUND(L21+V21+AD21+AL21+AT21+BB21,2)</f>
        <v>511200.0</v>
      </c>
      <c r="BN21" s="8">
        <f>ROUND(T21+AB21+AJ21+AR21+AZ21+BH21,2)</f>
        <v>150434.2</v>
      </c>
      <c r="BO21" s="8">
        <f>ROUND(O21+W21+AE21+AM21+AU21+BC21,2)</f>
        <v>434661.52</v>
      </c>
      <c r="BP21" s="8">
        <f>ROUND(P21+Q21+R21+S21+X21+Y21+Z21+BK21+AF21+AG21+AH21+AI21+AN21+AO21+AP21+AQ21+AV21+AW21+AX21+AY21+BD21+BE21+BF21+BG21,2)</f>
        <v>349346.0</v>
      </c>
      <c r="BQ21" s="8">
        <f>ROUND(BO21-BP21,2)</f>
        <v>85315.52</v>
      </c>
      <c r="BR21" s="8">
        <f>ROUND(BR20+BQ21,2)</f>
        <v>66065.95</v>
      </c>
      <c r="BS21" s="8">
        <f>ROUND(BN21-BK21,2)</f>
        <v>108434.2</v>
      </c>
      <c r="BT21" s="8">
        <f>ROUND(BT20+N21-O21+V21-W21+AL21-AM21,2)</f>
        <v>385780.2</v>
      </c>
      <c r="BU21" s="10">
        <f>IF(BR21&gt;=0,A21,999)</f>
        <v>17</v>
      </c>
      <c r="BV21" s="8">
        <f>ROUND(BR21+200000,2)</f>
        <v>266065.95</v>
      </c>
    </row>
    <row r="22" spans="1:74">
      <c r="A22" s="10">
        <v>18</v>
      </c>
      <c r="B22" s="10">
        <f>'Base'!B22</f>
        <v>3000</v>
      </c>
      <c r="C22" s="10">
        <f>'Base'!C22</f>
        <v>2</v>
      </c>
      <c r="D22" s="10">
        <f>ROUNDDOWN('Base'!D22*'Premissas'!$B$29,0)</f>
        <v>5</v>
      </c>
      <c r="E22" s="10">
        <f>ROUNDDOWN('Base'!E22*'Premissas'!$B$29,0)</f>
        <v>1</v>
      </c>
      <c r="F22" s="10">
        <f>ROUNDDOWN('Base'!F22*'Premissas'!$B$29,0)</f>
        <v>3</v>
      </c>
      <c r="G22" s="10">
        <f>MAX(0,F22-F21)</f>
        <v>0</v>
      </c>
      <c r="H22" s="10">
        <f>ROUNDUP(B22/'Premissas'!$B$14,0)</f>
        <v>150000</v>
      </c>
      <c r="I22" s="8">
        <f>ROUND(B22*'Premissas'!$B$5,2)</f>
        <v>87000.0</v>
      </c>
      <c r="J22" s="8">
        <f>ROUND(I22*'Premissas'!$B$6,2)</f>
        <v>435000.0</v>
      </c>
      <c r="K22" s="8">
        <f>ROUND(J22*'Premissas'!$B$7,2)</f>
        <v>34800.0</v>
      </c>
      <c r="L22" s="8">
        <f>ROUND(J22-K22,2)</f>
        <v>400200.0</v>
      </c>
      <c r="M22" s="8">
        <f>ROUND(L22*'Premissas'!$B$8+B22*(1-'Premissas'!$B$7)*'Premissas'!$B$9*'Premissas'!$B$6,2)</f>
        <v>53419.8</v>
      </c>
      <c r="N22" s="8">
        <f>ROUND(L22-M22,2)</f>
        <v>346780.2</v>
      </c>
      <c r="O22" s="8">
        <f>IF(A22&gt;'Premissas'!$B$20,INDEX($N$5:$N$28,MAX(1,A22-'Premissas'!$B$20)),0)</f>
        <v>346780.2</v>
      </c>
      <c r="P22" s="8">
        <f>ROUND(L22*'Premissas'!$B$10,2)</f>
        <v>60030.0</v>
      </c>
      <c r="Q22" s="8">
        <f>ROUND(L22*'Premissas'!$B$11,2)</f>
        <v>12006.0</v>
      </c>
      <c r="R22" s="8">
        <f>ROUND(B22*'Premissas'!$B$12*'Premissas'!$B$6,2)</f>
        <v>150000.0</v>
      </c>
      <c r="S22" s="8">
        <f>ROUND(B22*'Premissas'!$B$13*'Premissas'!$B$6,2)</f>
        <v>15000.0</v>
      </c>
      <c r="T22" s="8">
        <f>ROUND(L22-M22-P22-Q22-R22-S22,2)</f>
        <v>109744.2</v>
      </c>
      <c r="U22" s="10">
        <f>C22*'Premissas'!$B$16</f>
        <v>160</v>
      </c>
      <c r="V22" s="8">
        <f>ROUND(C22*'Premissas'!$B$15,2)</f>
        <v>60000.0</v>
      </c>
      <c r="W22" s="8">
        <f>ROUND(V22*'Premissas'!$B$19+V21*(1-'Premissas'!$B$19),2)</f>
        <v>60000.0</v>
      </c>
      <c r="X22" s="8">
        <f>ROUND(U22*'Premissas'!$B$17,2)</f>
        <v>28800.0</v>
      </c>
      <c r="Y22" s="8">
        <f>ROUND(V22*'Premissas'!$B$10,2)</f>
        <v>9000.0</v>
      </c>
      <c r="Z22" s="8">
        <f>ROUND(W22*'Premissas'!$B$18,2)</f>
        <v>3000.0</v>
      </c>
      <c r="AA22" s="8">
        <f>ROUND(V22*'Premissas'!$B$18,2)</f>
        <v>3000.0</v>
      </c>
      <c r="AB22" s="8">
        <f>ROUND(V22-X22-Y22-AA22,2)</f>
        <v>19200.0</v>
      </c>
      <c r="AC22" s="10">
        <f>D22*'Ofertas'!$C$5</f>
        <v>60.0</v>
      </c>
      <c r="AD22" s="8">
        <f>ROUND(D22*'Ofertas'!$B$5,2)</f>
        <v>22500.0</v>
      </c>
      <c r="AE22" s="8">
        <f>AD22</f>
        <v>22500.0</v>
      </c>
      <c r="AF22" s="8">
        <f>ROUND(AC22*'Ofertas'!$D$5,2)</f>
        <v>7200.0</v>
      </c>
      <c r="AG22" s="8">
        <f>ROUND(AD22*'Premissas'!$B$10,2)</f>
        <v>3375.0</v>
      </c>
      <c r="AH22" s="8">
        <f>ROUND(AD22*'Premissas'!$B$31,2)</f>
        <v>1125.0</v>
      </c>
      <c r="AI22" s="8">
        <f>ROUND(D22*'Ofertas'!$H$5,2)</f>
        <v>800.0</v>
      </c>
      <c r="AJ22" s="8">
        <f>ROUND(AD22-AF22-AG22-AH22-AI22,2)</f>
        <v>10000.0</v>
      </c>
      <c r="AK22" s="10">
        <f>E22*'Ofertas'!$C$6</f>
        <v>40.0</v>
      </c>
      <c r="AL22" s="8">
        <f>ROUND(E22*'Ofertas'!$B$6,2)</f>
        <v>18000.0</v>
      </c>
      <c r="AM22" s="8">
        <f>ROUND(AL22*'Premissas'!$B$32+AL21*(1-'Premissas'!$B$32),2)</f>
        <v>18000.0</v>
      </c>
      <c r="AN22" s="8">
        <f>ROUND(AK22*'Ofertas'!$D$6,2)</f>
        <v>7200.0</v>
      </c>
      <c r="AO22" s="8">
        <f>ROUND(AL22*'Premissas'!$B$10,2)</f>
        <v>2700.0</v>
      </c>
      <c r="AP22" s="8">
        <f>ROUND(AL22*'Premissas'!$B$31,2)</f>
        <v>900.0</v>
      </c>
      <c r="AQ22" s="8">
        <f>ROUND(E22*'Ofertas'!$H$6,2)</f>
        <v>600.0</v>
      </c>
      <c r="AR22" s="8">
        <f>ROUND(AL22-AN22-AO22-AP22-AQ22,2)</f>
        <v>6600.0</v>
      </c>
      <c r="AS22" s="10">
        <f>F22*'Ofertas'!$C$7</f>
        <v>24.0</v>
      </c>
      <c r="AT22" s="8">
        <f>ROUND(F22*'Ofertas'!$B$7,2)</f>
        <v>10500.0</v>
      </c>
      <c r="AU22" s="8">
        <f>AT22</f>
        <v>10500.0</v>
      </c>
      <c r="AV22" s="8">
        <f>ROUND(AS22*'Ofertas'!$D$7,2)</f>
        <v>2880.0</v>
      </c>
      <c r="AW22" s="8">
        <f>ROUND(AT22*'Premissas'!$B$10,2)</f>
        <v>1575.0</v>
      </c>
      <c r="AX22" s="8">
        <f>ROUND(AT22*'Premissas'!$B$31,2)</f>
        <v>525.0</v>
      </c>
      <c r="AY22" s="8">
        <f>ROUND(F22*'Ofertas'!$H$7,2)</f>
        <v>630.0</v>
      </c>
      <c r="AZ22" s="8">
        <f>ROUND(AT22-AV22-AW22-AX22-AY22,2)</f>
        <v>4890.0</v>
      </c>
      <c r="BA22" s="10">
        <f>G22*'Ofertas'!$C$8</f>
        <v>0.0</v>
      </c>
      <c r="BB22" s="8">
        <f>ROUND(G22*'Ofertas'!$B$8,2)</f>
        <v>0.0</v>
      </c>
      <c r="BC22" s="8">
        <f>BB22</f>
        <v>0.0</v>
      </c>
      <c r="BD22" s="8">
        <f>ROUND(BA22*'Ofertas'!$D$8,2)</f>
        <v>0.0</v>
      </c>
      <c r="BE22" s="8">
        <f>ROUND(BB22*'Premissas'!$B$10,2)</f>
        <v>0.0</v>
      </c>
      <c r="BF22" s="8">
        <f>ROUND(BB22*'Premissas'!$B$31,2)</f>
        <v>0.0</v>
      </c>
      <c r="BG22" s="8">
        <f>ROUND(G22*'Ofertas'!$H$8,2)</f>
        <v>0.0</v>
      </c>
      <c r="BH22" s="8">
        <f>ROUND(BB22-BD22-BE22-BF22-BG22,2)</f>
        <v>0.0</v>
      </c>
      <c r="BI22" s="10">
        <f>U22+AC22+AK22+AS22+BA22</f>
        <v>284.0</v>
      </c>
      <c r="BJ22" s="11">
        <f>BI22/'Premissas'!$B$30</f>
        <v>1.775</v>
      </c>
      <c r="BK22" s="8">
        <f>IF(A22&lt;=12,'Premissas'!$B$24,'Premissas'!$B$25)</f>
        <v>42000</v>
      </c>
      <c r="BL22" s="8">
        <f>ROUND(J22+V22+AD22+AL22+AT22+BB22,2)</f>
        <v>546000.0</v>
      </c>
      <c r="BM22" s="8">
        <f>ROUND(L22+V22+AD22+AL22+AT22+BB22,2)</f>
        <v>511200.0</v>
      </c>
      <c r="BN22" s="8">
        <f>ROUND(T22+AB22+AJ22+AR22+AZ22+BH22,2)</f>
        <v>150434.2</v>
      </c>
      <c r="BO22" s="8">
        <f>ROUND(O22+W22+AE22+AM22+AU22+BC22,2)</f>
        <v>457780.2</v>
      </c>
      <c r="BP22" s="8">
        <f>ROUND(P22+Q22+R22+S22+X22+Y22+Z22+BK22+AF22+AG22+AH22+AI22+AN22+AO22+AP22+AQ22+AV22+AW22+AX22+AY22+BD22+BE22+BF22+BG22,2)</f>
        <v>349346.0</v>
      </c>
      <c r="BQ22" s="8">
        <f>ROUND(BO22-BP22,2)</f>
        <v>108434.2</v>
      </c>
      <c r="BR22" s="8">
        <f>ROUND(BR21+BQ22,2)</f>
        <v>174500.15</v>
      </c>
      <c r="BS22" s="8">
        <f>ROUND(BN22-BK22,2)</f>
        <v>108434.2</v>
      </c>
      <c r="BT22" s="8">
        <f>ROUND(BT21+N22-O22+V22-W22+AL22-AM22,2)</f>
        <v>385780.2</v>
      </c>
      <c r="BU22" s="10">
        <f>IF(BR22&gt;=0,A22,999)</f>
        <v>18</v>
      </c>
      <c r="BV22" s="8">
        <f>ROUND(BR22+200000,2)</f>
        <v>374500.15</v>
      </c>
    </row>
    <row r="23" spans="1:74">
      <c r="A23" s="10">
        <v>19</v>
      </c>
      <c r="B23" s="10">
        <f>'Base'!B23</f>
        <v>3000</v>
      </c>
      <c r="C23" s="10">
        <f>'Base'!C23</f>
        <v>2</v>
      </c>
      <c r="D23" s="10">
        <f>ROUNDDOWN('Base'!D23*'Premissas'!$B$29,0)</f>
        <v>5</v>
      </c>
      <c r="E23" s="10">
        <f>ROUNDDOWN('Base'!E23*'Premissas'!$B$29,0)</f>
        <v>1</v>
      </c>
      <c r="F23" s="10">
        <f>ROUNDDOWN('Base'!F23*'Premissas'!$B$29,0)</f>
        <v>3</v>
      </c>
      <c r="G23" s="10">
        <f>MAX(0,F23-F22)</f>
        <v>0</v>
      </c>
      <c r="H23" s="10">
        <f>ROUNDUP(B23/'Premissas'!$B$14,0)</f>
        <v>150000</v>
      </c>
      <c r="I23" s="8">
        <f>ROUND(B23*'Premissas'!$B$5,2)</f>
        <v>87000.0</v>
      </c>
      <c r="J23" s="8">
        <f>ROUND(I23*'Premissas'!$B$6,2)</f>
        <v>435000.0</v>
      </c>
      <c r="K23" s="8">
        <f>ROUND(J23*'Premissas'!$B$7,2)</f>
        <v>34800.0</v>
      </c>
      <c r="L23" s="8">
        <f>ROUND(J23-K23,2)</f>
        <v>400200.0</v>
      </c>
      <c r="M23" s="8">
        <f>ROUND(L23*'Premissas'!$B$8+B23*(1-'Premissas'!$B$7)*'Premissas'!$B$9*'Premissas'!$B$6,2)</f>
        <v>53419.8</v>
      </c>
      <c r="N23" s="8">
        <f>ROUND(L23-M23,2)</f>
        <v>346780.2</v>
      </c>
      <c r="O23" s="8">
        <f>IF(A23&gt;'Premissas'!$B$20,INDEX($N$5:$N$28,MAX(1,A23-'Premissas'!$B$20)),0)</f>
        <v>346780.2</v>
      </c>
      <c r="P23" s="8">
        <f>ROUND(L23*'Premissas'!$B$10,2)</f>
        <v>60030.0</v>
      </c>
      <c r="Q23" s="8">
        <f>ROUND(L23*'Premissas'!$B$11,2)</f>
        <v>12006.0</v>
      </c>
      <c r="R23" s="8">
        <f>ROUND(B23*'Premissas'!$B$12*'Premissas'!$B$6,2)</f>
        <v>150000.0</v>
      </c>
      <c r="S23" s="8">
        <f>ROUND(B23*'Premissas'!$B$13*'Premissas'!$B$6,2)</f>
        <v>15000.0</v>
      </c>
      <c r="T23" s="8">
        <f>ROUND(L23-M23-P23-Q23-R23-S23,2)</f>
        <v>109744.2</v>
      </c>
      <c r="U23" s="10">
        <f>C23*'Premissas'!$B$16</f>
        <v>160</v>
      </c>
      <c r="V23" s="8">
        <f>ROUND(C23*'Premissas'!$B$15,2)</f>
        <v>60000.0</v>
      </c>
      <c r="W23" s="8">
        <f>ROUND(V23*'Premissas'!$B$19+V22*(1-'Premissas'!$B$19),2)</f>
        <v>60000.0</v>
      </c>
      <c r="X23" s="8">
        <f>ROUND(U23*'Premissas'!$B$17,2)</f>
        <v>28800.0</v>
      </c>
      <c r="Y23" s="8">
        <f>ROUND(V23*'Premissas'!$B$10,2)</f>
        <v>9000.0</v>
      </c>
      <c r="Z23" s="8">
        <f>ROUND(W23*'Premissas'!$B$18,2)</f>
        <v>3000.0</v>
      </c>
      <c r="AA23" s="8">
        <f>ROUND(V23*'Premissas'!$B$18,2)</f>
        <v>3000.0</v>
      </c>
      <c r="AB23" s="8">
        <f>ROUND(V23-X23-Y23-AA23,2)</f>
        <v>19200.0</v>
      </c>
      <c r="AC23" s="10">
        <f>D23*'Ofertas'!$C$5</f>
        <v>60.0</v>
      </c>
      <c r="AD23" s="8">
        <f>ROUND(D23*'Ofertas'!$B$5,2)</f>
        <v>22500.0</v>
      </c>
      <c r="AE23" s="8">
        <f>AD23</f>
        <v>22500.0</v>
      </c>
      <c r="AF23" s="8">
        <f>ROUND(AC23*'Ofertas'!$D$5,2)</f>
        <v>7200.0</v>
      </c>
      <c r="AG23" s="8">
        <f>ROUND(AD23*'Premissas'!$B$10,2)</f>
        <v>3375.0</v>
      </c>
      <c r="AH23" s="8">
        <f>ROUND(AD23*'Premissas'!$B$31,2)</f>
        <v>1125.0</v>
      </c>
      <c r="AI23" s="8">
        <f>ROUND(D23*'Ofertas'!$H$5,2)</f>
        <v>800.0</v>
      </c>
      <c r="AJ23" s="8">
        <f>ROUND(AD23-AF23-AG23-AH23-AI23,2)</f>
        <v>10000.0</v>
      </c>
      <c r="AK23" s="10">
        <f>E23*'Ofertas'!$C$6</f>
        <v>40.0</v>
      </c>
      <c r="AL23" s="8">
        <f>ROUND(E23*'Ofertas'!$B$6,2)</f>
        <v>18000.0</v>
      </c>
      <c r="AM23" s="8">
        <f>ROUND(AL23*'Premissas'!$B$32+AL22*(1-'Premissas'!$B$32),2)</f>
        <v>18000.0</v>
      </c>
      <c r="AN23" s="8">
        <f>ROUND(AK23*'Ofertas'!$D$6,2)</f>
        <v>7200.0</v>
      </c>
      <c r="AO23" s="8">
        <f>ROUND(AL23*'Premissas'!$B$10,2)</f>
        <v>2700.0</v>
      </c>
      <c r="AP23" s="8">
        <f>ROUND(AL23*'Premissas'!$B$31,2)</f>
        <v>900.0</v>
      </c>
      <c r="AQ23" s="8">
        <f>ROUND(E23*'Ofertas'!$H$6,2)</f>
        <v>600.0</v>
      </c>
      <c r="AR23" s="8">
        <f>ROUND(AL23-AN23-AO23-AP23-AQ23,2)</f>
        <v>6600.0</v>
      </c>
      <c r="AS23" s="10">
        <f>F23*'Ofertas'!$C$7</f>
        <v>24.0</v>
      </c>
      <c r="AT23" s="8">
        <f>ROUND(F23*'Ofertas'!$B$7,2)</f>
        <v>10500.0</v>
      </c>
      <c r="AU23" s="8">
        <f>AT23</f>
        <v>10500.0</v>
      </c>
      <c r="AV23" s="8">
        <f>ROUND(AS23*'Ofertas'!$D$7,2)</f>
        <v>2880.0</v>
      </c>
      <c r="AW23" s="8">
        <f>ROUND(AT23*'Premissas'!$B$10,2)</f>
        <v>1575.0</v>
      </c>
      <c r="AX23" s="8">
        <f>ROUND(AT23*'Premissas'!$B$31,2)</f>
        <v>525.0</v>
      </c>
      <c r="AY23" s="8">
        <f>ROUND(F23*'Ofertas'!$H$7,2)</f>
        <v>630.0</v>
      </c>
      <c r="AZ23" s="8">
        <f>ROUND(AT23-AV23-AW23-AX23-AY23,2)</f>
        <v>4890.0</v>
      </c>
      <c r="BA23" s="10">
        <f>G23*'Ofertas'!$C$8</f>
        <v>0.0</v>
      </c>
      <c r="BB23" s="8">
        <f>ROUND(G23*'Ofertas'!$B$8,2)</f>
        <v>0.0</v>
      </c>
      <c r="BC23" s="8">
        <f>BB23</f>
        <v>0.0</v>
      </c>
      <c r="BD23" s="8">
        <f>ROUND(BA23*'Ofertas'!$D$8,2)</f>
        <v>0.0</v>
      </c>
      <c r="BE23" s="8">
        <f>ROUND(BB23*'Premissas'!$B$10,2)</f>
        <v>0.0</v>
      </c>
      <c r="BF23" s="8">
        <f>ROUND(BB23*'Premissas'!$B$31,2)</f>
        <v>0.0</v>
      </c>
      <c r="BG23" s="8">
        <f>ROUND(G23*'Ofertas'!$H$8,2)</f>
        <v>0.0</v>
      </c>
      <c r="BH23" s="8">
        <f>ROUND(BB23-BD23-BE23-BF23-BG23,2)</f>
        <v>0.0</v>
      </c>
      <c r="BI23" s="10">
        <f>U23+AC23+AK23+AS23+BA23</f>
        <v>284.0</v>
      </c>
      <c r="BJ23" s="11">
        <f>BI23/'Premissas'!$B$30</f>
        <v>1.775</v>
      </c>
      <c r="BK23" s="8">
        <f>IF(A23&lt;=12,'Premissas'!$B$24,'Premissas'!$B$25)</f>
        <v>42000</v>
      </c>
      <c r="BL23" s="8">
        <f>ROUND(J23+V23+AD23+AL23+AT23+BB23,2)</f>
        <v>546000.0</v>
      </c>
      <c r="BM23" s="8">
        <f>ROUND(L23+V23+AD23+AL23+AT23+BB23,2)</f>
        <v>511200.0</v>
      </c>
      <c r="BN23" s="8">
        <f>ROUND(T23+AB23+AJ23+AR23+AZ23+BH23,2)</f>
        <v>150434.2</v>
      </c>
      <c r="BO23" s="8">
        <f>ROUND(O23+W23+AE23+AM23+AU23+BC23,2)</f>
        <v>457780.2</v>
      </c>
      <c r="BP23" s="8">
        <f>ROUND(P23+Q23+R23+S23+X23+Y23+Z23+BK23+AF23+AG23+AH23+AI23+AN23+AO23+AP23+AQ23+AV23+AW23+AX23+AY23+BD23+BE23+BF23+BG23,2)</f>
        <v>349346.0</v>
      </c>
      <c r="BQ23" s="8">
        <f>ROUND(BO23-BP23,2)</f>
        <v>108434.2</v>
      </c>
      <c r="BR23" s="8">
        <f>ROUND(BR22+BQ23,2)</f>
        <v>282934.35</v>
      </c>
      <c r="BS23" s="8">
        <f>ROUND(BN23-BK23,2)</f>
        <v>108434.2</v>
      </c>
      <c r="BT23" s="8">
        <f>ROUND(BT22+N23-O23+V23-W23+AL23-AM23,2)</f>
        <v>385780.2</v>
      </c>
      <c r="BU23" s="10">
        <f>IF(BR23&gt;=0,A23,999)</f>
        <v>19</v>
      </c>
      <c r="BV23" s="8">
        <f>ROUND(BR23+200000,2)</f>
        <v>482934.35</v>
      </c>
    </row>
    <row r="24" spans="1:74">
      <c r="A24" s="10">
        <v>20</v>
      </c>
      <c r="B24" s="10">
        <f>'Base'!B24</f>
        <v>3000</v>
      </c>
      <c r="C24" s="10">
        <f>'Base'!C24</f>
        <v>2</v>
      </c>
      <c r="D24" s="10">
        <f>ROUNDDOWN('Base'!D24*'Premissas'!$B$29,0)</f>
        <v>5</v>
      </c>
      <c r="E24" s="10">
        <f>ROUNDDOWN('Base'!E24*'Premissas'!$B$29,0)</f>
        <v>1</v>
      </c>
      <c r="F24" s="10">
        <f>ROUNDDOWN('Base'!F24*'Premissas'!$B$29,0)</f>
        <v>3</v>
      </c>
      <c r="G24" s="10">
        <f>MAX(0,F24-F23)</f>
        <v>0</v>
      </c>
      <c r="H24" s="10">
        <f>ROUNDUP(B24/'Premissas'!$B$14,0)</f>
        <v>150000</v>
      </c>
      <c r="I24" s="8">
        <f>ROUND(B24*'Premissas'!$B$5,2)</f>
        <v>87000.0</v>
      </c>
      <c r="J24" s="8">
        <f>ROUND(I24*'Premissas'!$B$6,2)</f>
        <v>435000.0</v>
      </c>
      <c r="K24" s="8">
        <f>ROUND(J24*'Premissas'!$B$7,2)</f>
        <v>34800.0</v>
      </c>
      <c r="L24" s="8">
        <f>ROUND(J24-K24,2)</f>
        <v>400200.0</v>
      </c>
      <c r="M24" s="8">
        <f>ROUND(L24*'Premissas'!$B$8+B24*(1-'Premissas'!$B$7)*'Premissas'!$B$9*'Premissas'!$B$6,2)</f>
        <v>53419.8</v>
      </c>
      <c r="N24" s="8">
        <f>ROUND(L24-M24,2)</f>
        <v>346780.2</v>
      </c>
      <c r="O24" s="8">
        <f>IF(A24&gt;'Premissas'!$B$20,INDEX($N$5:$N$28,MAX(1,A24-'Premissas'!$B$20)),0)</f>
        <v>346780.2</v>
      </c>
      <c r="P24" s="8">
        <f>ROUND(L24*'Premissas'!$B$10,2)</f>
        <v>60030.0</v>
      </c>
      <c r="Q24" s="8">
        <f>ROUND(L24*'Premissas'!$B$11,2)</f>
        <v>12006.0</v>
      </c>
      <c r="R24" s="8">
        <f>ROUND(B24*'Premissas'!$B$12*'Premissas'!$B$6,2)</f>
        <v>150000.0</v>
      </c>
      <c r="S24" s="8">
        <f>ROUND(B24*'Premissas'!$B$13*'Premissas'!$B$6,2)</f>
        <v>15000.0</v>
      </c>
      <c r="T24" s="8">
        <f>ROUND(L24-M24-P24-Q24-R24-S24,2)</f>
        <v>109744.2</v>
      </c>
      <c r="U24" s="10">
        <f>C24*'Premissas'!$B$16</f>
        <v>160</v>
      </c>
      <c r="V24" s="8">
        <f>ROUND(C24*'Premissas'!$B$15,2)</f>
        <v>60000.0</v>
      </c>
      <c r="W24" s="8">
        <f>ROUND(V24*'Premissas'!$B$19+V23*(1-'Premissas'!$B$19),2)</f>
        <v>60000.0</v>
      </c>
      <c r="X24" s="8">
        <f>ROUND(U24*'Premissas'!$B$17,2)</f>
        <v>28800.0</v>
      </c>
      <c r="Y24" s="8">
        <f>ROUND(V24*'Premissas'!$B$10,2)</f>
        <v>9000.0</v>
      </c>
      <c r="Z24" s="8">
        <f>ROUND(W24*'Premissas'!$B$18,2)</f>
        <v>3000.0</v>
      </c>
      <c r="AA24" s="8">
        <f>ROUND(V24*'Premissas'!$B$18,2)</f>
        <v>3000.0</v>
      </c>
      <c r="AB24" s="8">
        <f>ROUND(V24-X24-Y24-AA24,2)</f>
        <v>19200.0</v>
      </c>
      <c r="AC24" s="10">
        <f>D24*'Ofertas'!$C$5</f>
        <v>60.0</v>
      </c>
      <c r="AD24" s="8">
        <f>ROUND(D24*'Ofertas'!$B$5,2)</f>
        <v>22500.0</v>
      </c>
      <c r="AE24" s="8">
        <f>AD24</f>
        <v>22500.0</v>
      </c>
      <c r="AF24" s="8">
        <f>ROUND(AC24*'Ofertas'!$D$5,2)</f>
        <v>7200.0</v>
      </c>
      <c r="AG24" s="8">
        <f>ROUND(AD24*'Premissas'!$B$10,2)</f>
        <v>3375.0</v>
      </c>
      <c r="AH24" s="8">
        <f>ROUND(AD24*'Premissas'!$B$31,2)</f>
        <v>1125.0</v>
      </c>
      <c r="AI24" s="8">
        <f>ROUND(D24*'Ofertas'!$H$5,2)</f>
        <v>800.0</v>
      </c>
      <c r="AJ24" s="8">
        <f>ROUND(AD24-AF24-AG24-AH24-AI24,2)</f>
        <v>10000.0</v>
      </c>
      <c r="AK24" s="10">
        <f>E24*'Ofertas'!$C$6</f>
        <v>40.0</v>
      </c>
      <c r="AL24" s="8">
        <f>ROUND(E24*'Ofertas'!$B$6,2)</f>
        <v>18000.0</v>
      </c>
      <c r="AM24" s="8">
        <f>ROUND(AL24*'Premissas'!$B$32+AL23*(1-'Premissas'!$B$32),2)</f>
        <v>18000.0</v>
      </c>
      <c r="AN24" s="8">
        <f>ROUND(AK24*'Ofertas'!$D$6,2)</f>
        <v>7200.0</v>
      </c>
      <c r="AO24" s="8">
        <f>ROUND(AL24*'Premissas'!$B$10,2)</f>
        <v>2700.0</v>
      </c>
      <c r="AP24" s="8">
        <f>ROUND(AL24*'Premissas'!$B$31,2)</f>
        <v>900.0</v>
      </c>
      <c r="AQ24" s="8">
        <f>ROUND(E24*'Ofertas'!$H$6,2)</f>
        <v>600.0</v>
      </c>
      <c r="AR24" s="8">
        <f>ROUND(AL24-AN24-AO24-AP24-AQ24,2)</f>
        <v>6600.0</v>
      </c>
      <c r="AS24" s="10">
        <f>F24*'Ofertas'!$C$7</f>
        <v>24.0</v>
      </c>
      <c r="AT24" s="8">
        <f>ROUND(F24*'Ofertas'!$B$7,2)</f>
        <v>10500.0</v>
      </c>
      <c r="AU24" s="8">
        <f>AT24</f>
        <v>10500.0</v>
      </c>
      <c r="AV24" s="8">
        <f>ROUND(AS24*'Ofertas'!$D$7,2)</f>
        <v>2880.0</v>
      </c>
      <c r="AW24" s="8">
        <f>ROUND(AT24*'Premissas'!$B$10,2)</f>
        <v>1575.0</v>
      </c>
      <c r="AX24" s="8">
        <f>ROUND(AT24*'Premissas'!$B$31,2)</f>
        <v>525.0</v>
      </c>
      <c r="AY24" s="8">
        <f>ROUND(F24*'Ofertas'!$H$7,2)</f>
        <v>630.0</v>
      </c>
      <c r="AZ24" s="8">
        <f>ROUND(AT24-AV24-AW24-AX24-AY24,2)</f>
        <v>4890.0</v>
      </c>
      <c r="BA24" s="10">
        <f>G24*'Ofertas'!$C$8</f>
        <v>0.0</v>
      </c>
      <c r="BB24" s="8">
        <f>ROUND(G24*'Ofertas'!$B$8,2)</f>
        <v>0.0</v>
      </c>
      <c r="BC24" s="8">
        <f>BB24</f>
        <v>0.0</v>
      </c>
      <c r="BD24" s="8">
        <f>ROUND(BA24*'Ofertas'!$D$8,2)</f>
        <v>0.0</v>
      </c>
      <c r="BE24" s="8">
        <f>ROUND(BB24*'Premissas'!$B$10,2)</f>
        <v>0.0</v>
      </c>
      <c r="BF24" s="8">
        <f>ROUND(BB24*'Premissas'!$B$31,2)</f>
        <v>0.0</v>
      </c>
      <c r="BG24" s="8">
        <f>ROUND(G24*'Ofertas'!$H$8,2)</f>
        <v>0.0</v>
      </c>
      <c r="BH24" s="8">
        <f>ROUND(BB24-BD24-BE24-BF24-BG24,2)</f>
        <v>0.0</v>
      </c>
      <c r="BI24" s="10">
        <f>U24+AC24+AK24+AS24+BA24</f>
        <v>284.0</v>
      </c>
      <c r="BJ24" s="11">
        <f>BI24/'Premissas'!$B$30</f>
        <v>1.775</v>
      </c>
      <c r="BK24" s="8">
        <f>IF(A24&lt;=12,'Premissas'!$B$24,'Premissas'!$B$25)</f>
        <v>42000</v>
      </c>
      <c r="BL24" s="8">
        <f>ROUND(J24+V24+AD24+AL24+AT24+BB24,2)</f>
        <v>546000.0</v>
      </c>
      <c r="BM24" s="8">
        <f>ROUND(L24+V24+AD24+AL24+AT24+BB24,2)</f>
        <v>511200.0</v>
      </c>
      <c r="BN24" s="8">
        <f>ROUND(T24+AB24+AJ24+AR24+AZ24+BH24,2)</f>
        <v>150434.2</v>
      </c>
      <c r="BO24" s="8">
        <f>ROUND(O24+W24+AE24+AM24+AU24+BC24,2)</f>
        <v>457780.2</v>
      </c>
      <c r="BP24" s="8">
        <f>ROUND(P24+Q24+R24+S24+X24+Y24+Z24+BK24+AF24+AG24+AH24+AI24+AN24+AO24+AP24+AQ24+AV24+AW24+AX24+AY24+BD24+BE24+BF24+BG24,2)</f>
        <v>349346.0</v>
      </c>
      <c r="BQ24" s="8">
        <f>ROUND(BO24-BP24,2)</f>
        <v>108434.2</v>
      </c>
      <c r="BR24" s="8">
        <f>ROUND(BR23+BQ24,2)</f>
        <v>391368.55</v>
      </c>
      <c r="BS24" s="8">
        <f>ROUND(BN24-BK24,2)</f>
        <v>108434.2</v>
      </c>
      <c r="BT24" s="8">
        <f>ROUND(BT23+N24-O24+V24-W24+AL24-AM24,2)</f>
        <v>385780.2</v>
      </c>
      <c r="BU24" s="10">
        <f>IF(BR24&gt;=0,A24,999)</f>
        <v>20</v>
      </c>
      <c r="BV24" s="8">
        <f>ROUND(BR24+200000,2)</f>
        <v>591368.55</v>
      </c>
    </row>
    <row r="25" spans="1:74">
      <c r="A25" s="10">
        <v>21</v>
      </c>
      <c r="B25" s="10">
        <f>'Base'!B25</f>
        <v>3000</v>
      </c>
      <c r="C25" s="10">
        <f>'Base'!C25</f>
        <v>2</v>
      </c>
      <c r="D25" s="10">
        <f>ROUNDDOWN('Base'!D25*'Premissas'!$B$29,0)</f>
        <v>5</v>
      </c>
      <c r="E25" s="10">
        <f>ROUNDDOWN('Base'!E25*'Premissas'!$B$29,0)</f>
        <v>1</v>
      </c>
      <c r="F25" s="10">
        <f>ROUNDDOWN('Base'!F25*'Premissas'!$B$29,0)</f>
        <v>3</v>
      </c>
      <c r="G25" s="10">
        <f>MAX(0,F25-F24)</f>
        <v>0</v>
      </c>
      <c r="H25" s="10">
        <f>ROUNDUP(B25/'Premissas'!$B$14,0)</f>
        <v>150000</v>
      </c>
      <c r="I25" s="8">
        <f>ROUND(B25*'Premissas'!$B$5,2)</f>
        <v>87000.0</v>
      </c>
      <c r="J25" s="8">
        <f>ROUND(I25*'Premissas'!$B$6,2)</f>
        <v>435000.0</v>
      </c>
      <c r="K25" s="8">
        <f>ROUND(J25*'Premissas'!$B$7,2)</f>
        <v>34800.0</v>
      </c>
      <c r="L25" s="8">
        <f>ROUND(J25-K25,2)</f>
        <v>400200.0</v>
      </c>
      <c r="M25" s="8">
        <f>ROUND(L25*'Premissas'!$B$8+B25*(1-'Premissas'!$B$7)*'Premissas'!$B$9*'Premissas'!$B$6,2)</f>
        <v>53419.8</v>
      </c>
      <c r="N25" s="8">
        <f>ROUND(L25-M25,2)</f>
        <v>346780.2</v>
      </c>
      <c r="O25" s="8">
        <f>IF(A25&gt;'Premissas'!$B$20,INDEX($N$5:$N$28,MAX(1,A25-'Premissas'!$B$20)),0)</f>
        <v>346780.2</v>
      </c>
      <c r="P25" s="8">
        <f>ROUND(L25*'Premissas'!$B$10,2)</f>
        <v>60030.0</v>
      </c>
      <c r="Q25" s="8">
        <f>ROUND(L25*'Premissas'!$B$11,2)</f>
        <v>12006.0</v>
      </c>
      <c r="R25" s="8">
        <f>ROUND(B25*'Premissas'!$B$12*'Premissas'!$B$6,2)</f>
        <v>150000.0</v>
      </c>
      <c r="S25" s="8">
        <f>ROUND(B25*'Premissas'!$B$13*'Premissas'!$B$6,2)</f>
        <v>15000.0</v>
      </c>
      <c r="T25" s="8">
        <f>ROUND(L25-M25-P25-Q25-R25-S25,2)</f>
        <v>109744.2</v>
      </c>
      <c r="U25" s="10">
        <f>C25*'Premissas'!$B$16</f>
        <v>160</v>
      </c>
      <c r="V25" s="8">
        <f>ROUND(C25*'Premissas'!$B$15,2)</f>
        <v>60000.0</v>
      </c>
      <c r="W25" s="8">
        <f>ROUND(V25*'Premissas'!$B$19+V24*(1-'Premissas'!$B$19),2)</f>
        <v>60000.0</v>
      </c>
      <c r="X25" s="8">
        <f>ROUND(U25*'Premissas'!$B$17,2)</f>
        <v>28800.0</v>
      </c>
      <c r="Y25" s="8">
        <f>ROUND(V25*'Premissas'!$B$10,2)</f>
        <v>9000.0</v>
      </c>
      <c r="Z25" s="8">
        <f>ROUND(W25*'Premissas'!$B$18,2)</f>
        <v>3000.0</v>
      </c>
      <c r="AA25" s="8">
        <f>ROUND(V25*'Premissas'!$B$18,2)</f>
        <v>3000.0</v>
      </c>
      <c r="AB25" s="8">
        <f>ROUND(V25-X25-Y25-AA25,2)</f>
        <v>19200.0</v>
      </c>
      <c r="AC25" s="10">
        <f>D25*'Ofertas'!$C$5</f>
        <v>60.0</v>
      </c>
      <c r="AD25" s="8">
        <f>ROUND(D25*'Ofertas'!$B$5,2)</f>
        <v>22500.0</v>
      </c>
      <c r="AE25" s="8">
        <f>AD25</f>
        <v>22500.0</v>
      </c>
      <c r="AF25" s="8">
        <f>ROUND(AC25*'Ofertas'!$D$5,2)</f>
        <v>7200.0</v>
      </c>
      <c r="AG25" s="8">
        <f>ROUND(AD25*'Premissas'!$B$10,2)</f>
        <v>3375.0</v>
      </c>
      <c r="AH25" s="8">
        <f>ROUND(AD25*'Premissas'!$B$31,2)</f>
        <v>1125.0</v>
      </c>
      <c r="AI25" s="8">
        <f>ROUND(D25*'Ofertas'!$H$5,2)</f>
        <v>800.0</v>
      </c>
      <c r="AJ25" s="8">
        <f>ROUND(AD25-AF25-AG25-AH25-AI25,2)</f>
        <v>10000.0</v>
      </c>
      <c r="AK25" s="10">
        <f>E25*'Ofertas'!$C$6</f>
        <v>40.0</v>
      </c>
      <c r="AL25" s="8">
        <f>ROUND(E25*'Ofertas'!$B$6,2)</f>
        <v>18000.0</v>
      </c>
      <c r="AM25" s="8">
        <f>ROUND(AL25*'Premissas'!$B$32+AL24*(1-'Premissas'!$B$32),2)</f>
        <v>18000.0</v>
      </c>
      <c r="AN25" s="8">
        <f>ROUND(AK25*'Ofertas'!$D$6,2)</f>
        <v>7200.0</v>
      </c>
      <c r="AO25" s="8">
        <f>ROUND(AL25*'Premissas'!$B$10,2)</f>
        <v>2700.0</v>
      </c>
      <c r="AP25" s="8">
        <f>ROUND(AL25*'Premissas'!$B$31,2)</f>
        <v>900.0</v>
      </c>
      <c r="AQ25" s="8">
        <f>ROUND(E25*'Ofertas'!$H$6,2)</f>
        <v>600.0</v>
      </c>
      <c r="AR25" s="8">
        <f>ROUND(AL25-AN25-AO25-AP25-AQ25,2)</f>
        <v>6600.0</v>
      </c>
      <c r="AS25" s="10">
        <f>F25*'Ofertas'!$C$7</f>
        <v>24.0</v>
      </c>
      <c r="AT25" s="8">
        <f>ROUND(F25*'Ofertas'!$B$7,2)</f>
        <v>10500.0</v>
      </c>
      <c r="AU25" s="8">
        <f>AT25</f>
        <v>10500.0</v>
      </c>
      <c r="AV25" s="8">
        <f>ROUND(AS25*'Ofertas'!$D$7,2)</f>
        <v>2880.0</v>
      </c>
      <c r="AW25" s="8">
        <f>ROUND(AT25*'Premissas'!$B$10,2)</f>
        <v>1575.0</v>
      </c>
      <c r="AX25" s="8">
        <f>ROUND(AT25*'Premissas'!$B$31,2)</f>
        <v>525.0</v>
      </c>
      <c r="AY25" s="8">
        <f>ROUND(F25*'Ofertas'!$H$7,2)</f>
        <v>630.0</v>
      </c>
      <c r="AZ25" s="8">
        <f>ROUND(AT25-AV25-AW25-AX25-AY25,2)</f>
        <v>4890.0</v>
      </c>
      <c r="BA25" s="10">
        <f>G25*'Ofertas'!$C$8</f>
        <v>0.0</v>
      </c>
      <c r="BB25" s="8">
        <f>ROUND(G25*'Ofertas'!$B$8,2)</f>
        <v>0.0</v>
      </c>
      <c r="BC25" s="8">
        <f>BB25</f>
        <v>0.0</v>
      </c>
      <c r="BD25" s="8">
        <f>ROUND(BA25*'Ofertas'!$D$8,2)</f>
        <v>0.0</v>
      </c>
      <c r="BE25" s="8">
        <f>ROUND(BB25*'Premissas'!$B$10,2)</f>
        <v>0.0</v>
      </c>
      <c r="BF25" s="8">
        <f>ROUND(BB25*'Premissas'!$B$31,2)</f>
        <v>0.0</v>
      </c>
      <c r="BG25" s="8">
        <f>ROUND(G25*'Ofertas'!$H$8,2)</f>
        <v>0.0</v>
      </c>
      <c r="BH25" s="8">
        <f>ROUND(BB25-BD25-BE25-BF25-BG25,2)</f>
        <v>0.0</v>
      </c>
      <c r="BI25" s="10">
        <f>U25+AC25+AK25+AS25+BA25</f>
        <v>284.0</v>
      </c>
      <c r="BJ25" s="11">
        <f>BI25/'Premissas'!$B$30</f>
        <v>1.775</v>
      </c>
      <c r="BK25" s="8">
        <f>IF(A25&lt;=12,'Premissas'!$B$24,'Premissas'!$B$25)</f>
        <v>42000</v>
      </c>
      <c r="BL25" s="8">
        <f>ROUND(J25+V25+AD25+AL25+AT25+BB25,2)</f>
        <v>546000.0</v>
      </c>
      <c r="BM25" s="8">
        <f>ROUND(L25+V25+AD25+AL25+AT25+BB25,2)</f>
        <v>511200.0</v>
      </c>
      <c r="BN25" s="8">
        <f>ROUND(T25+AB25+AJ25+AR25+AZ25+BH25,2)</f>
        <v>150434.2</v>
      </c>
      <c r="BO25" s="8">
        <f>ROUND(O25+W25+AE25+AM25+AU25+BC25,2)</f>
        <v>457780.2</v>
      </c>
      <c r="BP25" s="8">
        <f>ROUND(P25+Q25+R25+S25+X25+Y25+Z25+BK25+AF25+AG25+AH25+AI25+AN25+AO25+AP25+AQ25+AV25+AW25+AX25+AY25+BD25+BE25+BF25+BG25,2)</f>
        <v>349346.0</v>
      </c>
      <c r="BQ25" s="8">
        <f>ROUND(BO25-BP25,2)</f>
        <v>108434.2</v>
      </c>
      <c r="BR25" s="8">
        <f>ROUND(BR24+BQ25,2)</f>
        <v>499802.75</v>
      </c>
      <c r="BS25" s="8">
        <f>ROUND(BN25-BK25,2)</f>
        <v>108434.2</v>
      </c>
      <c r="BT25" s="8">
        <f>ROUND(BT24+N25-O25+V25-W25+AL25-AM25,2)</f>
        <v>385780.2</v>
      </c>
      <c r="BU25" s="10">
        <f>IF(BR25&gt;=0,A25,999)</f>
        <v>21</v>
      </c>
      <c r="BV25" s="8">
        <f>ROUND(BR25+200000,2)</f>
        <v>699802.75</v>
      </c>
    </row>
    <row r="26" spans="1:74">
      <c r="A26" s="10">
        <v>22</v>
      </c>
      <c r="B26" s="10">
        <f>'Base'!B26</f>
        <v>3000</v>
      </c>
      <c r="C26" s="10">
        <f>'Base'!C26</f>
        <v>2</v>
      </c>
      <c r="D26" s="10">
        <f>ROUNDDOWN('Base'!D26*'Premissas'!$B$29,0)</f>
        <v>5</v>
      </c>
      <c r="E26" s="10">
        <f>ROUNDDOWN('Base'!E26*'Premissas'!$B$29,0)</f>
        <v>1</v>
      </c>
      <c r="F26" s="10">
        <f>ROUNDDOWN('Base'!F26*'Premissas'!$B$29,0)</f>
        <v>3</v>
      </c>
      <c r="G26" s="10">
        <f>MAX(0,F26-F25)</f>
        <v>0</v>
      </c>
      <c r="H26" s="10">
        <f>ROUNDUP(B26/'Premissas'!$B$14,0)</f>
        <v>150000</v>
      </c>
      <c r="I26" s="8">
        <f>ROUND(B26*'Premissas'!$B$5,2)</f>
        <v>87000.0</v>
      </c>
      <c r="J26" s="8">
        <f>ROUND(I26*'Premissas'!$B$6,2)</f>
        <v>435000.0</v>
      </c>
      <c r="K26" s="8">
        <f>ROUND(J26*'Premissas'!$B$7,2)</f>
        <v>34800.0</v>
      </c>
      <c r="L26" s="8">
        <f>ROUND(J26-K26,2)</f>
        <v>400200.0</v>
      </c>
      <c r="M26" s="8">
        <f>ROUND(L26*'Premissas'!$B$8+B26*(1-'Premissas'!$B$7)*'Premissas'!$B$9*'Premissas'!$B$6,2)</f>
        <v>53419.8</v>
      </c>
      <c r="N26" s="8">
        <f>ROUND(L26-M26,2)</f>
        <v>346780.2</v>
      </c>
      <c r="O26" s="8">
        <f>IF(A26&gt;'Premissas'!$B$20,INDEX($N$5:$N$28,MAX(1,A26-'Premissas'!$B$20)),0)</f>
        <v>346780.2</v>
      </c>
      <c r="P26" s="8">
        <f>ROUND(L26*'Premissas'!$B$10,2)</f>
        <v>60030.0</v>
      </c>
      <c r="Q26" s="8">
        <f>ROUND(L26*'Premissas'!$B$11,2)</f>
        <v>12006.0</v>
      </c>
      <c r="R26" s="8">
        <f>ROUND(B26*'Premissas'!$B$12*'Premissas'!$B$6,2)</f>
        <v>150000.0</v>
      </c>
      <c r="S26" s="8">
        <f>ROUND(B26*'Premissas'!$B$13*'Premissas'!$B$6,2)</f>
        <v>15000.0</v>
      </c>
      <c r="T26" s="8">
        <f>ROUND(L26-M26-P26-Q26-R26-S26,2)</f>
        <v>109744.2</v>
      </c>
      <c r="U26" s="10">
        <f>C26*'Premissas'!$B$16</f>
        <v>160</v>
      </c>
      <c r="V26" s="8">
        <f>ROUND(C26*'Premissas'!$B$15,2)</f>
        <v>60000.0</v>
      </c>
      <c r="W26" s="8">
        <f>ROUND(V26*'Premissas'!$B$19+V25*(1-'Premissas'!$B$19),2)</f>
        <v>60000.0</v>
      </c>
      <c r="X26" s="8">
        <f>ROUND(U26*'Premissas'!$B$17,2)</f>
        <v>28800.0</v>
      </c>
      <c r="Y26" s="8">
        <f>ROUND(V26*'Premissas'!$B$10,2)</f>
        <v>9000.0</v>
      </c>
      <c r="Z26" s="8">
        <f>ROUND(W26*'Premissas'!$B$18,2)</f>
        <v>3000.0</v>
      </c>
      <c r="AA26" s="8">
        <f>ROUND(V26*'Premissas'!$B$18,2)</f>
        <v>3000.0</v>
      </c>
      <c r="AB26" s="8">
        <f>ROUND(V26-X26-Y26-AA26,2)</f>
        <v>19200.0</v>
      </c>
      <c r="AC26" s="10">
        <f>D26*'Ofertas'!$C$5</f>
        <v>60.0</v>
      </c>
      <c r="AD26" s="8">
        <f>ROUND(D26*'Ofertas'!$B$5,2)</f>
        <v>22500.0</v>
      </c>
      <c r="AE26" s="8">
        <f>AD26</f>
        <v>22500.0</v>
      </c>
      <c r="AF26" s="8">
        <f>ROUND(AC26*'Ofertas'!$D$5,2)</f>
        <v>7200.0</v>
      </c>
      <c r="AG26" s="8">
        <f>ROUND(AD26*'Premissas'!$B$10,2)</f>
        <v>3375.0</v>
      </c>
      <c r="AH26" s="8">
        <f>ROUND(AD26*'Premissas'!$B$31,2)</f>
        <v>1125.0</v>
      </c>
      <c r="AI26" s="8">
        <f>ROUND(D26*'Ofertas'!$H$5,2)</f>
        <v>800.0</v>
      </c>
      <c r="AJ26" s="8">
        <f>ROUND(AD26-AF26-AG26-AH26-AI26,2)</f>
        <v>10000.0</v>
      </c>
      <c r="AK26" s="10">
        <f>E26*'Ofertas'!$C$6</f>
        <v>40.0</v>
      </c>
      <c r="AL26" s="8">
        <f>ROUND(E26*'Ofertas'!$B$6,2)</f>
        <v>18000.0</v>
      </c>
      <c r="AM26" s="8">
        <f>ROUND(AL26*'Premissas'!$B$32+AL25*(1-'Premissas'!$B$32),2)</f>
        <v>18000.0</v>
      </c>
      <c r="AN26" s="8">
        <f>ROUND(AK26*'Ofertas'!$D$6,2)</f>
        <v>7200.0</v>
      </c>
      <c r="AO26" s="8">
        <f>ROUND(AL26*'Premissas'!$B$10,2)</f>
        <v>2700.0</v>
      </c>
      <c r="AP26" s="8">
        <f>ROUND(AL26*'Premissas'!$B$31,2)</f>
        <v>900.0</v>
      </c>
      <c r="AQ26" s="8">
        <f>ROUND(E26*'Ofertas'!$H$6,2)</f>
        <v>600.0</v>
      </c>
      <c r="AR26" s="8">
        <f>ROUND(AL26-AN26-AO26-AP26-AQ26,2)</f>
        <v>6600.0</v>
      </c>
      <c r="AS26" s="10">
        <f>F26*'Ofertas'!$C$7</f>
        <v>24.0</v>
      </c>
      <c r="AT26" s="8">
        <f>ROUND(F26*'Ofertas'!$B$7,2)</f>
        <v>10500.0</v>
      </c>
      <c r="AU26" s="8">
        <f>AT26</f>
        <v>10500.0</v>
      </c>
      <c r="AV26" s="8">
        <f>ROUND(AS26*'Ofertas'!$D$7,2)</f>
        <v>2880.0</v>
      </c>
      <c r="AW26" s="8">
        <f>ROUND(AT26*'Premissas'!$B$10,2)</f>
        <v>1575.0</v>
      </c>
      <c r="AX26" s="8">
        <f>ROUND(AT26*'Premissas'!$B$31,2)</f>
        <v>525.0</v>
      </c>
      <c r="AY26" s="8">
        <f>ROUND(F26*'Ofertas'!$H$7,2)</f>
        <v>630.0</v>
      </c>
      <c r="AZ26" s="8">
        <f>ROUND(AT26-AV26-AW26-AX26-AY26,2)</f>
        <v>4890.0</v>
      </c>
      <c r="BA26" s="10">
        <f>G26*'Ofertas'!$C$8</f>
        <v>0.0</v>
      </c>
      <c r="BB26" s="8">
        <f>ROUND(G26*'Ofertas'!$B$8,2)</f>
        <v>0.0</v>
      </c>
      <c r="BC26" s="8">
        <f>BB26</f>
        <v>0.0</v>
      </c>
      <c r="BD26" s="8">
        <f>ROUND(BA26*'Ofertas'!$D$8,2)</f>
        <v>0.0</v>
      </c>
      <c r="BE26" s="8">
        <f>ROUND(BB26*'Premissas'!$B$10,2)</f>
        <v>0.0</v>
      </c>
      <c r="BF26" s="8">
        <f>ROUND(BB26*'Premissas'!$B$31,2)</f>
        <v>0.0</v>
      </c>
      <c r="BG26" s="8">
        <f>ROUND(G26*'Ofertas'!$H$8,2)</f>
        <v>0.0</v>
      </c>
      <c r="BH26" s="8">
        <f>ROUND(BB26-BD26-BE26-BF26-BG26,2)</f>
        <v>0.0</v>
      </c>
      <c r="BI26" s="10">
        <f>U26+AC26+AK26+AS26+BA26</f>
        <v>284.0</v>
      </c>
      <c r="BJ26" s="11">
        <f>BI26/'Premissas'!$B$30</f>
        <v>1.775</v>
      </c>
      <c r="BK26" s="8">
        <f>IF(A26&lt;=12,'Premissas'!$B$24,'Premissas'!$B$25)</f>
        <v>42000</v>
      </c>
      <c r="BL26" s="8">
        <f>ROUND(J26+V26+AD26+AL26+AT26+BB26,2)</f>
        <v>546000.0</v>
      </c>
      <c r="BM26" s="8">
        <f>ROUND(L26+V26+AD26+AL26+AT26+BB26,2)</f>
        <v>511200.0</v>
      </c>
      <c r="BN26" s="8">
        <f>ROUND(T26+AB26+AJ26+AR26+AZ26+BH26,2)</f>
        <v>150434.2</v>
      </c>
      <c r="BO26" s="8">
        <f>ROUND(O26+W26+AE26+AM26+AU26+BC26,2)</f>
        <v>457780.2</v>
      </c>
      <c r="BP26" s="8">
        <f>ROUND(P26+Q26+R26+S26+X26+Y26+Z26+BK26+AF26+AG26+AH26+AI26+AN26+AO26+AP26+AQ26+AV26+AW26+AX26+AY26+BD26+BE26+BF26+BG26,2)</f>
        <v>349346.0</v>
      </c>
      <c r="BQ26" s="8">
        <f>ROUND(BO26-BP26,2)</f>
        <v>108434.2</v>
      </c>
      <c r="BR26" s="8">
        <f>ROUND(BR25+BQ26,2)</f>
        <v>608236.95</v>
      </c>
      <c r="BS26" s="8">
        <f>ROUND(BN26-BK26,2)</f>
        <v>108434.2</v>
      </c>
      <c r="BT26" s="8">
        <f>ROUND(BT25+N26-O26+V26-W26+AL26-AM26,2)</f>
        <v>385780.2</v>
      </c>
      <c r="BU26" s="10">
        <f>IF(BR26&gt;=0,A26,999)</f>
        <v>22</v>
      </c>
      <c r="BV26" s="8">
        <f>ROUND(BR26+200000,2)</f>
        <v>808236.95</v>
      </c>
    </row>
    <row r="27" spans="1:74">
      <c r="A27" s="10">
        <v>23</v>
      </c>
      <c r="B27" s="10">
        <f>'Base'!B27</f>
        <v>3000</v>
      </c>
      <c r="C27" s="10">
        <f>'Base'!C27</f>
        <v>2</v>
      </c>
      <c r="D27" s="10">
        <f>ROUNDDOWN('Base'!D27*'Premissas'!$B$29,0)</f>
        <v>5</v>
      </c>
      <c r="E27" s="10">
        <f>ROUNDDOWN('Base'!E27*'Premissas'!$B$29,0)</f>
        <v>1</v>
      </c>
      <c r="F27" s="10">
        <f>ROUNDDOWN('Base'!F27*'Premissas'!$B$29,0)</f>
        <v>3</v>
      </c>
      <c r="G27" s="10">
        <f>MAX(0,F27-F26)</f>
        <v>0</v>
      </c>
      <c r="H27" s="10">
        <f>ROUNDUP(B27/'Premissas'!$B$14,0)</f>
        <v>150000</v>
      </c>
      <c r="I27" s="8">
        <f>ROUND(B27*'Premissas'!$B$5,2)</f>
        <v>87000.0</v>
      </c>
      <c r="J27" s="8">
        <f>ROUND(I27*'Premissas'!$B$6,2)</f>
        <v>435000.0</v>
      </c>
      <c r="K27" s="8">
        <f>ROUND(J27*'Premissas'!$B$7,2)</f>
        <v>34800.0</v>
      </c>
      <c r="L27" s="8">
        <f>ROUND(J27-K27,2)</f>
        <v>400200.0</v>
      </c>
      <c r="M27" s="8">
        <f>ROUND(L27*'Premissas'!$B$8+B27*(1-'Premissas'!$B$7)*'Premissas'!$B$9*'Premissas'!$B$6,2)</f>
        <v>53419.8</v>
      </c>
      <c r="N27" s="8">
        <f>ROUND(L27-M27,2)</f>
        <v>346780.2</v>
      </c>
      <c r="O27" s="8">
        <f>IF(A27&gt;'Premissas'!$B$20,INDEX($N$5:$N$28,MAX(1,A27-'Premissas'!$B$20)),0)</f>
        <v>346780.2</v>
      </c>
      <c r="P27" s="8">
        <f>ROUND(L27*'Premissas'!$B$10,2)</f>
        <v>60030.0</v>
      </c>
      <c r="Q27" s="8">
        <f>ROUND(L27*'Premissas'!$B$11,2)</f>
        <v>12006.0</v>
      </c>
      <c r="R27" s="8">
        <f>ROUND(B27*'Premissas'!$B$12*'Premissas'!$B$6,2)</f>
        <v>150000.0</v>
      </c>
      <c r="S27" s="8">
        <f>ROUND(B27*'Premissas'!$B$13*'Premissas'!$B$6,2)</f>
        <v>15000.0</v>
      </c>
      <c r="T27" s="8">
        <f>ROUND(L27-M27-P27-Q27-R27-S27,2)</f>
        <v>109744.2</v>
      </c>
      <c r="U27" s="10">
        <f>C27*'Premissas'!$B$16</f>
        <v>160</v>
      </c>
      <c r="V27" s="8">
        <f>ROUND(C27*'Premissas'!$B$15,2)</f>
        <v>60000.0</v>
      </c>
      <c r="W27" s="8">
        <f>ROUND(V27*'Premissas'!$B$19+V26*(1-'Premissas'!$B$19),2)</f>
        <v>60000.0</v>
      </c>
      <c r="X27" s="8">
        <f>ROUND(U27*'Premissas'!$B$17,2)</f>
        <v>28800.0</v>
      </c>
      <c r="Y27" s="8">
        <f>ROUND(V27*'Premissas'!$B$10,2)</f>
        <v>9000.0</v>
      </c>
      <c r="Z27" s="8">
        <f>ROUND(W27*'Premissas'!$B$18,2)</f>
        <v>3000.0</v>
      </c>
      <c r="AA27" s="8">
        <f>ROUND(V27*'Premissas'!$B$18,2)</f>
        <v>3000.0</v>
      </c>
      <c r="AB27" s="8">
        <f>ROUND(V27-X27-Y27-AA27,2)</f>
        <v>19200.0</v>
      </c>
      <c r="AC27" s="10">
        <f>D27*'Ofertas'!$C$5</f>
        <v>60.0</v>
      </c>
      <c r="AD27" s="8">
        <f>ROUND(D27*'Ofertas'!$B$5,2)</f>
        <v>22500.0</v>
      </c>
      <c r="AE27" s="8">
        <f>AD27</f>
        <v>22500.0</v>
      </c>
      <c r="AF27" s="8">
        <f>ROUND(AC27*'Ofertas'!$D$5,2)</f>
        <v>7200.0</v>
      </c>
      <c r="AG27" s="8">
        <f>ROUND(AD27*'Premissas'!$B$10,2)</f>
        <v>3375.0</v>
      </c>
      <c r="AH27" s="8">
        <f>ROUND(AD27*'Premissas'!$B$31,2)</f>
        <v>1125.0</v>
      </c>
      <c r="AI27" s="8">
        <f>ROUND(D27*'Ofertas'!$H$5,2)</f>
        <v>800.0</v>
      </c>
      <c r="AJ27" s="8">
        <f>ROUND(AD27-AF27-AG27-AH27-AI27,2)</f>
        <v>10000.0</v>
      </c>
      <c r="AK27" s="10">
        <f>E27*'Ofertas'!$C$6</f>
        <v>40.0</v>
      </c>
      <c r="AL27" s="8">
        <f>ROUND(E27*'Ofertas'!$B$6,2)</f>
        <v>18000.0</v>
      </c>
      <c r="AM27" s="8">
        <f>ROUND(AL27*'Premissas'!$B$32+AL26*(1-'Premissas'!$B$32),2)</f>
        <v>18000.0</v>
      </c>
      <c r="AN27" s="8">
        <f>ROUND(AK27*'Ofertas'!$D$6,2)</f>
        <v>7200.0</v>
      </c>
      <c r="AO27" s="8">
        <f>ROUND(AL27*'Premissas'!$B$10,2)</f>
        <v>2700.0</v>
      </c>
      <c r="AP27" s="8">
        <f>ROUND(AL27*'Premissas'!$B$31,2)</f>
        <v>900.0</v>
      </c>
      <c r="AQ27" s="8">
        <f>ROUND(E27*'Ofertas'!$H$6,2)</f>
        <v>600.0</v>
      </c>
      <c r="AR27" s="8">
        <f>ROUND(AL27-AN27-AO27-AP27-AQ27,2)</f>
        <v>6600.0</v>
      </c>
      <c r="AS27" s="10">
        <f>F27*'Ofertas'!$C$7</f>
        <v>24.0</v>
      </c>
      <c r="AT27" s="8">
        <f>ROUND(F27*'Ofertas'!$B$7,2)</f>
        <v>10500.0</v>
      </c>
      <c r="AU27" s="8">
        <f>AT27</f>
        <v>10500.0</v>
      </c>
      <c r="AV27" s="8">
        <f>ROUND(AS27*'Ofertas'!$D$7,2)</f>
        <v>2880.0</v>
      </c>
      <c r="AW27" s="8">
        <f>ROUND(AT27*'Premissas'!$B$10,2)</f>
        <v>1575.0</v>
      </c>
      <c r="AX27" s="8">
        <f>ROUND(AT27*'Premissas'!$B$31,2)</f>
        <v>525.0</v>
      </c>
      <c r="AY27" s="8">
        <f>ROUND(F27*'Ofertas'!$H$7,2)</f>
        <v>630.0</v>
      </c>
      <c r="AZ27" s="8">
        <f>ROUND(AT27-AV27-AW27-AX27-AY27,2)</f>
        <v>4890.0</v>
      </c>
      <c r="BA27" s="10">
        <f>G27*'Ofertas'!$C$8</f>
        <v>0.0</v>
      </c>
      <c r="BB27" s="8">
        <f>ROUND(G27*'Ofertas'!$B$8,2)</f>
        <v>0.0</v>
      </c>
      <c r="BC27" s="8">
        <f>BB27</f>
        <v>0.0</v>
      </c>
      <c r="BD27" s="8">
        <f>ROUND(BA27*'Ofertas'!$D$8,2)</f>
        <v>0.0</v>
      </c>
      <c r="BE27" s="8">
        <f>ROUND(BB27*'Premissas'!$B$10,2)</f>
        <v>0.0</v>
      </c>
      <c r="BF27" s="8">
        <f>ROUND(BB27*'Premissas'!$B$31,2)</f>
        <v>0.0</v>
      </c>
      <c r="BG27" s="8">
        <f>ROUND(G27*'Ofertas'!$H$8,2)</f>
        <v>0.0</v>
      </c>
      <c r="BH27" s="8">
        <f>ROUND(BB27-BD27-BE27-BF27-BG27,2)</f>
        <v>0.0</v>
      </c>
      <c r="BI27" s="10">
        <f>U27+AC27+AK27+AS27+BA27</f>
        <v>284.0</v>
      </c>
      <c r="BJ27" s="11">
        <f>BI27/'Premissas'!$B$30</f>
        <v>1.775</v>
      </c>
      <c r="BK27" s="8">
        <f>IF(A27&lt;=12,'Premissas'!$B$24,'Premissas'!$B$25)</f>
        <v>42000</v>
      </c>
      <c r="BL27" s="8">
        <f>ROUND(J27+V27+AD27+AL27+AT27+BB27,2)</f>
        <v>546000.0</v>
      </c>
      <c r="BM27" s="8">
        <f>ROUND(L27+V27+AD27+AL27+AT27+BB27,2)</f>
        <v>511200.0</v>
      </c>
      <c r="BN27" s="8">
        <f>ROUND(T27+AB27+AJ27+AR27+AZ27+BH27,2)</f>
        <v>150434.2</v>
      </c>
      <c r="BO27" s="8">
        <f>ROUND(O27+W27+AE27+AM27+AU27+BC27,2)</f>
        <v>457780.2</v>
      </c>
      <c r="BP27" s="8">
        <f>ROUND(P27+Q27+R27+S27+X27+Y27+Z27+BK27+AF27+AG27+AH27+AI27+AN27+AO27+AP27+AQ27+AV27+AW27+AX27+AY27+BD27+BE27+BF27+BG27,2)</f>
        <v>349346.0</v>
      </c>
      <c r="BQ27" s="8">
        <f>ROUND(BO27-BP27,2)</f>
        <v>108434.2</v>
      </c>
      <c r="BR27" s="8">
        <f>ROUND(BR26+BQ27,2)</f>
        <v>716671.15</v>
      </c>
      <c r="BS27" s="8">
        <f>ROUND(BN27-BK27,2)</f>
        <v>108434.2</v>
      </c>
      <c r="BT27" s="8">
        <f>ROUND(BT26+N27-O27+V27-W27+AL27-AM27,2)</f>
        <v>385780.2</v>
      </c>
      <c r="BU27" s="10">
        <f>IF(BR27&gt;=0,A27,999)</f>
        <v>23</v>
      </c>
      <c r="BV27" s="8">
        <f>ROUND(BR27+200000,2)</f>
        <v>916671.15</v>
      </c>
    </row>
    <row r="28" spans="1:74">
      <c r="A28" s="10">
        <v>24</v>
      </c>
      <c r="B28" s="10">
        <f>'Base'!B28</f>
        <v>3000</v>
      </c>
      <c r="C28" s="10">
        <f>'Base'!C28</f>
        <v>2</v>
      </c>
      <c r="D28" s="10">
        <f>ROUNDDOWN('Base'!D28*'Premissas'!$B$29,0)</f>
        <v>5</v>
      </c>
      <c r="E28" s="10">
        <f>ROUNDDOWN('Base'!E28*'Premissas'!$B$29,0)</f>
        <v>1</v>
      </c>
      <c r="F28" s="10">
        <f>ROUNDDOWN('Base'!F28*'Premissas'!$B$29,0)</f>
        <v>3</v>
      </c>
      <c r="G28" s="10">
        <f>MAX(0,F28-F27)</f>
        <v>0</v>
      </c>
      <c r="H28" s="10">
        <f>ROUNDUP(B28/'Premissas'!$B$14,0)</f>
        <v>150000</v>
      </c>
      <c r="I28" s="8">
        <f>ROUND(B28*'Premissas'!$B$5,2)</f>
        <v>87000.0</v>
      </c>
      <c r="J28" s="8">
        <f>ROUND(I28*'Premissas'!$B$6,2)</f>
        <v>435000.0</v>
      </c>
      <c r="K28" s="8">
        <f>ROUND(J28*'Premissas'!$B$7,2)</f>
        <v>34800.0</v>
      </c>
      <c r="L28" s="8">
        <f>ROUND(J28-K28,2)</f>
        <v>400200.0</v>
      </c>
      <c r="M28" s="8">
        <f>ROUND(L28*'Premissas'!$B$8+B28*(1-'Premissas'!$B$7)*'Premissas'!$B$9*'Premissas'!$B$6,2)</f>
        <v>53419.8</v>
      </c>
      <c r="N28" s="8">
        <f>ROUND(L28-M28,2)</f>
        <v>346780.2</v>
      </c>
      <c r="O28" s="8">
        <f>IF(A28&gt;'Premissas'!$B$20,INDEX($N$5:$N$28,MAX(1,A28-'Premissas'!$B$20)),0)</f>
        <v>346780.2</v>
      </c>
      <c r="P28" s="8">
        <f>ROUND(L28*'Premissas'!$B$10,2)</f>
        <v>60030.0</v>
      </c>
      <c r="Q28" s="8">
        <f>ROUND(L28*'Premissas'!$B$11,2)</f>
        <v>12006.0</v>
      </c>
      <c r="R28" s="8">
        <f>ROUND(B28*'Premissas'!$B$12*'Premissas'!$B$6,2)</f>
        <v>150000.0</v>
      </c>
      <c r="S28" s="8">
        <f>ROUND(B28*'Premissas'!$B$13*'Premissas'!$B$6,2)</f>
        <v>15000.0</v>
      </c>
      <c r="T28" s="8">
        <f>ROUND(L28-M28-P28-Q28-R28-S28,2)</f>
        <v>109744.2</v>
      </c>
      <c r="U28" s="10">
        <f>C28*'Premissas'!$B$16</f>
        <v>160</v>
      </c>
      <c r="V28" s="8">
        <f>ROUND(C28*'Premissas'!$B$15,2)</f>
        <v>60000.0</v>
      </c>
      <c r="W28" s="8">
        <f>ROUND(V28*'Premissas'!$B$19+V27*(1-'Premissas'!$B$19),2)</f>
        <v>60000.0</v>
      </c>
      <c r="X28" s="8">
        <f>ROUND(U28*'Premissas'!$B$17,2)</f>
        <v>28800.0</v>
      </c>
      <c r="Y28" s="8">
        <f>ROUND(V28*'Premissas'!$B$10,2)</f>
        <v>9000.0</v>
      </c>
      <c r="Z28" s="8">
        <f>ROUND(W28*'Premissas'!$B$18,2)</f>
        <v>3000.0</v>
      </c>
      <c r="AA28" s="8">
        <f>ROUND(V28*'Premissas'!$B$18,2)</f>
        <v>3000.0</v>
      </c>
      <c r="AB28" s="8">
        <f>ROUND(V28-X28-Y28-AA28,2)</f>
        <v>19200.0</v>
      </c>
      <c r="AC28" s="10">
        <f>D28*'Ofertas'!$C$5</f>
        <v>60.0</v>
      </c>
      <c r="AD28" s="8">
        <f>ROUND(D28*'Ofertas'!$B$5,2)</f>
        <v>22500.0</v>
      </c>
      <c r="AE28" s="8">
        <f>AD28</f>
        <v>22500.0</v>
      </c>
      <c r="AF28" s="8">
        <f>ROUND(AC28*'Ofertas'!$D$5,2)</f>
        <v>7200.0</v>
      </c>
      <c r="AG28" s="8">
        <f>ROUND(AD28*'Premissas'!$B$10,2)</f>
        <v>3375.0</v>
      </c>
      <c r="AH28" s="8">
        <f>ROUND(AD28*'Premissas'!$B$31,2)</f>
        <v>1125.0</v>
      </c>
      <c r="AI28" s="8">
        <f>ROUND(D28*'Ofertas'!$H$5,2)</f>
        <v>800.0</v>
      </c>
      <c r="AJ28" s="8">
        <f>ROUND(AD28-AF28-AG28-AH28-AI28,2)</f>
        <v>10000.0</v>
      </c>
      <c r="AK28" s="10">
        <f>E28*'Ofertas'!$C$6</f>
        <v>40.0</v>
      </c>
      <c r="AL28" s="8">
        <f>ROUND(E28*'Ofertas'!$B$6,2)</f>
        <v>18000.0</v>
      </c>
      <c r="AM28" s="8">
        <f>ROUND(AL28*'Premissas'!$B$32+AL27*(1-'Premissas'!$B$32),2)</f>
        <v>18000.0</v>
      </c>
      <c r="AN28" s="8">
        <f>ROUND(AK28*'Ofertas'!$D$6,2)</f>
        <v>7200.0</v>
      </c>
      <c r="AO28" s="8">
        <f>ROUND(AL28*'Premissas'!$B$10,2)</f>
        <v>2700.0</v>
      </c>
      <c r="AP28" s="8">
        <f>ROUND(AL28*'Premissas'!$B$31,2)</f>
        <v>900.0</v>
      </c>
      <c r="AQ28" s="8">
        <f>ROUND(E28*'Ofertas'!$H$6,2)</f>
        <v>600.0</v>
      </c>
      <c r="AR28" s="8">
        <f>ROUND(AL28-AN28-AO28-AP28-AQ28,2)</f>
        <v>6600.0</v>
      </c>
      <c r="AS28" s="10">
        <f>F28*'Ofertas'!$C$7</f>
        <v>24.0</v>
      </c>
      <c r="AT28" s="8">
        <f>ROUND(F28*'Ofertas'!$B$7,2)</f>
        <v>10500.0</v>
      </c>
      <c r="AU28" s="8">
        <f>AT28</f>
        <v>10500.0</v>
      </c>
      <c r="AV28" s="8">
        <f>ROUND(AS28*'Ofertas'!$D$7,2)</f>
        <v>2880.0</v>
      </c>
      <c r="AW28" s="8">
        <f>ROUND(AT28*'Premissas'!$B$10,2)</f>
        <v>1575.0</v>
      </c>
      <c r="AX28" s="8">
        <f>ROUND(AT28*'Premissas'!$B$31,2)</f>
        <v>525.0</v>
      </c>
      <c r="AY28" s="8">
        <f>ROUND(F28*'Ofertas'!$H$7,2)</f>
        <v>630.0</v>
      </c>
      <c r="AZ28" s="8">
        <f>ROUND(AT28-AV28-AW28-AX28-AY28,2)</f>
        <v>4890.0</v>
      </c>
      <c r="BA28" s="10">
        <f>G28*'Ofertas'!$C$8</f>
        <v>0.0</v>
      </c>
      <c r="BB28" s="8">
        <f>ROUND(G28*'Ofertas'!$B$8,2)</f>
        <v>0.0</v>
      </c>
      <c r="BC28" s="8">
        <f>BB28</f>
        <v>0.0</v>
      </c>
      <c r="BD28" s="8">
        <f>ROUND(BA28*'Ofertas'!$D$8,2)</f>
        <v>0.0</v>
      </c>
      <c r="BE28" s="8">
        <f>ROUND(BB28*'Premissas'!$B$10,2)</f>
        <v>0.0</v>
      </c>
      <c r="BF28" s="8">
        <f>ROUND(BB28*'Premissas'!$B$31,2)</f>
        <v>0.0</v>
      </c>
      <c r="BG28" s="8">
        <f>ROUND(G28*'Ofertas'!$H$8,2)</f>
        <v>0.0</v>
      </c>
      <c r="BH28" s="8">
        <f>ROUND(BB28-BD28-BE28-BF28-BG28,2)</f>
        <v>0.0</v>
      </c>
      <c r="BI28" s="10">
        <f>U28+AC28+AK28+AS28+BA28</f>
        <v>284.0</v>
      </c>
      <c r="BJ28" s="11">
        <f>BI28/'Premissas'!$B$30</f>
        <v>1.775</v>
      </c>
      <c r="BK28" s="8">
        <f>IF(A28&lt;=12,'Premissas'!$B$24,'Premissas'!$B$25)</f>
        <v>42000</v>
      </c>
      <c r="BL28" s="8">
        <f>ROUND(J28+V28+AD28+AL28+AT28+BB28,2)</f>
        <v>546000.0</v>
      </c>
      <c r="BM28" s="8">
        <f>ROUND(L28+V28+AD28+AL28+AT28+BB28,2)</f>
        <v>511200.0</v>
      </c>
      <c r="BN28" s="8">
        <f>ROUND(T28+AB28+AJ28+AR28+AZ28+BH28,2)</f>
        <v>150434.2</v>
      </c>
      <c r="BO28" s="8">
        <f>ROUND(O28+W28+AE28+AM28+AU28+BC28,2)</f>
        <v>457780.2</v>
      </c>
      <c r="BP28" s="8">
        <f>ROUND(P28+Q28+R28+S28+X28+Y28+Z28+BK28+AF28+AG28+AH28+AI28+AN28+AO28+AP28+AQ28+AV28+AW28+AX28+AY28+BD28+BE28+BF28+BG28,2)</f>
        <v>349346.0</v>
      </c>
      <c r="BQ28" s="8">
        <f>ROUND(BO28-BP28,2)</f>
        <v>108434.2</v>
      </c>
      <c r="BR28" s="8">
        <f>ROUND(BR27+BQ28,2)</f>
        <v>825105.35</v>
      </c>
      <c r="BS28" s="8">
        <f>ROUND(BN28-BK28,2)</f>
        <v>108434.2</v>
      </c>
      <c r="BT28" s="8">
        <f>ROUND(BT27+N28-O28+V28-W28+AL28-AM28,2)</f>
        <v>385780.2</v>
      </c>
      <c r="BU28" s="10">
        <f>IF(BR28&gt;=0,A28,999)</f>
        <v>24</v>
      </c>
      <c r="BV28" s="8">
        <f>ROUND(BR28+200000,2)</f>
        <v>1025105.35</v>
      </c>
    </row>
  </sheetData>
  <autoFilter ref="A4:BV28"/>
  <mergeCells count="2">
    <mergeCell ref="A1:BV1"/>
    <mergeCell ref="A2:BV2"/>
  </mergeCells>
  <conditionalFormatting sqref="BR5:BR28">
    <cfRule type="cellIs" dxfId="0" priority="1" operator="lessThan">
      <formula>0</formula>
    </cfRule>
  </conditionalFormatting>
  <pageMargins left="0.7" right="0.7" top="0.75" bottom="0.75" header="0.3" footer="0.3"/>
  <pageSetup scale="75" orientation="landscape"/>
  <headerFooter>
    <oddFooter>&amp;LAUMI | Hipóteses, não promessa&amp;R&amp;P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Q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7" width="19.7109375" customWidth="1"/>
  </cols>
  <sheetData>
    <row r="1" spans="1:17" ht="36" customHeight="1">
      <c r="A1" s="1" t="s">
        <v>220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4" spans="1:17" ht="54" customHeight="1">
      <c r="A4" s="3" t="s">
        <v>221</v>
      </c>
      <c r="B4" s="3" t="s">
        <v>222</v>
      </c>
      <c r="C4" s="3" t="s">
        <v>223</v>
      </c>
      <c r="D4" s="3" t="s">
        <v>224</v>
      </c>
      <c r="E4" s="3" t="s">
        <v>225</v>
      </c>
      <c r="F4" s="3" t="s">
        <v>226</v>
      </c>
      <c r="G4" s="3" t="s">
        <v>227</v>
      </c>
      <c r="H4" s="3" t="s">
        <v>228</v>
      </c>
      <c r="I4" s="3" t="s">
        <v>229</v>
      </c>
      <c r="J4" s="3" t="s">
        <v>230</v>
      </c>
      <c r="K4" s="3" t="s">
        <v>231</v>
      </c>
      <c r="L4" s="3" t="s">
        <v>232</v>
      </c>
      <c r="M4" s="3" t="s">
        <v>233</v>
      </c>
      <c r="N4" s="3" t="s">
        <v>234</v>
      </c>
      <c r="O4" s="3" t="s">
        <v>235</v>
      </c>
      <c r="P4" s="3" t="s">
        <v>236</v>
      </c>
      <c r="Q4" s="3" t="s">
        <v>237</v>
      </c>
    </row>
    <row r="5" spans="1:17" ht="42" customHeight="1">
      <c r="A5" t="s">
        <v>238</v>
      </c>
      <c r="B5" s="8">
        <f>'Premissas'!$B$23</f>
        <v>100000</v>
      </c>
      <c r="C5" s="8">
        <f>MAX('Premissas'!$B$23,-MIN('Conservador'!BR5:BR28))</f>
        <v>577608.49</v>
      </c>
      <c r="D5" s="8">
        <f>'Premissas'!$B$25*'Premissas'!$B$26</f>
        <v>126000.0</v>
      </c>
      <c r="E5" s="8">
        <f>ROUNDUP((C5+D5)/'Premissas'!$B$27,0)*'Premissas'!$B$27</f>
        <v>710000.0</v>
      </c>
      <c r="F5" s="10" t="str">
        <f>IF(MIN('Conservador'!BU5:BU28)=999,"Não em24m",MIN('Conservador'!BU5:BU28))</f>
        <v>Não em24m</v>
      </c>
      <c r="G5" s="8">
        <f>'Conservador'!BR28</f>
        <v>-577608.49</v>
      </c>
      <c r="H5" s="8">
        <f>SUM('Conservador'!BL5:BL16)</f>
        <v>512550.0</v>
      </c>
      <c r="I5" s="8">
        <f>SUM('Conservador'!BL17:BL28)</f>
        <v>1425750.0</v>
      </c>
      <c r="J5" s="8">
        <f>'Conservador'!BL28</f>
        <v>142750.0</v>
      </c>
      <c r="K5" s="8">
        <f>'Conservador'!BN28</f>
        <v>41296.05</v>
      </c>
      <c r="L5" s="10">
        <f>'Conservador'!BI28</f>
        <v>80.0</v>
      </c>
      <c r="M5" s="11">
        <f>'Conservador'!BJ28</f>
        <v>0.5</v>
      </c>
      <c r="N5" s="8">
        <f>'Conservador'!BS28</f>
        <v>-703.95</v>
      </c>
      <c r="O5" s="8">
        <f>'Conservador'!BO28</f>
        <v>105915.38</v>
      </c>
      <c r="P5" s="8">
        <f>'Conservador'!BT28</f>
        <v>95695.05</v>
      </c>
      <c r="Q5" s="4" t="s">
        <v>239</v>
      </c>
    </row>
    <row r="6" spans="1:17" ht="42" customHeight="1">
      <c r="A6" t="s">
        <v>240</v>
      </c>
      <c r="B6" s="8">
        <f>'Premissas'!$B$23</f>
        <v>100000</v>
      </c>
      <c r="C6" s="8">
        <f>MAX('Premissas'!$B$23,-MIN('Base'!BR5:BR28))</f>
        <v>299487.6</v>
      </c>
      <c r="D6" s="8">
        <f>'Premissas'!$B$25*'Premissas'!$B$26</f>
        <v>126000.0</v>
      </c>
      <c r="E6" s="8">
        <f>ROUNDUP((C6+D6)/'Premissas'!$B$27,0)*'Premissas'!$B$27</f>
        <v>430000.0</v>
      </c>
      <c r="F6" s="10">
        <f>IF(MIN('Base'!BU5:BU28)=999,"Não em24m",MIN('Base'!BU5:BU28))</f>
        <v>14</v>
      </c>
      <c r="G6" s="8">
        <f>'Base'!BR28</f>
        <v>1293635.35</v>
      </c>
      <c r="H6" s="8">
        <f>SUM('Base'!BL5:BL16)</f>
        <v>2221750.0</v>
      </c>
      <c r="I6" s="8">
        <f>SUM('Base'!BL17:BL28)</f>
        <v>7102000.0</v>
      </c>
      <c r="J6" s="8">
        <f>'Base'!BL28</f>
        <v>615000.0</v>
      </c>
      <c r="K6" s="8">
        <f>'Base'!BN28</f>
        <v>178524.2</v>
      </c>
      <c r="L6" s="10">
        <f>'Base'!BI28</f>
        <v>448.0</v>
      </c>
      <c r="M6" s="11">
        <f>'Base'!BJ28</f>
        <v>2.8</v>
      </c>
      <c r="N6" s="8">
        <f>'Base'!BS28</f>
        <v>136524.2</v>
      </c>
      <c r="O6" s="8">
        <f>'Base'!BO28</f>
        <v>526780.2</v>
      </c>
      <c r="P6" s="8">
        <f>'Base'!BT28</f>
        <v>403780.2</v>
      </c>
      <c r="Q6" s="4" t="s">
        <v>239</v>
      </c>
    </row>
    <row r="7" spans="1:17" ht="42" customHeight="1">
      <c r="A7" t="s">
        <v>241</v>
      </c>
      <c r="B7" s="8">
        <f>'Premissas'!$B$23</f>
        <v>100000</v>
      </c>
      <c r="C7" s="8">
        <f>MAX('Premissas'!$B$23,-MIN('Escala24'!BR5:BR28))</f>
        <v>282550.6</v>
      </c>
      <c r="D7" s="8">
        <f>'Premissas'!$B$25*'Premissas'!$B$26</f>
        <v>126000.0</v>
      </c>
      <c r="E7" s="8">
        <f>ROUNDUP((C7+D7)/'Premissas'!$B$27,0)*'Premissas'!$B$27</f>
        <v>410000.0</v>
      </c>
      <c r="F7" s="10">
        <f>IF(MIN('Escala24'!BU5:BU28)=999,"Não em24m",MIN('Escala24'!BU5:BU28))</f>
        <v>11</v>
      </c>
      <c r="G7" s="8">
        <f>'Escala24'!BR28</f>
        <v>3137971.98</v>
      </c>
      <c r="H7" s="8">
        <f>SUM('Escala24'!BL5:BL16)</f>
        <v>4620000.0</v>
      </c>
      <c r="I7" s="8">
        <f>SUM('Escala24'!BL17:BL28)</f>
        <v>12114000.0</v>
      </c>
      <c r="J7" s="8">
        <f>'Escala24'!BL28</f>
        <v>1007500.0</v>
      </c>
      <c r="K7" s="8">
        <f>'Escala24'!BN28</f>
        <v>291007.0</v>
      </c>
      <c r="L7" s="10">
        <f>'Escala24'!BI28</f>
        <v>700.0</v>
      </c>
      <c r="M7" s="11">
        <f>'Escala24'!BJ28</f>
        <v>4.375</v>
      </c>
      <c r="N7" s="8">
        <f>'Escala24'!BS28</f>
        <v>249007.0</v>
      </c>
      <c r="O7" s="8">
        <f>'Escala24'!BO28</f>
        <v>860467.0</v>
      </c>
      <c r="P7" s="8">
        <f>'Escala24'!BT28</f>
        <v>667967.0</v>
      </c>
      <c r="Q7" s="4" t="s">
        <v>239</v>
      </c>
    </row>
    <row r="8" spans="1:17" ht="42" customHeight="1">
      <c r="A8" t="s">
        <v>242</v>
      </c>
      <c r="B8" s="8">
        <f>'Premissas'!$B$23</f>
        <v>100000</v>
      </c>
      <c r="C8" s="8">
        <f>MAX('Premissas'!$B$23,-MIN('CAC15'!BR5:BR28))</f>
        <v>368483.3</v>
      </c>
      <c r="D8" s="8">
        <f>'Premissas'!$B$25*'Premissas'!$B$26</f>
        <v>126000.0</v>
      </c>
      <c r="E8" s="8">
        <f>ROUNDUP((C8+D8)/'Premissas'!$B$27,0)*'Premissas'!$B$27</f>
        <v>500000.0</v>
      </c>
      <c r="F8" s="10">
        <f>IF(MIN('CAC15'!BU5:BU28)=999,"Não em24m",MIN('CAC15'!BU5:BU28))</f>
        <v>21</v>
      </c>
      <c r="G8" s="8">
        <f>'CAC15'!BR28</f>
        <v>212385.35</v>
      </c>
      <c r="H8" s="8">
        <f>SUM('CAC15'!BL5:BL16)</f>
        <v>2221750.0</v>
      </c>
      <c r="I8" s="8">
        <f>SUM('CAC15'!BL17:BL28)</f>
        <v>7102000.0</v>
      </c>
      <c r="J8" s="8">
        <f>'CAC15'!BL28</f>
        <v>615000.0</v>
      </c>
      <c r="K8" s="8">
        <f>'CAC15'!BN28</f>
        <v>103524.2</v>
      </c>
      <c r="L8" s="10">
        <f>'CAC15'!BI28</f>
        <v>448.0</v>
      </c>
      <c r="M8" s="11">
        <f>'CAC15'!BJ28</f>
        <v>2.8</v>
      </c>
      <c r="N8" s="8">
        <f>'CAC15'!BS28</f>
        <v>61524.2</v>
      </c>
      <c r="O8" s="8">
        <f>'CAC15'!BO28</f>
        <v>526780.2</v>
      </c>
      <c r="P8" s="8">
        <f>'CAC15'!BT28</f>
        <v>403780.2</v>
      </c>
      <c r="Q8" s="4" t="s">
        <v>239</v>
      </c>
    </row>
    <row r="9" spans="1:17" ht="42" customHeight="1">
      <c r="A9" t="s">
        <v>243</v>
      </c>
      <c r="B9" s="8">
        <f>'Premissas'!$B$23</f>
        <v>100000</v>
      </c>
      <c r="C9" s="8">
        <f>MAX('Premissas'!$B$23,-MIN('Novas50'!BR5:BR28))</f>
        <v>357124.55</v>
      </c>
      <c r="D9" s="8">
        <f>'Premissas'!$B$25*'Premissas'!$B$26</f>
        <v>126000.0</v>
      </c>
      <c r="E9" s="8">
        <f>ROUNDUP((C9+D9)/'Premissas'!$B$27,0)*'Premissas'!$B$27</f>
        <v>490000.0</v>
      </c>
      <c r="F9" s="10">
        <f>IF(MIN('Novas50'!BU5:BU28)=999,"Não em24m",MIN('Novas50'!BU5:BU28))</f>
        <v>17</v>
      </c>
      <c r="G9" s="8">
        <f>'Novas50'!BR28</f>
        <v>825105.35</v>
      </c>
      <c r="H9" s="8">
        <f>SUM('Novas50'!BL5:BL16)</f>
        <v>1851250.0</v>
      </c>
      <c r="I9" s="8">
        <f>SUM('Novas50'!BL17:BL28)</f>
        <v>6268000.0</v>
      </c>
      <c r="J9" s="8">
        <f>'Novas50'!BL28</f>
        <v>546000.0</v>
      </c>
      <c r="K9" s="8">
        <f>'Novas50'!BN28</f>
        <v>150434.2</v>
      </c>
      <c r="L9" s="10">
        <f>'Novas50'!BI28</f>
        <v>284.0</v>
      </c>
      <c r="M9" s="11">
        <f>'Novas50'!BJ28</f>
        <v>1.775</v>
      </c>
      <c r="N9" s="8">
        <f>'Novas50'!BS28</f>
        <v>108434.2</v>
      </c>
      <c r="O9" s="8">
        <f>'Novas50'!BO28</f>
        <v>457780.2</v>
      </c>
      <c r="P9" s="8">
        <f>'Novas50'!BT28</f>
        <v>385780.2</v>
      </c>
      <c r="Q9" s="4" t="s">
        <v>239</v>
      </c>
    </row>
    <row r="12" spans="1:17" ht="45" customHeight="1">
      <c r="A12" s="2" t="s">
        <v>244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</sheetData>
  <mergeCells count="2">
    <mergeCell ref="A1:Q1"/>
    <mergeCell ref="A12:Q12"/>
  </mergeCell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8" width="19.7109375" customWidth="1"/>
  </cols>
  <sheetData>
    <row r="1" spans="1:8" ht="36" customHeight="1">
      <c r="A1" s="1" t="s">
        <v>245</v>
      </c>
      <c r="B1" s="1"/>
      <c r="C1" s="1"/>
      <c r="D1" s="1"/>
      <c r="E1" s="1"/>
      <c r="F1" s="1"/>
      <c r="G1" s="1"/>
      <c r="H1" s="1"/>
    </row>
    <row r="4" spans="1:8" ht="54" customHeight="1">
      <c r="A4" s="3" t="s">
        <v>221</v>
      </c>
      <c r="B4" s="3" t="s">
        <v>222</v>
      </c>
      <c r="C4" s="3" t="s">
        <v>223</v>
      </c>
      <c r="D4" s="3" t="s">
        <v>224</v>
      </c>
      <c r="E4" s="3" t="s">
        <v>246</v>
      </c>
      <c r="F4" s="3" t="s">
        <v>247</v>
      </c>
      <c r="G4" s="3" t="s">
        <v>248</v>
      </c>
      <c r="H4" s="3" t="s">
        <v>249</v>
      </c>
    </row>
    <row r="5" spans="1:8">
      <c r="A5" t="s">
        <v>238</v>
      </c>
      <c r="B5" s="8">
        <f>Resumo!B5</f>
        <v>100000</v>
      </c>
      <c r="C5" s="8">
        <f>Resumo!C5</f>
        <v>577608.49</v>
      </c>
      <c r="D5" s="8">
        <f>Resumo!D5</f>
        <v>126000.0</v>
      </c>
      <c r="E5" s="8">
        <f>Resumo!E5</f>
        <v>710000.0</v>
      </c>
      <c r="F5" s="8">
        <f>100000-C5</f>
        <v>-477608.49</v>
      </c>
      <c r="G5" s="8">
        <f>150000-C5</f>
        <v>-427608.49</v>
      </c>
      <c r="H5" s="8">
        <f>200000-C5</f>
        <v>-377608.49</v>
      </c>
    </row>
    <row r="6" spans="1:8">
      <c r="A6" t="s">
        <v>240</v>
      </c>
      <c r="B6" s="8">
        <f>Resumo!B6</f>
        <v>100000</v>
      </c>
      <c r="C6" s="8">
        <f>Resumo!C6</f>
        <v>299487.6</v>
      </c>
      <c r="D6" s="8">
        <f>Resumo!D6</f>
        <v>126000.0</v>
      </c>
      <c r="E6" s="8">
        <f>Resumo!E6</f>
        <v>430000.0</v>
      </c>
      <c r="F6" s="8">
        <f>100000-C6</f>
        <v>-199487.6</v>
      </c>
      <c r="G6" s="8">
        <f>150000-C6</f>
        <v>-149487.6</v>
      </c>
      <c r="H6" s="8">
        <f>200000-C6</f>
        <v>-99487.6</v>
      </c>
    </row>
    <row r="7" spans="1:8">
      <c r="A7" t="s">
        <v>241</v>
      </c>
      <c r="B7" s="8">
        <f>Resumo!B7</f>
        <v>100000</v>
      </c>
      <c r="C7" s="8">
        <f>Resumo!C7</f>
        <v>282550.6</v>
      </c>
      <c r="D7" s="8">
        <f>Resumo!D7</f>
        <v>126000.0</v>
      </c>
      <c r="E7" s="8">
        <f>Resumo!E7</f>
        <v>410000.0</v>
      </c>
      <c r="F7" s="8">
        <f>100000-C7</f>
        <v>-182550.6</v>
      </c>
      <c r="G7" s="8">
        <f>150000-C7</f>
        <v>-132550.6</v>
      </c>
      <c r="H7" s="8">
        <f>200000-C7</f>
        <v>-82550.6</v>
      </c>
    </row>
    <row r="8" spans="1:8">
      <c r="A8" t="s">
        <v>242</v>
      </c>
      <c r="B8" s="8">
        <f>Resumo!B8</f>
        <v>100000</v>
      </c>
      <c r="C8" s="8">
        <f>Resumo!C8</f>
        <v>368483.3</v>
      </c>
      <c r="D8" s="8">
        <f>Resumo!D8</f>
        <v>126000.0</v>
      </c>
      <c r="E8" s="8">
        <f>Resumo!E8</f>
        <v>500000.0</v>
      </c>
      <c r="F8" s="8">
        <f>100000-C8</f>
        <v>-268483.3</v>
      </c>
      <c r="G8" s="8">
        <f>150000-C8</f>
        <v>-218483.3</v>
      </c>
      <c r="H8" s="8">
        <f>200000-C8</f>
        <v>-168483.3</v>
      </c>
    </row>
    <row r="9" spans="1:8">
      <c r="A9" t="s">
        <v>243</v>
      </c>
      <c r="B9" s="8">
        <f>Resumo!B9</f>
        <v>100000</v>
      </c>
      <c r="C9" s="8">
        <f>Resumo!C9</f>
        <v>357124.55</v>
      </c>
      <c r="D9" s="8">
        <f>Resumo!D9</f>
        <v>126000.0</v>
      </c>
      <c r="E9" s="8">
        <f>Resumo!E9</f>
        <v>490000.0</v>
      </c>
      <c r="F9" s="8">
        <f>100000-C9</f>
        <v>-257124.55</v>
      </c>
      <c r="G9" s="8">
        <f>150000-C9</f>
        <v>-207124.55</v>
      </c>
      <c r="H9" s="8">
        <f>200000-C9</f>
        <v>-157124.55</v>
      </c>
    </row>
    <row r="12" spans="1:8" ht="54" customHeight="1">
      <c r="A12" s="2" t="s">
        <v>250</v>
      </c>
      <c r="B12" s="2"/>
      <c r="C12" s="2"/>
      <c r="D12" s="2"/>
      <c r="E12" s="2"/>
      <c r="F12" s="2"/>
      <c r="G12" s="2"/>
      <c r="H12" s="2"/>
    </row>
  </sheetData>
  <mergeCells count="2">
    <mergeCell ref="A1:H1"/>
    <mergeCell ref="A12:H12"/>
  </mergeCell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12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1" width="19.7109375" customWidth="1"/>
  </cols>
  <sheetData>
    <row r="1" spans="1:11" ht="36" customHeight="1">
      <c r="A1" s="1" t="s">
        <v>251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4" spans="1:11" ht="54" customHeight="1">
      <c r="A4" s="3" t="s">
        <v>221</v>
      </c>
      <c r="B4" s="3" t="s">
        <v>140</v>
      </c>
      <c r="C4" s="3" t="s">
        <v>160</v>
      </c>
      <c r="D4" s="3" t="s">
        <v>252</v>
      </c>
      <c r="E4" s="3" t="s">
        <v>253</v>
      </c>
      <c r="F4" s="3" t="s">
        <v>254</v>
      </c>
      <c r="G4" s="3" t="s">
        <v>255</v>
      </c>
      <c r="H4" s="3" t="s">
        <v>200</v>
      </c>
      <c r="I4" s="3" t="s">
        <v>233</v>
      </c>
      <c r="J4" s="3" t="s">
        <v>256</v>
      </c>
      <c r="K4" s="3" t="s">
        <v>257</v>
      </c>
    </row>
    <row r="5" spans="1:11">
      <c r="A5" t="s">
        <v>238</v>
      </c>
      <c r="B5" s="10">
        <f>'Conservador'!A5</f>
        <v>1</v>
      </c>
      <c r="C5" s="10">
        <f>'Conservador'!U5</f>
        <v>0</v>
      </c>
      <c r="D5" s="10">
        <f>'Conservador'!AC5</f>
        <v>0.0</v>
      </c>
      <c r="E5" s="10">
        <f>'Conservador'!AK5</f>
        <v>0.0</v>
      </c>
      <c r="F5" s="10">
        <f>'Conservador'!AS5</f>
        <v>0.0</v>
      </c>
      <c r="G5" s="10">
        <f>'Conservador'!BA5</f>
        <v>0.0</v>
      </c>
      <c r="H5" s="10">
        <f>'Conservador'!BI5</f>
        <v>0.0</v>
      </c>
      <c r="I5" s="11">
        <f>'Conservador'!BJ5</f>
        <v>0.0</v>
      </c>
      <c r="J5" s="8">
        <f>'Conservador'!X5+'Conservador'!AF5+'Conservador'!AN5+'Conservador'!AV5+'Conservador'!BD5</f>
        <v>0.0</v>
      </c>
      <c r="K5" s="4" t="s">
        <v>258</v>
      </c>
    </row>
    <row r="6" spans="1:11">
      <c r="A6" t="s">
        <v>238</v>
      </c>
      <c r="B6" s="10">
        <f>'Conservador'!A6</f>
        <v>2</v>
      </c>
      <c r="C6" s="10">
        <f>'Conservador'!U6</f>
        <v>0</v>
      </c>
      <c r="D6" s="10">
        <f>'Conservador'!AC6</f>
        <v>0.0</v>
      </c>
      <c r="E6" s="10">
        <f>'Conservador'!AK6</f>
        <v>0.0</v>
      </c>
      <c r="F6" s="10">
        <f>'Conservador'!AS6</f>
        <v>0.0</v>
      </c>
      <c r="G6" s="10">
        <f>'Conservador'!BA6</f>
        <v>0.0</v>
      </c>
      <c r="H6" s="10">
        <f>'Conservador'!BI6</f>
        <v>0.0</v>
      </c>
      <c r="I6" s="11">
        <f>'Conservador'!BJ6</f>
        <v>0.0</v>
      </c>
      <c r="J6" s="8">
        <f>'Conservador'!X6+'Conservador'!AF6+'Conservador'!AN6+'Conservador'!AV6+'Conservador'!BD6</f>
        <v>0.0</v>
      </c>
      <c r="K6" s="4" t="s">
        <v>258</v>
      </c>
    </row>
    <row r="7" spans="1:11">
      <c r="A7" t="s">
        <v>238</v>
      </c>
      <c r="B7" s="10">
        <f>'Conservador'!A7</f>
        <v>3</v>
      </c>
      <c r="C7" s="10">
        <f>'Conservador'!U7</f>
        <v>0</v>
      </c>
      <c r="D7" s="10">
        <f>'Conservador'!AC7</f>
        <v>0.0</v>
      </c>
      <c r="E7" s="10">
        <f>'Conservador'!AK7</f>
        <v>0.0</v>
      </c>
      <c r="F7" s="10">
        <f>'Conservador'!AS7</f>
        <v>0.0</v>
      </c>
      <c r="G7" s="10">
        <f>'Conservador'!BA7</f>
        <v>0.0</v>
      </c>
      <c r="H7" s="10">
        <f>'Conservador'!BI7</f>
        <v>0.0</v>
      </c>
      <c r="I7" s="11">
        <f>'Conservador'!BJ7</f>
        <v>0.0</v>
      </c>
      <c r="J7" s="8">
        <f>'Conservador'!X7+'Conservador'!AF7+'Conservador'!AN7+'Conservador'!AV7+'Conservador'!BD7</f>
        <v>0.0</v>
      </c>
      <c r="K7" s="4" t="s">
        <v>258</v>
      </c>
    </row>
    <row r="8" spans="1:11">
      <c r="A8" t="s">
        <v>238</v>
      </c>
      <c r="B8" s="10">
        <f>'Conservador'!A8</f>
        <v>4</v>
      </c>
      <c r="C8" s="10">
        <f>'Conservador'!U8</f>
        <v>0</v>
      </c>
      <c r="D8" s="10">
        <f>'Conservador'!AC8</f>
        <v>0.0</v>
      </c>
      <c r="E8" s="10">
        <f>'Conservador'!AK8</f>
        <v>0.0</v>
      </c>
      <c r="F8" s="10">
        <f>'Conservador'!AS8</f>
        <v>0.0</v>
      </c>
      <c r="G8" s="10">
        <f>'Conservador'!BA8</f>
        <v>0.0</v>
      </c>
      <c r="H8" s="10">
        <f>'Conservador'!BI8</f>
        <v>0.0</v>
      </c>
      <c r="I8" s="11">
        <f>'Conservador'!BJ8</f>
        <v>0.0</v>
      </c>
      <c r="J8" s="8">
        <f>'Conservador'!X8+'Conservador'!AF8+'Conservador'!AN8+'Conservador'!AV8+'Conservador'!BD8</f>
        <v>0.0</v>
      </c>
      <c r="K8" s="4" t="s">
        <v>258</v>
      </c>
    </row>
    <row r="9" spans="1:11">
      <c r="A9" t="s">
        <v>238</v>
      </c>
      <c r="B9" s="10">
        <f>'Conservador'!A9</f>
        <v>5</v>
      </c>
      <c r="C9" s="10">
        <f>'Conservador'!U9</f>
        <v>80</v>
      </c>
      <c r="D9" s="10">
        <f>'Conservador'!AC9</f>
        <v>12.0</v>
      </c>
      <c r="E9" s="10">
        <f>'Conservador'!AK9</f>
        <v>0.0</v>
      </c>
      <c r="F9" s="10">
        <f>'Conservador'!AS9</f>
        <v>0.0</v>
      </c>
      <c r="G9" s="10">
        <f>'Conservador'!BA9</f>
        <v>0.0</v>
      </c>
      <c r="H9" s="10">
        <f>'Conservador'!BI9</f>
        <v>92.0</v>
      </c>
      <c r="I9" s="11">
        <f>'Conservador'!BJ9</f>
        <v>0.575</v>
      </c>
      <c r="J9" s="8">
        <f>'Conservador'!X9+'Conservador'!AF9+'Conservador'!AN9+'Conservador'!AV9+'Conservador'!BD9</f>
        <v>15840.0</v>
      </c>
      <c r="K9" s="4" t="s">
        <v>258</v>
      </c>
    </row>
    <row r="10" spans="1:11">
      <c r="A10" t="s">
        <v>238</v>
      </c>
      <c r="B10" s="10">
        <f>'Conservador'!A10</f>
        <v>6</v>
      </c>
      <c r="C10" s="10">
        <f>'Conservador'!U10</f>
        <v>0</v>
      </c>
      <c r="D10" s="10">
        <f>'Conservador'!AC10</f>
        <v>12.0</v>
      </c>
      <c r="E10" s="10">
        <f>'Conservador'!AK10</f>
        <v>40.0</v>
      </c>
      <c r="F10" s="10">
        <f>'Conservador'!AS10</f>
        <v>0.0</v>
      </c>
      <c r="G10" s="10">
        <f>'Conservador'!BA10</f>
        <v>0.0</v>
      </c>
      <c r="H10" s="10">
        <f>'Conservador'!BI10</f>
        <v>52.0</v>
      </c>
      <c r="I10" s="11">
        <f>'Conservador'!BJ10</f>
        <v>0.325</v>
      </c>
      <c r="J10" s="8">
        <f>'Conservador'!X10+'Conservador'!AF10+'Conservador'!AN10+'Conservador'!AV10+'Conservador'!BD10</f>
        <v>8640.0</v>
      </c>
      <c r="K10" s="4" t="s">
        <v>258</v>
      </c>
    </row>
    <row r="11" spans="1:11">
      <c r="A11" t="s">
        <v>238</v>
      </c>
      <c r="B11" s="10">
        <f>'Conservador'!A11</f>
        <v>7</v>
      </c>
      <c r="C11" s="10">
        <f>'Conservador'!U11</f>
        <v>0</v>
      </c>
      <c r="D11" s="10">
        <f>'Conservador'!AC11</f>
        <v>12.0</v>
      </c>
      <c r="E11" s="10">
        <f>'Conservador'!AK11</f>
        <v>0.0</v>
      </c>
      <c r="F11" s="10">
        <f>'Conservador'!AS11</f>
        <v>8.0</v>
      </c>
      <c r="G11" s="10">
        <f>'Conservador'!BA11</f>
        <v>20.0</v>
      </c>
      <c r="H11" s="10">
        <f>'Conservador'!BI11</f>
        <v>40.0</v>
      </c>
      <c r="I11" s="11">
        <f>'Conservador'!BJ11</f>
        <v>0.25</v>
      </c>
      <c r="J11" s="8">
        <f>'Conservador'!X11+'Conservador'!AF11+'Conservador'!AN11+'Conservador'!AV11+'Conservador'!BD11</f>
        <v>6000.0</v>
      </c>
      <c r="K11" s="4" t="s">
        <v>258</v>
      </c>
    </row>
    <row r="12" spans="1:11">
      <c r="A12" t="s">
        <v>238</v>
      </c>
      <c r="B12" s="10">
        <f>'Conservador'!A12</f>
        <v>8</v>
      </c>
      <c r="C12" s="10">
        <f>'Conservador'!U12</f>
        <v>0</v>
      </c>
      <c r="D12" s="10">
        <f>'Conservador'!AC12</f>
        <v>12.0</v>
      </c>
      <c r="E12" s="10">
        <f>'Conservador'!AK12</f>
        <v>0.0</v>
      </c>
      <c r="F12" s="10">
        <f>'Conservador'!AS12</f>
        <v>8.0</v>
      </c>
      <c r="G12" s="10">
        <f>'Conservador'!BA12</f>
        <v>0.0</v>
      </c>
      <c r="H12" s="10">
        <f>'Conservador'!BI12</f>
        <v>20.0</v>
      </c>
      <c r="I12" s="11">
        <f>'Conservador'!BJ12</f>
        <v>0.125</v>
      </c>
      <c r="J12" s="8">
        <f>'Conservador'!X12+'Conservador'!AF12+'Conservador'!AN12+'Conservador'!AV12+'Conservador'!BD12</f>
        <v>2400.0</v>
      </c>
      <c r="K12" s="4" t="s">
        <v>258</v>
      </c>
    </row>
    <row r="13" spans="1:11">
      <c r="A13" t="s">
        <v>238</v>
      </c>
      <c r="B13" s="10">
        <f>'Conservador'!A13</f>
        <v>9</v>
      </c>
      <c r="C13" s="10">
        <f>'Conservador'!U13</f>
        <v>80</v>
      </c>
      <c r="D13" s="10">
        <f>'Conservador'!AC13</f>
        <v>24.0</v>
      </c>
      <c r="E13" s="10">
        <f>'Conservador'!AK13</f>
        <v>40.0</v>
      </c>
      <c r="F13" s="10">
        <f>'Conservador'!AS13</f>
        <v>8.0</v>
      </c>
      <c r="G13" s="10">
        <f>'Conservador'!BA13</f>
        <v>0.0</v>
      </c>
      <c r="H13" s="10">
        <f>'Conservador'!BI13</f>
        <v>152.0</v>
      </c>
      <c r="I13" s="11">
        <f>'Conservador'!BJ13</f>
        <v>0.95</v>
      </c>
      <c r="J13" s="8">
        <f>'Conservador'!X13+'Conservador'!AF13+'Conservador'!AN13+'Conservador'!AV13+'Conservador'!BD13</f>
        <v>25440.0</v>
      </c>
      <c r="K13" s="4" t="s">
        <v>258</v>
      </c>
    </row>
    <row r="14" spans="1:11">
      <c r="A14" t="s">
        <v>238</v>
      </c>
      <c r="B14" s="10">
        <f>'Conservador'!A14</f>
        <v>10</v>
      </c>
      <c r="C14" s="10">
        <f>'Conservador'!U14</f>
        <v>0</v>
      </c>
      <c r="D14" s="10">
        <f>'Conservador'!AC14</f>
        <v>24.0</v>
      </c>
      <c r="E14" s="10">
        <f>'Conservador'!AK14</f>
        <v>0.0</v>
      </c>
      <c r="F14" s="10">
        <f>'Conservador'!AS14</f>
        <v>8.0</v>
      </c>
      <c r="G14" s="10">
        <f>'Conservador'!BA14</f>
        <v>0.0</v>
      </c>
      <c r="H14" s="10">
        <f>'Conservador'!BI14</f>
        <v>32.0</v>
      </c>
      <c r="I14" s="11">
        <f>'Conservador'!BJ14</f>
        <v>0.2</v>
      </c>
      <c r="J14" s="8">
        <f>'Conservador'!X14+'Conservador'!AF14+'Conservador'!AN14+'Conservador'!AV14+'Conservador'!BD14</f>
        <v>3840.0</v>
      </c>
      <c r="K14" s="4" t="s">
        <v>258</v>
      </c>
    </row>
    <row r="15" spans="1:11">
      <c r="A15" t="s">
        <v>238</v>
      </c>
      <c r="B15" s="10">
        <f>'Conservador'!A15</f>
        <v>11</v>
      </c>
      <c r="C15" s="10">
        <f>'Conservador'!U15</f>
        <v>0</v>
      </c>
      <c r="D15" s="10">
        <f>'Conservador'!AC15</f>
        <v>24.0</v>
      </c>
      <c r="E15" s="10">
        <f>'Conservador'!AK15</f>
        <v>0.0</v>
      </c>
      <c r="F15" s="10">
        <f>'Conservador'!AS15</f>
        <v>8.0</v>
      </c>
      <c r="G15" s="10">
        <f>'Conservador'!BA15</f>
        <v>0.0</v>
      </c>
      <c r="H15" s="10">
        <f>'Conservador'!BI15</f>
        <v>32.0</v>
      </c>
      <c r="I15" s="11">
        <f>'Conservador'!BJ15</f>
        <v>0.2</v>
      </c>
      <c r="J15" s="8">
        <f>'Conservador'!X15+'Conservador'!AF15+'Conservador'!AN15+'Conservador'!AV15+'Conservador'!BD15</f>
        <v>3840.0</v>
      </c>
      <c r="K15" s="4" t="s">
        <v>258</v>
      </c>
    </row>
    <row r="16" spans="1:11">
      <c r="A16" t="s">
        <v>238</v>
      </c>
      <c r="B16" s="10">
        <f>'Conservador'!A16</f>
        <v>12</v>
      </c>
      <c r="C16" s="10">
        <f>'Conservador'!U16</f>
        <v>0</v>
      </c>
      <c r="D16" s="10">
        <f>'Conservador'!AC16</f>
        <v>24.0</v>
      </c>
      <c r="E16" s="10">
        <f>'Conservador'!AK16</f>
        <v>40.0</v>
      </c>
      <c r="F16" s="10">
        <f>'Conservador'!AS16</f>
        <v>8.0</v>
      </c>
      <c r="G16" s="10">
        <f>'Conservador'!BA16</f>
        <v>0.0</v>
      </c>
      <c r="H16" s="10">
        <f>'Conservador'!BI16</f>
        <v>72.0</v>
      </c>
      <c r="I16" s="11">
        <f>'Conservador'!BJ16</f>
        <v>0.45</v>
      </c>
      <c r="J16" s="8">
        <f>'Conservador'!X16+'Conservador'!AF16+'Conservador'!AN16+'Conservador'!AV16+'Conservador'!BD16</f>
        <v>11040.0</v>
      </c>
      <c r="K16" s="4" t="s">
        <v>258</v>
      </c>
    </row>
    <row r="17" spans="1:11">
      <c r="A17" t="s">
        <v>238</v>
      </c>
      <c r="B17" s="10">
        <f>'Conservador'!A17</f>
        <v>13</v>
      </c>
      <c r="C17" s="10">
        <f>'Conservador'!U17</f>
        <v>80</v>
      </c>
      <c r="D17" s="10">
        <f>'Conservador'!AC17</f>
        <v>24.0</v>
      </c>
      <c r="E17" s="10">
        <f>'Conservador'!AK17</f>
        <v>0.0</v>
      </c>
      <c r="F17" s="10">
        <f>'Conservador'!AS17</f>
        <v>16.0</v>
      </c>
      <c r="G17" s="10">
        <f>'Conservador'!BA17</f>
        <v>20.0</v>
      </c>
      <c r="H17" s="10">
        <f>'Conservador'!BI17</f>
        <v>140.0</v>
      </c>
      <c r="I17" s="11">
        <f>'Conservador'!BJ17</f>
        <v>0.875</v>
      </c>
      <c r="J17" s="8">
        <f>'Conservador'!X17+'Conservador'!AF17+'Conservador'!AN17+'Conservador'!AV17+'Conservador'!BD17</f>
        <v>22800.0</v>
      </c>
      <c r="K17" s="4" t="s">
        <v>258</v>
      </c>
    </row>
    <row r="18" spans="1:11">
      <c r="A18" t="s">
        <v>238</v>
      </c>
      <c r="B18" s="10">
        <f>'Conservador'!A18</f>
        <v>14</v>
      </c>
      <c r="C18" s="10">
        <f>'Conservador'!U18</f>
        <v>0</v>
      </c>
      <c r="D18" s="10">
        <f>'Conservador'!AC18</f>
        <v>24.0</v>
      </c>
      <c r="E18" s="10">
        <f>'Conservador'!AK18</f>
        <v>0.0</v>
      </c>
      <c r="F18" s="10">
        <f>'Conservador'!AS18</f>
        <v>16.0</v>
      </c>
      <c r="G18" s="10">
        <f>'Conservador'!BA18</f>
        <v>0.0</v>
      </c>
      <c r="H18" s="10">
        <f>'Conservador'!BI18</f>
        <v>40.0</v>
      </c>
      <c r="I18" s="11">
        <f>'Conservador'!BJ18</f>
        <v>0.25</v>
      </c>
      <c r="J18" s="8">
        <f>'Conservador'!X18+'Conservador'!AF18+'Conservador'!AN18+'Conservador'!AV18+'Conservador'!BD18</f>
        <v>4800.0</v>
      </c>
      <c r="K18" s="4" t="s">
        <v>258</v>
      </c>
    </row>
    <row r="19" spans="1:11">
      <c r="A19" t="s">
        <v>238</v>
      </c>
      <c r="B19" s="10">
        <f>'Conservador'!A19</f>
        <v>15</v>
      </c>
      <c r="C19" s="10">
        <f>'Conservador'!U19</f>
        <v>0</v>
      </c>
      <c r="D19" s="10">
        <f>'Conservador'!AC19</f>
        <v>24.0</v>
      </c>
      <c r="E19" s="10">
        <f>'Conservador'!AK19</f>
        <v>40.0</v>
      </c>
      <c r="F19" s="10">
        <f>'Conservador'!AS19</f>
        <v>16.0</v>
      </c>
      <c r="G19" s="10">
        <f>'Conservador'!BA19</f>
        <v>0.0</v>
      </c>
      <c r="H19" s="10">
        <f>'Conservador'!BI19</f>
        <v>80.0</v>
      </c>
      <c r="I19" s="11">
        <f>'Conservador'!BJ19</f>
        <v>0.5</v>
      </c>
      <c r="J19" s="8">
        <f>'Conservador'!X19+'Conservador'!AF19+'Conservador'!AN19+'Conservador'!AV19+'Conservador'!BD19</f>
        <v>12000.0</v>
      </c>
      <c r="K19" s="4" t="s">
        <v>258</v>
      </c>
    </row>
    <row r="20" spans="1:11">
      <c r="A20" t="s">
        <v>238</v>
      </c>
      <c r="B20" s="10">
        <f>'Conservador'!A20</f>
        <v>16</v>
      </c>
      <c r="C20" s="10">
        <f>'Conservador'!U20</f>
        <v>0</v>
      </c>
      <c r="D20" s="10">
        <f>'Conservador'!AC20</f>
        <v>24.0</v>
      </c>
      <c r="E20" s="10">
        <f>'Conservador'!AK20</f>
        <v>0.0</v>
      </c>
      <c r="F20" s="10">
        <f>'Conservador'!AS20</f>
        <v>16.0</v>
      </c>
      <c r="G20" s="10">
        <f>'Conservador'!BA20</f>
        <v>0.0</v>
      </c>
      <c r="H20" s="10">
        <f>'Conservador'!BI20</f>
        <v>40.0</v>
      </c>
      <c r="I20" s="11">
        <f>'Conservador'!BJ20</f>
        <v>0.25</v>
      </c>
      <c r="J20" s="8">
        <f>'Conservador'!X20+'Conservador'!AF20+'Conservador'!AN20+'Conservador'!AV20+'Conservador'!BD20</f>
        <v>4800.0</v>
      </c>
      <c r="K20" s="4" t="s">
        <v>258</v>
      </c>
    </row>
    <row r="21" spans="1:11">
      <c r="A21" t="s">
        <v>238</v>
      </c>
      <c r="B21" s="10">
        <f>'Conservador'!A21</f>
        <v>17</v>
      </c>
      <c r="C21" s="10">
        <f>'Conservador'!U21</f>
        <v>80</v>
      </c>
      <c r="D21" s="10">
        <f>'Conservador'!AC21</f>
        <v>24.0</v>
      </c>
      <c r="E21" s="10">
        <f>'Conservador'!AK21</f>
        <v>0.0</v>
      </c>
      <c r="F21" s="10">
        <f>'Conservador'!AS21</f>
        <v>16.0</v>
      </c>
      <c r="G21" s="10">
        <f>'Conservador'!BA21</f>
        <v>0.0</v>
      </c>
      <c r="H21" s="10">
        <f>'Conservador'!BI21</f>
        <v>120.0</v>
      </c>
      <c r="I21" s="11">
        <f>'Conservador'!BJ21</f>
        <v>0.75</v>
      </c>
      <c r="J21" s="8">
        <f>'Conservador'!X21+'Conservador'!AF21+'Conservador'!AN21+'Conservador'!AV21+'Conservador'!BD21</f>
        <v>19200.0</v>
      </c>
      <c r="K21" s="4" t="s">
        <v>258</v>
      </c>
    </row>
    <row r="22" spans="1:11">
      <c r="A22" t="s">
        <v>238</v>
      </c>
      <c r="B22" s="10">
        <f>'Conservador'!A22</f>
        <v>18</v>
      </c>
      <c r="C22" s="10">
        <f>'Conservador'!U22</f>
        <v>0</v>
      </c>
      <c r="D22" s="10">
        <f>'Conservador'!AC22</f>
        <v>24.0</v>
      </c>
      <c r="E22" s="10">
        <f>'Conservador'!AK22</f>
        <v>40.0</v>
      </c>
      <c r="F22" s="10">
        <f>'Conservador'!AS22</f>
        <v>16.0</v>
      </c>
      <c r="G22" s="10">
        <f>'Conservador'!BA22</f>
        <v>0.0</v>
      </c>
      <c r="H22" s="10">
        <f>'Conservador'!BI22</f>
        <v>80.0</v>
      </c>
      <c r="I22" s="11">
        <f>'Conservador'!BJ22</f>
        <v>0.5</v>
      </c>
      <c r="J22" s="8">
        <f>'Conservador'!X22+'Conservador'!AF22+'Conservador'!AN22+'Conservador'!AV22+'Conservador'!BD22</f>
        <v>12000.0</v>
      </c>
      <c r="K22" s="4" t="s">
        <v>258</v>
      </c>
    </row>
    <row r="23" spans="1:11">
      <c r="A23" t="s">
        <v>238</v>
      </c>
      <c r="B23" s="10">
        <f>'Conservador'!A23</f>
        <v>19</v>
      </c>
      <c r="C23" s="10">
        <f>'Conservador'!U23</f>
        <v>0</v>
      </c>
      <c r="D23" s="10">
        <f>'Conservador'!AC23</f>
        <v>24.0</v>
      </c>
      <c r="E23" s="10">
        <f>'Conservador'!AK23</f>
        <v>0.0</v>
      </c>
      <c r="F23" s="10">
        <f>'Conservador'!AS23</f>
        <v>16.0</v>
      </c>
      <c r="G23" s="10">
        <f>'Conservador'!BA23</f>
        <v>0.0</v>
      </c>
      <c r="H23" s="10">
        <f>'Conservador'!BI23</f>
        <v>40.0</v>
      </c>
      <c r="I23" s="11">
        <f>'Conservador'!BJ23</f>
        <v>0.25</v>
      </c>
      <c r="J23" s="8">
        <f>'Conservador'!X23+'Conservador'!AF23+'Conservador'!AN23+'Conservador'!AV23+'Conservador'!BD23</f>
        <v>4800.0</v>
      </c>
      <c r="K23" s="4" t="s">
        <v>258</v>
      </c>
    </row>
    <row r="24" spans="1:11">
      <c r="A24" t="s">
        <v>238</v>
      </c>
      <c r="B24" s="10">
        <f>'Conservador'!A24</f>
        <v>20</v>
      </c>
      <c r="C24" s="10">
        <f>'Conservador'!U24</f>
        <v>0</v>
      </c>
      <c r="D24" s="10">
        <f>'Conservador'!AC24</f>
        <v>24.0</v>
      </c>
      <c r="E24" s="10">
        <f>'Conservador'!AK24</f>
        <v>0.0</v>
      </c>
      <c r="F24" s="10">
        <f>'Conservador'!AS24</f>
        <v>16.0</v>
      </c>
      <c r="G24" s="10">
        <f>'Conservador'!BA24</f>
        <v>0.0</v>
      </c>
      <c r="H24" s="10">
        <f>'Conservador'!BI24</f>
        <v>40.0</v>
      </c>
      <c r="I24" s="11">
        <f>'Conservador'!BJ24</f>
        <v>0.25</v>
      </c>
      <c r="J24" s="8">
        <f>'Conservador'!X24+'Conservador'!AF24+'Conservador'!AN24+'Conservador'!AV24+'Conservador'!BD24</f>
        <v>4800.0</v>
      </c>
      <c r="K24" s="4" t="s">
        <v>258</v>
      </c>
    </row>
    <row r="25" spans="1:11">
      <c r="A25" t="s">
        <v>238</v>
      </c>
      <c r="B25" s="10">
        <f>'Conservador'!A25</f>
        <v>21</v>
      </c>
      <c r="C25" s="10">
        <f>'Conservador'!U25</f>
        <v>80</v>
      </c>
      <c r="D25" s="10">
        <f>'Conservador'!AC25</f>
        <v>24.0</v>
      </c>
      <c r="E25" s="10">
        <f>'Conservador'!AK25</f>
        <v>40.0</v>
      </c>
      <c r="F25" s="10">
        <f>'Conservador'!AS25</f>
        <v>16.0</v>
      </c>
      <c r="G25" s="10">
        <f>'Conservador'!BA25</f>
        <v>0.0</v>
      </c>
      <c r="H25" s="10">
        <f>'Conservador'!BI25</f>
        <v>160.0</v>
      </c>
      <c r="I25" s="11">
        <f>'Conservador'!BJ25</f>
        <v>1.0</v>
      </c>
      <c r="J25" s="8">
        <f>'Conservador'!X25+'Conservador'!AF25+'Conservador'!AN25+'Conservador'!AV25+'Conservador'!BD25</f>
        <v>26400.0</v>
      </c>
      <c r="K25" s="4" t="s">
        <v>258</v>
      </c>
    </row>
    <row r="26" spans="1:11">
      <c r="A26" t="s">
        <v>238</v>
      </c>
      <c r="B26" s="10">
        <f>'Conservador'!A26</f>
        <v>22</v>
      </c>
      <c r="C26" s="10">
        <f>'Conservador'!U26</f>
        <v>0</v>
      </c>
      <c r="D26" s="10">
        <f>'Conservador'!AC26</f>
        <v>24.0</v>
      </c>
      <c r="E26" s="10">
        <f>'Conservador'!AK26</f>
        <v>0.0</v>
      </c>
      <c r="F26" s="10">
        <f>'Conservador'!AS26</f>
        <v>16.0</v>
      </c>
      <c r="G26" s="10">
        <f>'Conservador'!BA26</f>
        <v>0.0</v>
      </c>
      <c r="H26" s="10">
        <f>'Conservador'!BI26</f>
        <v>40.0</v>
      </c>
      <c r="I26" s="11">
        <f>'Conservador'!BJ26</f>
        <v>0.25</v>
      </c>
      <c r="J26" s="8">
        <f>'Conservador'!X26+'Conservador'!AF26+'Conservador'!AN26+'Conservador'!AV26+'Conservador'!BD26</f>
        <v>4800.0</v>
      </c>
      <c r="K26" s="4" t="s">
        <v>258</v>
      </c>
    </row>
    <row r="27" spans="1:11">
      <c r="A27" t="s">
        <v>238</v>
      </c>
      <c r="B27" s="10">
        <f>'Conservador'!A27</f>
        <v>23</v>
      </c>
      <c r="C27" s="10">
        <f>'Conservador'!U27</f>
        <v>0</v>
      </c>
      <c r="D27" s="10">
        <f>'Conservador'!AC27</f>
        <v>24.0</v>
      </c>
      <c r="E27" s="10">
        <f>'Conservador'!AK27</f>
        <v>0.0</v>
      </c>
      <c r="F27" s="10">
        <f>'Conservador'!AS27</f>
        <v>16.0</v>
      </c>
      <c r="G27" s="10">
        <f>'Conservador'!BA27</f>
        <v>0.0</v>
      </c>
      <c r="H27" s="10">
        <f>'Conservador'!BI27</f>
        <v>40.0</v>
      </c>
      <c r="I27" s="11">
        <f>'Conservador'!BJ27</f>
        <v>0.25</v>
      </c>
      <c r="J27" s="8">
        <f>'Conservador'!X27+'Conservador'!AF27+'Conservador'!AN27+'Conservador'!AV27+'Conservador'!BD27</f>
        <v>4800.0</v>
      </c>
      <c r="K27" s="4" t="s">
        <v>258</v>
      </c>
    </row>
    <row r="28" spans="1:11">
      <c r="A28" t="s">
        <v>238</v>
      </c>
      <c r="B28" s="10">
        <f>'Conservador'!A28</f>
        <v>24</v>
      </c>
      <c r="C28" s="10">
        <f>'Conservador'!U28</f>
        <v>0</v>
      </c>
      <c r="D28" s="10">
        <f>'Conservador'!AC28</f>
        <v>24.0</v>
      </c>
      <c r="E28" s="10">
        <f>'Conservador'!AK28</f>
        <v>40.0</v>
      </c>
      <c r="F28" s="10">
        <f>'Conservador'!AS28</f>
        <v>16.0</v>
      </c>
      <c r="G28" s="10">
        <f>'Conservador'!BA28</f>
        <v>0.0</v>
      </c>
      <c r="H28" s="10">
        <f>'Conservador'!BI28</f>
        <v>80.0</v>
      </c>
      <c r="I28" s="11">
        <f>'Conservador'!BJ28</f>
        <v>0.5</v>
      </c>
      <c r="J28" s="8">
        <f>'Conservador'!X28+'Conservador'!AF28+'Conservador'!AN28+'Conservador'!AV28+'Conservador'!BD28</f>
        <v>12000.0</v>
      </c>
      <c r="K28" s="4" t="s">
        <v>258</v>
      </c>
    </row>
    <row r="29" spans="1:11">
      <c r="A29" t="s">
        <v>240</v>
      </c>
      <c r="B29" s="10">
        <f>'Base'!A5</f>
        <v>1</v>
      </c>
      <c r="C29" s="10">
        <f>'Base'!U5</f>
        <v>0</v>
      </c>
      <c r="D29" s="10">
        <f>'Base'!AC5</f>
        <v>0.0</v>
      </c>
      <c r="E29" s="10">
        <f>'Base'!AK5</f>
        <v>0.0</v>
      </c>
      <c r="F29" s="10">
        <f>'Base'!AS5</f>
        <v>0.0</v>
      </c>
      <c r="G29" s="10">
        <f>'Base'!BA5</f>
        <v>0.0</v>
      </c>
      <c r="H29" s="10">
        <f>'Base'!BI5</f>
        <v>0.0</v>
      </c>
      <c r="I29" s="11">
        <f>'Base'!BJ5</f>
        <v>0.0</v>
      </c>
      <c r="J29" s="8">
        <f>'Base'!X5+'Base'!AF5+'Base'!AN5+'Base'!AV5+'Base'!BD5</f>
        <v>0.0</v>
      </c>
      <c r="K29" s="4" t="s">
        <v>258</v>
      </c>
    </row>
    <row r="30" spans="1:11">
      <c r="A30" t="s">
        <v>240</v>
      </c>
      <c r="B30" s="10">
        <f>'Base'!A6</f>
        <v>2</v>
      </c>
      <c r="C30" s="10">
        <f>'Base'!U6</f>
        <v>0</v>
      </c>
      <c r="D30" s="10">
        <f>'Base'!AC6</f>
        <v>0.0</v>
      </c>
      <c r="E30" s="10">
        <f>'Base'!AK6</f>
        <v>0.0</v>
      </c>
      <c r="F30" s="10">
        <f>'Base'!AS6</f>
        <v>0.0</v>
      </c>
      <c r="G30" s="10">
        <f>'Base'!BA6</f>
        <v>0.0</v>
      </c>
      <c r="H30" s="10">
        <f>'Base'!BI6</f>
        <v>0.0</v>
      </c>
      <c r="I30" s="11">
        <f>'Base'!BJ6</f>
        <v>0.0</v>
      </c>
      <c r="J30" s="8">
        <f>'Base'!X6+'Base'!AF6+'Base'!AN6+'Base'!AV6+'Base'!BD6</f>
        <v>0.0</v>
      </c>
      <c r="K30" s="4" t="s">
        <v>258</v>
      </c>
    </row>
    <row r="31" spans="1:11">
      <c r="A31" t="s">
        <v>240</v>
      </c>
      <c r="B31" s="10">
        <f>'Base'!A7</f>
        <v>3</v>
      </c>
      <c r="C31" s="10">
        <f>'Base'!U7</f>
        <v>80</v>
      </c>
      <c r="D31" s="10">
        <f>'Base'!AC7</f>
        <v>12.0</v>
      </c>
      <c r="E31" s="10">
        <f>'Base'!AK7</f>
        <v>40.0</v>
      </c>
      <c r="F31" s="10">
        <f>'Base'!AS7</f>
        <v>0.0</v>
      </c>
      <c r="G31" s="10">
        <f>'Base'!BA7</f>
        <v>0.0</v>
      </c>
      <c r="H31" s="10">
        <f>'Base'!BI7</f>
        <v>132.0</v>
      </c>
      <c r="I31" s="11">
        <f>'Base'!BJ7</f>
        <v>0.825</v>
      </c>
      <c r="J31" s="8">
        <f>'Base'!X7+'Base'!AF7+'Base'!AN7+'Base'!AV7+'Base'!BD7</f>
        <v>23040.0</v>
      </c>
      <c r="K31" s="4" t="s">
        <v>258</v>
      </c>
    </row>
    <row r="32" spans="1:11">
      <c r="A32" t="s">
        <v>240</v>
      </c>
      <c r="B32" s="10">
        <f>'Base'!A8</f>
        <v>4</v>
      </c>
      <c r="C32" s="10">
        <f>'Base'!U8</f>
        <v>0</v>
      </c>
      <c r="D32" s="10">
        <f>'Base'!AC8</f>
        <v>24.0</v>
      </c>
      <c r="E32" s="10">
        <f>'Base'!AK8</f>
        <v>40.0</v>
      </c>
      <c r="F32" s="10">
        <f>'Base'!AS8</f>
        <v>8.0</v>
      </c>
      <c r="G32" s="10">
        <f>'Base'!BA8</f>
        <v>20.0</v>
      </c>
      <c r="H32" s="10">
        <f>'Base'!BI8</f>
        <v>92.0</v>
      </c>
      <c r="I32" s="11">
        <f>'Base'!BJ8</f>
        <v>0.575</v>
      </c>
      <c r="J32" s="8">
        <f>'Base'!X8+'Base'!AF8+'Base'!AN8+'Base'!AV8+'Base'!BD8</f>
        <v>14640.0</v>
      </c>
      <c r="K32" s="4" t="s">
        <v>258</v>
      </c>
    </row>
    <row r="33" spans="1:11">
      <c r="A33" t="s">
        <v>240</v>
      </c>
      <c r="B33" s="10">
        <f>'Base'!A9</f>
        <v>5</v>
      </c>
      <c r="C33" s="10">
        <f>'Base'!U9</f>
        <v>80</v>
      </c>
      <c r="D33" s="10">
        <f>'Base'!AC9</f>
        <v>36.0</v>
      </c>
      <c r="E33" s="10">
        <f>'Base'!AK9</f>
        <v>40.0</v>
      </c>
      <c r="F33" s="10">
        <f>'Base'!AS9</f>
        <v>16.0</v>
      </c>
      <c r="G33" s="10">
        <f>'Base'!BA9</f>
        <v>20.0</v>
      </c>
      <c r="H33" s="10">
        <f>'Base'!BI9</f>
        <v>192.0</v>
      </c>
      <c r="I33" s="11">
        <f>'Base'!BJ9</f>
        <v>1.2</v>
      </c>
      <c r="J33" s="8">
        <f>'Base'!X9+'Base'!AF9+'Base'!AN9+'Base'!AV9+'Base'!BD9</f>
        <v>31440.0</v>
      </c>
      <c r="K33" s="4" t="s">
        <v>258</v>
      </c>
    </row>
    <row r="34" spans="1:11">
      <c r="A34" t="s">
        <v>240</v>
      </c>
      <c r="B34" s="10">
        <f>'Base'!A10</f>
        <v>6</v>
      </c>
      <c r="C34" s="10">
        <f>'Base'!U10</f>
        <v>0</v>
      </c>
      <c r="D34" s="10">
        <f>'Base'!AC10</f>
        <v>48.0</v>
      </c>
      <c r="E34" s="10">
        <f>'Base'!AK10</f>
        <v>40.0</v>
      </c>
      <c r="F34" s="10">
        <f>'Base'!AS10</f>
        <v>16.0</v>
      </c>
      <c r="G34" s="10">
        <f>'Base'!BA10</f>
        <v>0.0</v>
      </c>
      <c r="H34" s="10">
        <f>'Base'!BI10</f>
        <v>104.0</v>
      </c>
      <c r="I34" s="11">
        <f>'Base'!BJ10</f>
        <v>0.65</v>
      </c>
      <c r="J34" s="8">
        <f>'Base'!X10+'Base'!AF10+'Base'!AN10+'Base'!AV10+'Base'!BD10</f>
        <v>14880.0</v>
      </c>
      <c r="K34" s="4" t="s">
        <v>258</v>
      </c>
    </row>
    <row r="35" spans="1:11">
      <c r="A35" t="s">
        <v>240</v>
      </c>
      <c r="B35" s="10">
        <f>'Base'!A11</f>
        <v>7</v>
      </c>
      <c r="C35" s="10">
        <f>'Base'!U11</f>
        <v>80</v>
      </c>
      <c r="D35" s="10">
        <f>'Base'!AC11</f>
        <v>60.0</v>
      </c>
      <c r="E35" s="10">
        <f>'Base'!AK11</f>
        <v>80.0</v>
      </c>
      <c r="F35" s="10">
        <f>'Base'!AS11</f>
        <v>24.0</v>
      </c>
      <c r="G35" s="10">
        <f>'Base'!BA11</f>
        <v>20.0</v>
      </c>
      <c r="H35" s="10">
        <f>'Base'!BI11</f>
        <v>264.0</v>
      </c>
      <c r="I35" s="11">
        <f>'Base'!BJ11</f>
        <v>1.65</v>
      </c>
      <c r="J35" s="8">
        <f>'Base'!X11+'Base'!AF11+'Base'!AN11+'Base'!AV11+'Base'!BD11</f>
        <v>42480.0</v>
      </c>
      <c r="K35" s="4" t="s">
        <v>258</v>
      </c>
    </row>
    <row r="36" spans="1:11">
      <c r="A36" t="s">
        <v>240</v>
      </c>
      <c r="B36" s="10">
        <f>'Base'!A12</f>
        <v>8</v>
      </c>
      <c r="C36" s="10">
        <f>'Base'!U12</f>
        <v>80</v>
      </c>
      <c r="D36" s="10">
        <f>'Base'!AC12</f>
        <v>72.0</v>
      </c>
      <c r="E36" s="10">
        <f>'Base'!AK12</f>
        <v>80.0</v>
      </c>
      <c r="F36" s="10">
        <f>'Base'!AS12</f>
        <v>24.0</v>
      </c>
      <c r="G36" s="10">
        <f>'Base'!BA12</f>
        <v>0.0</v>
      </c>
      <c r="H36" s="10">
        <f>'Base'!BI12</f>
        <v>256.0</v>
      </c>
      <c r="I36" s="11">
        <f>'Base'!BJ12</f>
        <v>1.6</v>
      </c>
      <c r="J36" s="8">
        <f>'Base'!X12+'Base'!AF12+'Base'!AN12+'Base'!AV12+'Base'!BD12</f>
        <v>40320.0</v>
      </c>
      <c r="K36" s="4" t="s">
        <v>258</v>
      </c>
    </row>
    <row r="37" spans="1:11">
      <c r="A37" t="s">
        <v>240</v>
      </c>
      <c r="B37" s="10">
        <f>'Base'!A13</f>
        <v>9</v>
      </c>
      <c r="C37" s="10">
        <f>'Base'!U13</f>
        <v>80</v>
      </c>
      <c r="D37" s="10">
        <f>'Base'!AC13</f>
        <v>84.0</v>
      </c>
      <c r="E37" s="10">
        <f>'Base'!AK13</f>
        <v>80.0</v>
      </c>
      <c r="F37" s="10">
        <f>'Base'!AS13</f>
        <v>32.0</v>
      </c>
      <c r="G37" s="10">
        <f>'Base'!BA13</f>
        <v>20.0</v>
      </c>
      <c r="H37" s="10">
        <f>'Base'!BI13</f>
        <v>296.0</v>
      </c>
      <c r="I37" s="11">
        <f>'Base'!BJ13</f>
        <v>1.85</v>
      </c>
      <c r="J37" s="8">
        <f>'Base'!X13+'Base'!AF13+'Base'!AN13+'Base'!AV13+'Base'!BD13</f>
        <v>46320.0</v>
      </c>
      <c r="K37" s="4" t="s">
        <v>258</v>
      </c>
    </row>
    <row r="38" spans="1:11">
      <c r="A38" t="s">
        <v>240</v>
      </c>
      <c r="B38" s="10">
        <f>'Base'!A14</f>
        <v>10</v>
      </c>
      <c r="C38" s="10">
        <f>'Base'!U14</f>
        <v>80</v>
      </c>
      <c r="D38" s="10">
        <f>'Base'!AC14</f>
        <v>96.0</v>
      </c>
      <c r="E38" s="10">
        <f>'Base'!AK14</f>
        <v>80.0</v>
      </c>
      <c r="F38" s="10">
        <f>'Base'!AS14</f>
        <v>32.0</v>
      </c>
      <c r="G38" s="10">
        <f>'Base'!BA14</f>
        <v>0.0</v>
      </c>
      <c r="H38" s="10">
        <f>'Base'!BI14</f>
        <v>288.0</v>
      </c>
      <c r="I38" s="11">
        <f>'Base'!BJ14</f>
        <v>1.8</v>
      </c>
      <c r="J38" s="8">
        <f>'Base'!X14+'Base'!AF14+'Base'!AN14+'Base'!AV14+'Base'!BD14</f>
        <v>44160.0</v>
      </c>
      <c r="K38" s="4" t="s">
        <v>258</v>
      </c>
    </row>
    <row r="39" spans="1:11">
      <c r="A39" t="s">
        <v>240</v>
      </c>
      <c r="B39" s="10">
        <f>'Base'!A15</f>
        <v>11</v>
      </c>
      <c r="C39" s="10">
        <f>'Base'!U15</f>
        <v>80</v>
      </c>
      <c r="D39" s="10">
        <f>'Base'!AC15</f>
        <v>96.0</v>
      </c>
      <c r="E39" s="10">
        <f>'Base'!AK15</f>
        <v>80.0</v>
      </c>
      <c r="F39" s="10">
        <f>'Base'!AS15</f>
        <v>32.0</v>
      </c>
      <c r="G39" s="10">
        <f>'Base'!BA15</f>
        <v>0.0</v>
      </c>
      <c r="H39" s="10">
        <f>'Base'!BI15</f>
        <v>288.0</v>
      </c>
      <c r="I39" s="11">
        <f>'Base'!BJ15</f>
        <v>1.8</v>
      </c>
      <c r="J39" s="8">
        <f>'Base'!X15+'Base'!AF15+'Base'!AN15+'Base'!AV15+'Base'!BD15</f>
        <v>44160.0</v>
      </c>
      <c r="K39" s="4" t="s">
        <v>258</v>
      </c>
    </row>
    <row r="40" spans="1:11">
      <c r="A40" t="s">
        <v>240</v>
      </c>
      <c r="B40" s="10">
        <f>'Base'!A16</f>
        <v>12</v>
      </c>
      <c r="C40" s="10">
        <f>'Base'!U16</f>
        <v>80</v>
      </c>
      <c r="D40" s="10">
        <f>'Base'!AC16</f>
        <v>96.0</v>
      </c>
      <c r="E40" s="10">
        <f>'Base'!AK16</f>
        <v>80.0</v>
      </c>
      <c r="F40" s="10">
        <f>'Base'!AS16</f>
        <v>32.0</v>
      </c>
      <c r="G40" s="10">
        <f>'Base'!BA16</f>
        <v>0.0</v>
      </c>
      <c r="H40" s="10">
        <f>'Base'!BI16</f>
        <v>288.0</v>
      </c>
      <c r="I40" s="11">
        <f>'Base'!BJ16</f>
        <v>1.8</v>
      </c>
      <c r="J40" s="8">
        <f>'Base'!X16+'Base'!AF16+'Base'!AN16+'Base'!AV16+'Base'!BD16</f>
        <v>44160.0</v>
      </c>
      <c r="K40" s="4" t="s">
        <v>258</v>
      </c>
    </row>
    <row r="41" spans="1:11">
      <c r="A41" t="s">
        <v>240</v>
      </c>
      <c r="B41" s="10">
        <f>'Base'!A17</f>
        <v>13</v>
      </c>
      <c r="C41" s="10">
        <f>'Base'!U17</f>
        <v>160</v>
      </c>
      <c r="D41" s="10">
        <f>'Base'!AC17</f>
        <v>120.0</v>
      </c>
      <c r="E41" s="10">
        <f>'Base'!AK17</f>
        <v>120.0</v>
      </c>
      <c r="F41" s="10">
        <f>'Base'!AS17</f>
        <v>48.0</v>
      </c>
      <c r="G41" s="10">
        <f>'Base'!BA17</f>
        <v>40.0</v>
      </c>
      <c r="H41" s="10">
        <f>'Base'!BI17</f>
        <v>488.0</v>
      </c>
      <c r="I41" s="11">
        <f>'Base'!BJ17</f>
        <v>3.05</v>
      </c>
      <c r="J41" s="8">
        <f>'Base'!X17+'Base'!AF17+'Base'!AN17+'Base'!AV17+'Base'!BD17</f>
        <v>77760.0</v>
      </c>
      <c r="K41" s="4" t="s">
        <v>258</v>
      </c>
    </row>
    <row r="42" spans="1:11">
      <c r="A42" t="s">
        <v>240</v>
      </c>
      <c r="B42" s="10">
        <f>'Base'!A18</f>
        <v>14</v>
      </c>
      <c r="C42" s="10">
        <f>'Base'!U18</f>
        <v>160</v>
      </c>
      <c r="D42" s="10">
        <f>'Base'!AC18</f>
        <v>120.0</v>
      </c>
      <c r="E42" s="10">
        <f>'Base'!AK18</f>
        <v>120.0</v>
      </c>
      <c r="F42" s="10">
        <f>'Base'!AS18</f>
        <v>48.0</v>
      </c>
      <c r="G42" s="10">
        <f>'Base'!BA18</f>
        <v>0.0</v>
      </c>
      <c r="H42" s="10">
        <f>'Base'!BI18</f>
        <v>448.0</v>
      </c>
      <c r="I42" s="11">
        <f>'Base'!BJ18</f>
        <v>2.8</v>
      </c>
      <c r="J42" s="8">
        <f>'Base'!X18+'Base'!AF18+'Base'!AN18+'Base'!AV18+'Base'!BD18</f>
        <v>70560.0</v>
      </c>
      <c r="K42" s="4" t="s">
        <v>258</v>
      </c>
    </row>
    <row r="43" spans="1:11">
      <c r="A43" t="s">
        <v>240</v>
      </c>
      <c r="B43" s="10">
        <f>'Base'!A19</f>
        <v>15</v>
      </c>
      <c r="C43" s="10">
        <f>'Base'!U19</f>
        <v>160</v>
      </c>
      <c r="D43" s="10">
        <f>'Base'!AC19</f>
        <v>120.0</v>
      </c>
      <c r="E43" s="10">
        <f>'Base'!AK19</f>
        <v>120.0</v>
      </c>
      <c r="F43" s="10">
        <f>'Base'!AS19</f>
        <v>48.0</v>
      </c>
      <c r="G43" s="10">
        <f>'Base'!BA19</f>
        <v>0.0</v>
      </c>
      <c r="H43" s="10">
        <f>'Base'!BI19</f>
        <v>448.0</v>
      </c>
      <c r="I43" s="11">
        <f>'Base'!BJ19</f>
        <v>2.8</v>
      </c>
      <c r="J43" s="8">
        <f>'Base'!X19+'Base'!AF19+'Base'!AN19+'Base'!AV19+'Base'!BD19</f>
        <v>70560.0</v>
      </c>
      <c r="K43" s="4" t="s">
        <v>258</v>
      </c>
    </row>
    <row r="44" spans="1:11">
      <c r="A44" t="s">
        <v>240</v>
      </c>
      <c r="B44" s="10">
        <f>'Base'!A20</f>
        <v>16</v>
      </c>
      <c r="C44" s="10">
        <f>'Base'!U20</f>
        <v>160</v>
      </c>
      <c r="D44" s="10">
        <f>'Base'!AC20</f>
        <v>120.0</v>
      </c>
      <c r="E44" s="10">
        <f>'Base'!AK20</f>
        <v>120.0</v>
      </c>
      <c r="F44" s="10">
        <f>'Base'!AS20</f>
        <v>48.0</v>
      </c>
      <c r="G44" s="10">
        <f>'Base'!BA20</f>
        <v>0.0</v>
      </c>
      <c r="H44" s="10">
        <f>'Base'!BI20</f>
        <v>448.0</v>
      </c>
      <c r="I44" s="11">
        <f>'Base'!BJ20</f>
        <v>2.8</v>
      </c>
      <c r="J44" s="8">
        <f>'Base'!X20+'Base'!AF20+'Base'!AN20+'Base'!AV20+'Base'!BD20</f>
        <v>70560.0</v>
      </c>
      <c r="K44" s="4" t="s">
        <v>258</v>
      </c>
    </row>
    <row r="45" spans="1:11">
      <c r="A45" t="s">
        <v>240</v>
      </c>
      <c r="B45" s="10">
        <f>'Base'!A21</f>
        <v>17</v>
      </c>
      <c r="C45" s="10">
        <f>'Base'!U21</f>
        <v>160</v>
      </c>
      <c r="D45" s="10">
        <f>'Base'!AC21</f>
        <v>120.0</v>
      </c>
      <c r="E45" s="10">
        <f>'Base'!AK21</f>
        <v>120.0</v>
      </c>
      <c r="F45" s="10">
        <f>'Base'!AS21</f>
        <v>48.0</v>
      </c>
      <c r="G45" s="10">
        <f>'Base'!BA21</f>
        <v>0.0</v>
      </c>
      <c r="H45" s="10">
        <f>'Base'!BI21</f>
        <v>448.0</v>
      </c>
      <c r="I45" s="11">
        <f>'Base'!BJ21</f>
        <v>2.8</v>
      </c>
      <c r="J45" s="8">
        <f>'Base'!X21+'Base'!AF21+'Base'!AN21+'Base'!AV21+'Base'!BD21</f>
        <v>70560.0</v>
      </c>
      <c r="K45" s="4" t="s">
        <v>258</v>
      </c>
    </row>
    <row r="46" spans="1:11">
      <c r="A46" t="s">
        <v>240</v>
      </c>
      <c r="B46" s="10">
        <f>'Base'!A22</f>
        <v>18</v>
      </c>
      <c r="C46" s="10">
        <f>'Base'!U22</f>
        <v>160</v>
      </c>
      <c r="D46" s="10">
        <f>'Base'!AC22</f>
        <v>120.0</v>
      </c>
      <c r="E46" s="10">
        <f>'Base'!AK22</f>
        <v>120.0</v>
      </c>
      <c r="F46" s="10">
        <f>'Base'!AS22</f>
        <v>48.0</v>
      </c>
      <c r="G46" s="10">
        <f>'Base'!BA22</f>
        <v>0.0</v>
      </c>
      <c r="H46" s="10">
        <f>'Base'!BI22</f>
        <v>448.0</v>
      </c>
      <c r="I46" s="11">
        <f>'Base'!BJ22</f>
        <v>2.8</v>
      </c>
      <c r="J46" s="8">
        <f>'Base'!X22+'Base'!AF22+'Base'!AN22+'Base'!AV22+'Base'!BD22</f>
        <v>70560.0</v>
      </c>
      <c r="K46" s="4" t="s">
        <v>258</v>
      </c>
    </row>
    <row r="47" spans="1:11">
      <c r="A47" t="s">
        <v>240</v>
      </c>
      <c r="B47" s="10">
        <f>'Base'!A23</f>
        <v>19</v>
      </c>
      <c r="C47" s="10">
        <f>'Base'!U23</f>
        <v>160</v>
      </c>
      <c r="D47" s="10">
        <f>'Base'!AC23</f>
        <v>120.0</v>
      </c>
      <c r="E47" s="10">
        <f>'Base'!AK23</f>
        <v>120.0</v>
      </c>
      <c r="F47" s="10">
        <f>'Base'!AS23</f>
        <v>48.0</v>
      </c>
      <c r="G47" s="10">
        <f>'Base'!BA23</f>
        <v>0.0</v>
      </c>
      <c r="H47" s="10">
        <f>'Base'!BI23</f>
        <v>448.0</v>
      </c>
      <c r="I47" s="11">
        <f>'Base'!BJ23</f>
        <v>2.8</v>
      </c>
      <c r="J47" s="8">
        <f>'Base'!X23+'Base'!AF23+'Base'!AN23+'Base'!AV23+'Base'!BD23</f>
        <v>70560.0</v>
      </c>
      <c r="K47" s="4" t="s">
        <v>258</v>
      </c>
    </row>
    <row r="48" spans="1:11">
      <c r="A48" t="s">
        <v>240</v>
      </c>
      <c r="B48" s="10">
        <f>'Base'!A24</f>
        <v>20</v>
      </c>
      <c r="C48" s="10">
        <f>'Base'!U24</f>
        <v>160</v>
      </c>
      <c r="D48" s="10">
        <f>'Base'!AC24</f>
        <v>120.0</v>
      </c>
      <c r="E48" s="10">
        <f>'Base'!AK24</f>
        <v>120.0</v>
      </c>
      <c r="F48" s="10">
        <f>'Base'!AS24</f>
        <v>48.0</v>
      </c>
      <c r="G48" s="10">
        <f>'Base'!BA24</f>
        <v>0.0</v>
      </c>
      <c r="H48" s="10">
        <f>'Base'!BI24</f>
        <v>448.0</v>
      </c>
      <c r="I48" s="11">
        <f>'Base'!BJ24</f>
        <v>2.8</v>
      </c>
      <c r="J48" s="8">
        <f>'Base'!X24+'Base'!AF24+'Base'!AN24+'Base'!AV24+'Base'!BD24</f>
        <v>70560.0</v>
      </c>
      <c r="K48" s="4" t="s">
        <v>258</v>
      </c>
    </row>
    <row r="49" spans="1:11">
      <c r="A49" t="s">
        <v>240</v>
      </c>
      <c r="B49" s="10">
        <f>'Base'!A25</f>
        <v>21</v>
      </c>
      <c r="C49" s="10">
        <f>'Base'!U25</f>
        <v>160</v>
      </c>
      <c r="D49" s="10">
        <f>'Base'!AC25</f>
        <v>120.0</v>
      </c>
      <c r="E49" s="10">
        <f>'Base'!AK25</f>
        <v>120.0</v>
      </c>
      <c r="F49" s="10">
        <f>'Base'!AS25</f>
        <v>48.0</v>
      </c>
      <c r="G49" s="10">
        <f>'Base'!BA25</f>
        <v>0.0</v>
      </c>
      <c r="H49" s="10">
        <f>'Base'!BI25</f>
        <v>448.0</v>
      </c>
      <c r="I49" s="11">
        <f>'Base'!BJ25</f>
        <v>2.8</v>
      </c>
      <c r="J49" s="8">
        <f>'Base'!X25+'Base'!AF25+'Base'!AN25+'Base'!AV25+'Base'!BD25</f>
        <v>70560.0</v>
      </c>
      <c r="K49" s="4" t="s">
        <v>258</v>
      </c>
    </row>
    <row r="50" spans="1:11">
      <c r="A50" t="s">
        <v>240</v>
      </c>
      <c r="B50" s="10">
        <f>'Base'!A26</f>
        <v>22</v>
      </c>
      <c r="C50" s="10">
        <f>'Base'!U26</f>
        <v>160</v>
      </c>
      <c r="D50" s="10">
        <f>'Base'!AC26</f>
        <v>120.0</v>
      </c>
      <c r="E50" s="10">
        <f>'Base'!AK26</f>
        <v>120.0</v>
      </c>
      <c r="F50" s="10">
        <f>'Base'!AS26</f>
        <v>48.0</v>
      </c>
      <c r="G50" s="10">
        <f>'Base'!BA26</f>
        <v>0.0</v>
      </c>
      <c r="H50" s="10">
        <f>'Base'!BI26</f>
        <v>448.0</v>
      </c>
      <c r="I50" s="11">
        <f>'Base'!BJ26</f>
        <v>2.8</v>
      </c>
      <c r="J50" s="8">
        <f>'Base'!X26+'Base'!AF26+'Base'!AN26+'Base'!AV26+'Base'!BD26</f>
        <v>70560.0</v>
      </c>
      <c r="K50" s="4" t="s">
        <v>258</v>
      </c>
    </row>
    <row r="51" spans="1:11">
      <c r="A51" t="s">
        <v>240</v>
      </c>
      <c r="B51" s="10">
        <f>'Base'!A27</f>
        <v>23</v>
      </c>
      <c r="C51" s="10">
        <f>'Base'!U27</f>
        <v>160</v>
      </c>
      <c r="D51" s="10">
        <f>'Base'!AC27</f>
        <v>120.0</v>
      </c>
      <c r="E51" s="10">
        <f>'Base'!AK27</f>
        <v>120.0</v>
      </c>
      <c r="F51" s="10">
        <f>'Base'!AS27</f>
        <v>48.0</v>
      </c>
      <c r="G51" s="10">
        <f>'Base'!BA27</f>
        <v>0.0</v>
      </c>
      <c r="H51" s="10">
        <f>'Base'!BI27</f>
        <v>448.0</v>
      </c>
      <c r="I51" s="11">
        <f>'Base'!BJ27</f>
        <v>2.8</v>
      </c>
      <c r="J51" s="8">
        <f>'Base'!X27+'Base'!AF27+'Base'!AN27+'Base'!AV27+'Base'!BD27</f>
        <v>70560.0</v>
      </c>
      <c r="K51" s="4" t="s">
        <v>258</v>
      </c>
    </row>
    <row r="52" spans="1:11">
      <c r="A52" t="s">
        <v>240</v>
      </c>
      <c r="B52" s="10">
        <f>'Base'!A28</f>
        <v>24</v>
      </c>
      <c r="C52" s="10">
        <f>'Base'!U28</f>
        <v>160</v>
      </c>
      <c r="D52" s="10">
        <f>'Base'!AC28</f>
        <v>120.0</v>
      </c>
      <c r="E52" s="10">
        <f>'Base'!AK28</f>
        <v>120.0</v>
      </c>
      <c r="F52" s="10">
        <f>'Base'!AS28</f>
        <v>48.0</v>
      </c>
      <c r="G52" s="10">
        <f>'Base'!BA28</f>
        <v>0.0</v>
      </c>
      <c r="H52" s="10">
        <f>'Base'!BI28</f>
        <v>448.0</v>
      </c>
      <c r="I52" s="11">
        <f>'Base'!BJ28</f>
        <v>2.8</v>
      </c>
      <c r="J52" s="8">
        <f>'Base'!X28+'Base'!AF28+'Base'!AN28+'Base'!AV28+'Base'!BD28</f>
        <v>70560.0</v>
      </c>
      <c r="K52" s="4" t="s">
        <v>258</v>
      </c>
    </row>
    <row r="53" spans="1:11">
      <c r="A53" t="s">
        <v>241</v>
      </c>
      <c r="B53" s="10">
        <f>'Escala24'!A5</f>
        <v>1</v>
      </c>
      <c r="C53" s="10">
        <f>'Escala24'!U5</f>
        <v>0</v>
      </c>
      <c r="D53" s="10">
        <f>'Escala24'!AC5</f>
        <v>0.0</v>
      </c>
      <c r="E53" s="10">
        <f>'Escala24'!AK5</f>
        <v>0.0</v>
      </c>
      <c r="F53" s="10">
        <f>'Escala24'!AS5</f>
        <v>0.0</v>
      </c>
      <c r="G53" s="10">
        <f>'Escala24'!BA5</f>
        <v>0.0</v>
      </c>
      <c r="H53" s="10">
        <f>'Escala24'!BI5</f>
        <v>0.0</v>
      </c>
      <c r="I53" s="11">
        <f>'Escala24'!BJ5</f>
        <v>0.0</v>
      </c>
      <c r="J53" s="8">
        <f>'Escala24'!X5+'Escala24'!AF5+'Escala24'!AN5+'Escala24'!AV5+'Escala24'!BD5</f>
        <v>0.0</v>
      </c>
      <c r="K53" s="4" t="s">
        <v>258</v>
      </c>
    </row>
    <row r="54" spans="1:11">
      <c r="A54" t="s">
        <v>241</v>
      </c>
      <c r="B54" s="10">
        <f>'Escala24'!A6</f>
        <v>2</v>
      </c>
      <c r="C54" s="10">
        <f>'Escala24'!U6</f>
        <v>0</v>
      </c>
      <c r="D54" s="10">
        <f>'Escala24'!AC6</f>
        <v>0.0</v>
      </c>
      <c r="E54" s="10">
        <f>'Escala24'!AK6</f>
        <v>0.0</v>
      </c>
      <c r="F54" s="10">
        <f>'Escala24'!AS6</f>
        <v>0.0</v>
      </c>
      <c r="G54" s="10">
        <f>'Escala24'!BA6</f>
        <v>0.0</v>
      </c>
      <c r="H54" s="10">
        <f>'Escala24'!BI6</f>
        <v>0.0</v>
      </c>
      <c r="I54" s="11">
        <f>'Escala24'!BJ6</f>
        <v>0.0</v>
      </c>
      <c r="J54" s="8">
        <f>'Escala24'!X6+'Escala24'!AF6+'Escala24'!AN6+'Escala24'!AV6+'Escala24'!BD6</f>
        <v>0.0</v>
      </c>
      <c r="K54" s="4" t="s">
        <v>258</v>
      </c>
    </row>
    <row r="55" spans="1:11">
      <c r="A55" t="s">
        <v>241</v>
      </c>
      <c r="B55" s="10">
        <f>'Escala24'!A7</f>
        <v>3</v>
      </c>
      <c r="C55" s="10">
        <f>'Escala24'!U7</f>
        <v>80</v>
      </c>
      <c r="D55" s="10">
        <f>'Escala24'!AC7</f>
        <v>24.0</v>
      </c>
      <c r="E55" s="10">
        <f>'Escala24'!AK7</f>
        <v>40.0</v>
      </c>
      <c r="F55" s="10">
        <f>'Escala24'!AS7</f>
        <v>0.0</v>
      </c>
      <c r="G55" s="10">
        <f>'Escala24'!BA7</f>
        <v>0.0</v>
      </c>
      <c r="H55" s="10">
        <f>'Escala24'!BI7</f>
        <v>144.0</v>
      </c>
      <c r="I55" s="11">
        <f>'Escala24'!BJ7</f>
        <v>0.9</v>
      </c>
      <c r="J55" s="8">
        <f>'Escala24'!X7+'Escala24'!AF7+'Escala24'!AN7+'Escala24'!AV7+'Escala24'!BD7</f>
        <v>24480.0</v>
      </c>
      <c r="K55" s="4" t="s">
        <v>258</v>
      </c>
    </row>
    <row r="56" spans="1:11">
      <c r="A56" t="s">
        <v>241</v>
      </c>
      <c r="B56" s="10">
        <f>'Escala24'!A8</f>
        <v>4</v>
      </c>
      <c r="C56" s="10">
        <f>'Escala24'!U8</f>
        <v>80</v>
      </c>
      <c r="D56" s="10">
        <f>'Escala24'!AC8</f>
        <v>36.0</v>
      </c>
      <c r="E56" s="10">
        <f>'Escala24'!AK8</f>
        <v>40.0</v>
      </c>
      <c r="F56" s="10">
        <f>'Escala24'!AS8</f>
        <v>8.0</v>
      </c>
      <c r="G56" s="10">
        <f>'Escala24'!BA8</f>
        <v>20.0</v>
      </c>
      <c r="H56" s="10">
        <f>'Escala24'!BI8</f>
        <v>184.0</v>
      </c>
      <c r="I56" s="11">
        <f>'Escala24'!BJ8</f>
        <v>1.15</v>
      </c>
      <c r="J56" s="8">
        <f>'Escala24'!X8+'Escala24'!AF8+'Escala24'!AN8+'Escala24'!AV8+'Escala24'!BD8</f>
        <v>30480.0</v>
      </c>
      <c r="K56" s="4" t="s">
        <v>258</v>
      </c>
    </row>
    <row r="57" spans="1:11">
      <c r="A57" t="s">
        <v>241</v>
      </c>
      <c r="B57" s="10">
        <f>'Escala24'!A9</f>
        <v>5</v>
      </c>
      <c r="C57" s="10">
        <f>'Escala24'!U9</f>
        <v>80</v>
      </c>
      <c r="D57" s="10">
        <f>'Escala24'!AC9</f>
        <v>48.0</v>
      </c>
      <c r="E57" s="10">
        <f>'Escala24'!AK9</f>
        <v>80.0</v>
      </c>
      <c r="F57" s="10">
        <f>'Escala24'!AS9</f>
        <v>16.0</v>
      </c>
      <c r="G57" s="10">
        <f>'Escala24'!BA9</f>
        <v>20.0</v>
      </c>
      <c r="H57" s="10">
        <f>'Escala24'!BI9</f>
        <v>244.0</v>
      </c>
      <c r="I57" s="11">
        <f>'Escala24'!BJ9</f>
        <v>1.525</v>
      </c>
      <c r="J57" s="8">
        <f>'Escala24'!X9+'Escala24'!AF9+'Escala24'!AN9+'Escala24'!AV9+'Escala24'!BD9</f>
        <v>40080.0</v>
      </c>
      <c r="K57" s="4" t="s">
        <v>258</v>
      </c>
    </row>
    <row r="58" spans="1:11">
      <c r="A58" t="s">
        <v>241</v>
      </c>
      <c r="B58" s="10">
        <f>'Escala24'!A10</f>
        <v>6</v>
      </c>
      <c r="C58" s="10">
        <f>'Escala24'!U10</f>
        <v>160</v>
      </c>
      <c r="D58" s="10">
        <f>'Escala24'!AC10</f>
        <v>60.0</v>
      </c>
      <c r="E58" s="10">
        <f>'Escala24'!AK10</f>
        <v>80.0</v>
      </c>
      <c r="F58" s="10">
        <f>'Escala24'!AS10</f>
        <v>24.0</v>
      </c>
      <c r="G58" s="10">
        <f>'Escala24'!BA10</f>
        <v>20.0</v>
      </c>
      <c r="H58" s="10">
        <f>'Escala24'!BI10</f>
        <v>344.0</v>
      </c>
      <c r="I58" s="11">
        <f>'Escala24'!BJ10</f>
        <v>2.15</v>
      </c>
      <c r="J58" s="8">
        <f>'Escala24'!X10+'Escala24'!AF10+'Escala24'!AN10+'Escala24'!AV10+'Escala24'!BD10</f>
        <v>56880.0</v>
      </c>
      <c r="K58" s="4" t="s">
        <v>258</v>
      </c>
    </row>
    <row r="59" spans="1:11">
      <c r="A59" t="s">
        <v>241</v>
      </c>
      <c r="B59" s="10">
        <f>'Escala24'!A11</f>
        <v>7</v>
      </c>
      <c r="C59" s="10">
        <f>'Escala24'!U11</f>
        <v>160</v>
      </c>
      <c r="D59" s="10">
        <f>'Escala24'!AC11</f>
        <v>84.0</v>
      </c>
      <c r="E59" s="10">
        <f>'Escala24'!AK11</f>
        <v>120.0</v>
      </c>
      <c r="F59" s="10">
        <f>'Escala24'!AS11</f>
        <v>32.0</v>
      </c>
      <c r="G59" s="10">
        <f>'Escala24'!BA11</f>
        <v>20.0</v>
      </c>
      <c r="H59" s="10">
        <f>'Escala24'!BI11</f>
        <v>416.0</v>
      </c>
      <c r="I59" s="11">
        <f>'Escala24'!BJ11</f>
        <v>2.6</v>
      </c>
      <c r="J59" s="8">
        <f>'Escala24'!X11+'Escala24'!AF11+'Escala24'!AN11+'Escala24'!AV11+'Escala24'!BD11</f>
        <v>67920.0</v>
      </c>
      <c r="K59" s="4" t="s">
        <v>258</v>
      </c>
    </row>
    <row r="60" spans="1:11">
      <c r="A60" t="s">
        <v>241</v>
      </c>
      <c r="B60" s="10">
        <f>'Escala24'!A12</f>
        <v>8</v>
      </c>
      <c r="C60" s="10">
        <f>'Escala24'!U12</f>
        <v>160</v>
      </c>
      <c r="D60" s="10">
        <f>'Escala24'!AC12</f>
        <v>108.0</v>
      </c>
      <c r="E60" s="10">
        <f>'Escala24'!AK12</f>
        <v>120.0</v>
      </c>
      <c r="F60" s="10">
        <f>'Escala24'!AS12</f>
        <v>40.0</v>
      </c>
      <c r="G60" s="10">
        <f>'Escala24'!BA12</f>
        <v>20.0</v>
      </c>
      <c r="H60" s="10">
        <f>'Escala24'!BI12</f>
        <v>448.0</v>
      </c>
      <c r="I60" s="11">
        <f>'Escala24'!BJ12</f>
        <v>2.8</v>
      </c>
      <c r="J60" s="8">
        <f>'Escala24'!X12+'Escala24'!AF12+'Escala24'!AN12+'Escala24'!AV12+'Escala24'!BD12</f>
        <v>71760.0</v>
      </c>
      <c r="K60" s="4" t="s">
        <v>258</v>
      </c>
    </row>
    <row r="61" spans="1:11">
      <c r="A61" t="s">
        <v>241</v>
      </c>
      <c r="B61" s="10">
        <f>'Escala24'!A13</f>
        <v>9</v>
      </c>
      <c r="C61" s="10">
        <f>'Escala24'!U13</f>
        <v>160</v>
      </c>
      <c r="D61" s="10">
        <f>'Escala24'!AC13</f>
        <v>120.0</v>
      </c>
      <c r="E61" s="10">
        <f>'Escala24'!AK13</f>
        <v>160.0</v>
      </c>
      <c r="F61" s="10">
        <f>'Escala24'!AS13</f>
        <v>48.0</v>
      </c>
      <c r="G61" s="10">
        <f>'Escala24'!BA13</f>
        <v>20.0</v>
      </c>
      <c r="H61" s="10">
        <f>'Escala24'!BI13</f>
        <v>508.0</v>
      </c>
      <c r="I61" s="11">
        <f>'Escala24'!BJ13</f>
        <v>3.175</v>
      </c>
      <c r="J61" s="8">
        <f>'Escala24'!X13+'Escala24'!AF13+'Escala24'!AN13+'Escala24'!AV13+'Escala24'!BD13</f>
        <v>81360.0</v>
      </c>
      <c r="K61" s="4" t="s">
        <v>258</v>
      </c>
    </row>
    <row r="62" spans="1:11">
      <c r="A62" t="s">
        <v>241</v>
      </c>
      <c r="B62" s="10">
        <f>'Escala24'!A14</f>
        <v>10</v>
      </c>
      <c r="C62" s="10">
        <f>'Escala24'!U14</f>
        <v>240</v>
      </c>
      <c r="D62" s="10">
        <f>'Escala24'!AC14</f>
        <v>144.0</v>
      </c>
      <c r="E62" s="10">
        <f>'Escala24'!AK14</f>
        <v>160.0</v>
      </c>
      <c r="F62" s="10">
        <f>'Escala24'!AS14</f>
        <v>48.0</v>
      </c>
      <c r="G62" s="10">
        <f>'Escala24'!BA14</f>
        <v>0.0</v>
      </c>
      <c r="H62" s="10">
        <f>'Escala24'!BI14</f>
        <v>592.0</v>
      </c>
      <c r="I62" s="11">
        <f>'Escala24'!BJ14</f>
        <v>3.7</v>
      </c>
      <c r="J62" s="8">
        <f>'Escala24'!X14+'Escala24'!AF14+'Escala24'!AN14+'Escala24'!AV14+'Escala24'!BD14</f>
        <v>95040.0</v>
      </c>
      <c r="K62" s="4" t="s">
        <v>258</v>
      </c>
    </row>
    <row r="63" spans="1:11">
      <c r="A63" t="s">
        <v>241</v>
      </c>
      <c r="B63" s="10">
        <f>'Escala24'!A15</f>
        <v>11</v>
      </c>
      <c r="C63" s="10">
        <f>'Escala24'!U15</f>
        <v>240</v>
      </c>
      <c r="D63" s="10">
        <f>'Escala24'!AC15</f>
        <v>144.0</v>
      </c>
      <c r="E63" s="10">
        <f>'Escala24'!AK15</f>
        <v>160.0</v>
      </c>
      <c r="F63" s="10">
        <f>'Escala24'!AS15</f>
        <v>48.0</v>
      </c>
      <c r="G63" s="10">
        <f>'Escala24'!BA15</f>
        <v>0.0</v>
      </c>
      <c r="H63" s="10">
        <f>'Escala24'!BI15</f>
        <v>592.0</v>
      </c>
      <c r="I63" s="11">
        <f>'Escala24'!BJ15</f>
        <v>3.7</v>
      </c>
      <c r="J63" s="8">
        <f>'Escala24'!X15+'Escala24'!AF15+'Escala24'!AN15+'Escala24'!AV15+'Escala24'!BD15</f>
        <v>95040.0</v>
      </c>
      <c r="K63" s="4" t="s">
        <v>258</v>
      </c>
    </row>
    <row r="64" spans="1:11">
      <c r="A64" t="s">
        <v>241</v>
      </c>
      <c r="B64" s="10">
        <f>'Escala24'!A16</f>
        <v>12</v>
      </c>
      <c r="C64" s="10">
        <f>'Escala24'!U16</f>
        <v>240</v>
      </c>
      <c r="D64" s="10">
        <f>'Escala24'!AC16</f>
        <v>144.0</v>
      </c>
      <c r="E64" s="10">
        <f>'Escala24'!AK16</f>
        <v>160.0</v>
      </c>
      <c r="F64" s="10">
        <f>'Escala24'!AS16</f>
        <v>48.0</v>
      </c>
      <c r="G64" s="10">
        <f>'Escala24'!BA16</f>
        <v>0.0</v>
      </c>
      <c r="H64" s="10">
        <f>'Escala24'!BI16</f>
        <v>592.0</v>
      </c>
      <c r="I64" s="11">
        <f>'Escala24'!BJ16</f>
        <v>3.7</v>
      </c>
      <c r="J64" s="8">
        <f>'Escala24'!X16+'Escala24'!AF16+'Escala24'!AN16+'Escala24'!AV16+'Escala24'!BD16</f>
        <v>95040.0</v>
      </c>
      <c r="K64" s="4" t="s">
        <v>258</v>
      </c>
    </row>
    <row r="65" spans="1:11">
      <c r="A65" t="s">
        <v>241</v>
      </c>
      <c r="B65" s="10">
        <f>'Escala24'!A17</f>
        <v>13</v>
      </c>
      <c r="C65" s="10">
        <f>'Escala24'!U17</f>
        <v>240</v>
      </c>
      <c r="D65" s="10">
        <f>'Escala24'!AC17</f>
        <v>180.0</v>
      </c>
      <c r="E65" s="10">
        <f>'Escala24'!AK17</f>
        <v>200.0</v>
      </c>
      <c r="F65" s="10">
        <f>'Escala24'!AS17</f>
        <v>80.0</v>
      </c>
      <c r="G65" s="10">
        <f>'Escala24'!BA17</f>
        <v>80.0</v>
      </c>
      <c r="H65" s="10">
        <f>'Escala24'!BI17</f>
        <v>780.0</v>
      </c>
      <c r="I65" s="11">
        <f>'Escala24'!BJ17</f>
        <v>4.875</v>
      </c>
      <c r="J65" s="8">
        <f>'Escala24'!X17+'Escala24'!AF17+'Escala24'!AN17+'Escala24'!AV17+'Escala24'!BD17</f>
        <v>124800.0</v>
      </c>
      <c r="K65" s="4" t="s">
        <v>258</v>
      </c>
    </row>
    <row r="66" spans="1:11">
      <c r="A66" t="s">
        <v>241</v>
      </c>
      <c r="B66" s="10">
        <f>'Escala24'!A18</f>
        <v>14</v>
      </c>
      <c r="C66" s="10">
        <f>'Escala24'!U18</f>
        <v>240</v>
      </c>
      <c r="D66" s="10">
        <f>'Escala24'!AC18</f>
        <v>180.0</v>
      </c>
      <c r="E66" s="10">
        <f>'Escala24'!AK18</f>
        <v>200.0</v>
      </c>
      <c r="F66" s="10">
        <f>'Escala24'!AS18</f>
        <v>80.0</v>
      </c>
      <c r="G66" s="10">
        <f>'Escala24'!BA18</f>
        <v>0.0</v>
      </c>
      <c r="H66" s="10">
        <f>'Escala24'!BI18</f>
        <v>700.0</v>
      </c>
      <c r="I66" s="11">
        <f>'Escala24'!BJ18</f>
        <v>4.375</v>
      </c>
      <c r="J66" s="8">
        <f>'Escala24'!X18+'Escala24'!AF18+'Escala24'!AN18+'Escala24'!AV18+'Escala24'!BD18</f>
        <v>110400.0</v>
      </c>
      <c r="K66" s="4" t="s">
        <v>258</v>
      </c>
    </row>
    <row r="67" spans="1:11">
      <c r="A67" t="s">
        <v>241</v>
      </c>
      <c r="B67" s="10">
        <f>'Escala24'!A19</f>
        <v>15</v>
      </c>
      <c r="C67" s="10">
        <f>'Escala24'!U19</f>
        <v>240</v>
      </c>
      <c r="D67" s="10">
        <f>'Escala24'!AC19</f>
        <v>180.0</v>
      </c>
      <c r="E67" s="10">
        <f>'Escala24'!AK19</f>
        <v>200.0</v>
      </c>
      <c r="F67" s="10">
        <f>'Escala24'!AS19</f>
        <v>80.0</v>
      </c>
      <c r="G67" s="10">
        <f>'Escala24'!BA19</f>
        <v>0.0</v>
      </c>
      <c r="H67" s="10">
        <f>'Escala24'!BI19</f>
        <v>700.0</v>
      </c>
      <c r="I67" s="11">
        <f>'Escala24'!BJ19</f>
        <v>4.375</v>
      </c>
      <c r="J67" s="8">
        <f>'Escala24'!X19+'Escala24'!AF19+'Escala24'!AN19+'Escala24'!AV19+'Escala24'!BD19</f>
        <v>110400.0</v>
      </c>
      <c r="K67" s="4" t="s">
        <v>258</v>
      </c>
    </row>
    <row r="68" spans="1:11">
      <c r="A68" t="s">
        <v>241</v>
      </c>
      <c r="B68" s="10">
        <f>'Escala24'!A20</f>
        <v>16</v>
      </c>
      <c r="C68" s="10">
        <f>'Escala24'!U20</f>
        <v>240</v>
      </c>
      <c r="D68" s="10">
        <f>'Escala24'!AC20</f>
        <v>180.0</v>
      </c>
      <c r="E68" s="10">
        <f>'Escala24'!AK20</f>
        <v>200.0</v>
      </c>
      <c r="F68" s="10">
        <f>'Escala24'!AS20</f>
        <v>80.0</v>
      </c>
      <c r="G68" s="10">
        <f>'Escala24'!BA20</f>
        <v>0.0</v>
      </c>
      <c r="H68" s="10">
        <f>'Escala24'!BI20</f>
        <v>700.0</v>
      </c>
      <c r="I68" s="11">
        <f>'Escala24'!BJ20</f>
        <v>4.375</v>
      </c>
      <c r="J68" s="8">
        <f>'Escala24'!X20+'Escala24'!AF20+'Escala24'!AN20+'Escala24'!AV20+'Escala24'!BD20</f>
        <v>110400.0</v>
      </c>
      <c r="K68" s="4" t="s">
        <v>258</v>
      </c>
    </row>
    <row r="69" spans="1:11">
      <c r="A69" t="s">
        <v>241</v>
      </c>
      <c r="B69" s="10">
        <f>'Escala24'!A21</f>
        <v>17</v>
      </c>
      <c r="C69" s="10">
        <f>'Escala24'!U21</f>
        <v>240</v>
      </c>
      <c r="D69" s="10">
        <f>'Escala24'!AC21</f>
        <v>180.0</v>
      </c>
      <c r="E69" s="10">
        <f>'Escala24'!AK21</f>
        <v>200.0</v>
      </c>
      <c r="F69" s="10">
        <f>'Escala24'!AS21</f>
        <v>80.0</v>
      </c>
      <c r="G69" s="10">
        <f>'Escala24'!BA21</f>
        <v>0.0</v>
      </c>
      <c r="H69" s="10">
        <f>'Escala24'!BI21</f>
        <v>700.0</v>
      </c>
      <c r="I69" s="11">
        <f>'Escala24'!BJ21</f>
        <v>4.375</v>
      </c>
      <c r="J69" s="8">
        <f>'Escala24'!X21+'Escala24'!AF21+'Escala24'!AN21+'Escala24'!AV21+'Escala24'!BD21</f>
        <v>110400.0</v>
      </c>
      <c r="K69" s="4" t="s">
        <v>258</v>
      </c>
    </row>
    <row r="70" spans="1:11">
      <c r="A70" t="s">
        <v>241</v>
      </c>
      <c r="B70" s="10">
        <f>'Escala24'!A22</f>
        <v>18</v>
      </c>
      <c r="C70" s="10">
        <f>'Escala24'!U22</f>
        <v>240</v>
      </c>
      <c r="D70" s="10">
        <f>'Escala24'!AC22</f>
        <v>180.0</v>
      </c>
      <c r="E70" s="10">
        <f>'Escala24'!AK22</f>
        <v>200.0</v>
      </c>
      <c r="F70" s="10">
        <f>'Escala24'!AS22</f>
        <v>80.0</v>
      </c>
      <c r="G70" s="10">
        <f>'Escala24'!BA22</f>
        <v>0.0</v>
      </c>
      <c r="H70" s="10">
        <f>'Escala24'!BI22</f>
        <v>700.0</v>
      </c>
      <c r="I70" s="11">
        <f>'Escala24'!BJ22</f>
        <v>4.375</v>
      </c>
      <c r="J70" s="8">
        <f>'Escala24'!X22+'Escala24'!AF22+'Escala24'!AN22+'Escala24'!AV22+'Escala24'!BD22</f>
        <v>110400.0</v>
      </c>
      <c r="K70" s="4" t="s">
        <v>258</v>
      </c>
    </row>
    <row r="71" spans="1:11">
      <c r="A71" t="s">
        <v>241</v>
      </c>
      <c r="B71" s="10">
        <f>'Escala24'!A23</f>
        <v>19</v>
      </c>
      <c r="C71" s="10">
        <f>'Escala24'!U23</f>
        <v>240</v>
      </c>
      <c r="D71" s="10">
        <f>'Escala24'!AC23</f>
        <v>180.0</v>
      </c>
      <c r="E71" s="10">
        <f>'Escala24'!AK23</f>
        <v>200.0</v>
      </c>
      <c r="F71" s="10">
        <f>'Escala24'!AS23</f>
        <v>80.0</v>
      </c>
      <c r="G71" s="10">
        <f>'Escala24'!BA23</f>
        <v>0.0</v>
      </c>
      <c r="H71" s="10">
        <f>'Escala24'!BI23</f>
        <v>700.0</v>
      </c>
      <c r="I71" s="11">
        <f>'Escala24'!BJ23</f>
        <v>4.375</v>
      </c>
      <c r="J71" s="8">
        <f>'Escala24'!X23+'Escala24'!AF23+'Escala24'!AN23+'Escala24'!AV23+'Escala24'!BD23</f>
        <v>110400.0</v>
      </c>
      <c r="K71" s="4" t="s">
        <v>258</v>
      </c>
    </row>
    <row r="72" spans="1:11">
      <c r="A72" t="s">
        <v>241</v>
      </c>
      <c r="B72" s="10">
        <f>'Escala24'!A24</f>
        <v>20</v>
      </c>
      <c r="C72" s="10">
        <f>'Escala24'!U24</f>
        <v>240</v>
      </c>
      <c r="D72" s="10">
        <f>'Escala24'!AC24</f>
        <v>180.0</v>
      </c>
      <c r="E72" s="10">
        <f>'Escala24'!AK24</f>
        <v>200.0</v>
      </c>
      <c r="F72" s="10">
        <f>'Escala24'!AS24</f>
        <v>80.0</v>
      </c>
      <c r="G72" s="10">
        <f>'Escala24'!BA24</f>
        <v>0.0</v>
      </c>
      <c r="H72" s="10">
        <f>'Escala24'!BI24</f>
        <v>700.0</v>
      </c>
      <c r="I72" s="11">
        <f>'Escala24'!BJ24</f>
        <v>4.375</v>
      </c>
      <c r="J72" s="8">
        <f>'Escala24'!X24+'Escala24'!AF24+'Escala24'!AN24+'Escala24'!AV24+'Escala24'!BD24</f>
        <v>110400.0</v>
      </c>
      <c r="K72" s="4" t="s">
        <v>258</v>
      </c>
    </row>
    <row r="73" spans="1:11">
      <c r="A73" t="s">
        <v>241</v>
      </c>
      <c r="B73" s="10">
        <f>'Escala24'!A25</f>
        <v>21</v>
      </c>
      <c r="C73" s="10">
        <f>'Escala24'!U25</f>
        <v>240</v>
      </c>
      <c r="D73" s="10">
        <f>'Escala24'!AC25</f>
        <v>180.0</v>
      </c>
      <c r="E73" s="10">
        <f>'Escala24'!AK25</f>
        <v>200.0</v>
      </c>
      <c r="F73" s="10">
        <f>'Escala24'!AS25</f>
        <v>80.0</v>
      </c>
      <c r="G73" s="10">
        <f>'Escala24'!BA25</f>
        <v>0.0</v>
      </c>
      <c r="H73" s="10">
        <f>'Escala24'!BI25</f>
        <v>700.0</v>
      </c>
      <c r="I73" s="11">
        <f>'Escala24'!BJ25</f>
        <v>4.375</v>
      </c>
      <c r="J73" s="8">
        <f>'Escala24'!X25+'Escala24'!AF25+'Escala24'!AN25+'Escala24'!AV25+'Escala24'!BD25</f>
        <v>110400.0</v>
      </c>
      <c r="K73" s="4" t="s">
        <v>258</v>
      </c>
    </row>
    <row r="74" spans="1:11">
      <c r="A74" t="s">
        <v>241</v>
      </c>
      <c r="B74" s="10">
        <f>'Escala24'!A26</f>
        <v>22</v>
      </c>
      <c r="C74" s="10">
        <f>'Escala24'!U26</f>
        <v>240</v>
      </c>
      <c r="D74" s="10">
        <f>'Escala24'!AC26</f>
        <v>180.0</v>
      </c>
      <c r="E74" s="10">
        <f>'Escala24'!AK26</f>
        <v>200.0</v>
      </c>
      <c r="F74" s="10">
        <f>'Escala24'!AS26</f>
        <v>80.0</v>
      </c>
      <c r="G74" s="10">
        <f>'Escala24'!BA26</f>
        <v>0.0</v>
      </c>
      <c r="H74" s="10">
        <f>'Escala24'!BI26</f>
        <v>700.0</v>
      </c>
      <c r="I74" s="11">
        <f>'Escala24'!BJ26</f>
        <v>4.375</v>
      </c>
      <c r="J74" s="8">
        <f>'Escala24'!X26+'Escala24'!AF26+'Escala24'!AN26+'Escala24'!AV26+'Escala24'!BD26</f>
        <v>110400.0</v>
      </c>
      <c r="K74" s="4" t="s">
        <v>258</v>
      </c>
    </row>
    <row r="75" spans="1:11">
      <c r="A75" t="s">
        <v>241</v>
      </c>
      <c r="B75" s="10">
        <f>'Escala24'!A27</f>
        <v>23</v>
      </c>
      <c r="C75" s="10">
        <f>'Escala24'!U27</f>
        <v>240</v>
      </c>
      <c r="D75" s="10">
        <f>'Escala24'!AC27</f>
        <v>180.0</v>
      </c>
      <c r="E75" s="10">
        <f>'Escala24'!AK27</f>
        <v>200.0</v>
      </c>
      <c r="F75" s="10">
        <f>'Escala24'!AS27</f>
        <v>80.0</v>
      </c>
      <c r="G75" s="10">
        <f>'Escala24'!BA27</f>
        <v>0.0</v>
      </c>
      <c r="H75" s="10">
        <f>'Escala24'!BI27</f>
        <v>700.0</v>
      </c>
      <c r="I75" s="11">
        <f>'Escala24'!BJ27</f>
        <v>4.375</v>
      </c>
      <c r="J75" s="8">
        <f>'Escala24'!X27+'Escala24'!AF27+'Escala24'!AN27+'Escala24'!AV27+'Escala24'!BD27</f>
        <v>110400.0</v>
      </c>
      <c r="K75" s="4" t="s">
        <v>258</v>
      </c>
    </row>
    <row r="76" spans="1:11">
      <c r="A76" t="s">
        <v>241</v>
      </c>
      <c r="B76" s="10">
        <f>'Escala24'!A28</f>
        <v>24</v>
      </c>
      <c r="C76" s="10">
        <f>'Escala24'!U28</f>
        <v>240</v>
      </c>
      <c r="D76" s="10">
        <f>'Escala24'!AC28</f>
        <v>180.0</v>
      </c>
      <c r="E76" s="10">
        <f>'Escala24'!AK28</f>
        <v>200.0</v>
      </c>
      <c r="F76" s="10">
        <f>'Escala24'!AS28</f>
        <v>80.0</v>
      </c>
      <c r="G76" s="10">
        <f>'Escala24'!BA28</f>
        <v>0.0</v>
      </c>
      <c r="H76" s="10">
        <f>'Escala24'!BI28</f>
        <v>700.0</v>
      </c>
      <c r="I76" s="11">
        <f>'Escala24'!BJ28</f>
        <v>4.375</v>
      </c>
      <c r="J76" s="8">
        <f>'Escala24'!X28+'Escala24'!AF28+'Escala24'!AN28+'Escala24'!AV28+'Escala24'!BD28</f>
        <v>110400.0</v>
      </c>
      <c r="K76" s="4" t="s">
        <v>258</v>
      </c>
    </row>
    <row r="77" spans="1:11">
      <c r="A77" t="s">
        <v>242</v>
      </c>
      <c r="B77" s="10">
        <f>'CAC15'!A5</f>
        <v>1</v>
      </c>
      <c r="C77" s="10">
        <f>'CAC15'!U5</f>
        <v>0</v>
      </c>
      <c r="D77" s="10">
        <f>'CAC15'!AC5</f>
        <v>0.0</v>
      </c>
      <c r="E77" s="10">
        <f>'CAC15'!AK5</f>
        <v>0.0</v>
      </c>
      <c r="F77" s="10">
        <f>'CAC15'!AS5</f>
        <v>0.0</v>
      </c>
      <c r="G77" s="10">
        <f>'CAC15'!BA5</f>
        <v>0.0</v>
      </c>
      <c r="H77" s="10">
        <f>'CAC15'!BI5</f>
        <v>0.0</v>
      </c>
      <c r="I77" s="11">
        <f>'CAC15'!BJ5</f>
        <v>0.0</v>
      </c>
      <c r="J77" s="8">
        <f>'CAC15'!X5+'CAC15'!AF5+'CAC15'!AN5+'CAC15'!AV5+'CAC15'!BD5</f>
        <v>0.0</v>
      </c>
      <c r="K77" s="4" t="s">
        <v>258</v>
      </c>
    </row>
    <row r="78" spans="1:11">
      <c r="A78" t="s">
        <v>242</v>
      </c>
      <c r="B78" s="10">
        <f>'CAC15'!A6</f>
        <v>2</v>
      </c>
      <c r="C78" s="10">
        <f>'CAC15'!U6</f>
        <v>0</v>
      </c>
      <c r="D78" s="10">
        <f>'CAC15'!AC6</f>
        <v>0.0</v>
      </c>
      <c r="E78" s="10">
        <f>'CAC15'!AK6</f>
        <v>0.0</v>
      </c>
      <c r="F78" s="10">
        <f>'CAC15'!AS6</f>
        <v>0.0</v>
      </c>
      <c r="G78" s="10">
        <f>'CAC15'!BA6</f>
        <v>0.0</v>
      </c>
      <c r="H78" s="10">
        <f>'CAC15'!BI6</f>
        <v>0.0</v>
      </c>
      <c r="I78" s="11">
        <f>'CAC15'!BJ6</f>
        <v>0.0</v>
      </c>
      <c r="J78" s="8">
        <f>'CAC15'!X6+'CAC15'!AF6+'CAC15'!AN6+'CAC15'!AV6+'CAC15'!BD6</f>
        <v>0.0</v>
      </c>
      <c r="K78" s="4" t="s">
        <v>258</v>
      </c>
    </row>
    <row r="79" spans="1:11">
      <c r="A79" t="s">
        <v>242</v>
      </c>
      <c r="B79" s="10">
        <f>'CAC15'!A7</f>
        <v>3</v>
      </c>
      <c r="C79" s="10">
        <f>'CAC15'!U7</f>
        <v>80</v>
      </c>
      <c r="D79" s="10">
        <f>'CAC15'!AC7</f>
        <v>12.0</v>
      </c>
      <c r="E79" s="10">
        <f>'CAC15'!AK7</f>
        <v>40.0</v>
      </c>
      <c r="F79" s="10">
        <f>'CAC15'!AS7</f>
        <v>0.0</v>
      </c>
      <c r="G79" s="10">
        <f>'CAC15'!BA7</f>
        <v>0.0</v>
      </c>
      <c r="H79" s="10">
        <f>'CAC15'!BI7</f>
        <v>132.0</v>
      </c>
      <c r="I79" s="11">
        <f>'CAC15'!BJ7</f>
        <v>0.825</v>
      </c>
      <c r="J79" s="8">
        <f>'CAC15'!X7+'CAC15'!AF7+'CAC15'!AN7+'CAC15'!AV7+'CAC15'!BD7</f>
        <v>23040.0</v>
      </c>
      <c r="K79" s="4" t="s">
        <v>258</v>
      </c>
    </row>
    <row r="80" spans="1:11">
      <c r="A80" t="s">
        <v>242</v>
      </c>
      <c r="B80" s="10">
        <f>'CAC15'!A8</f>
        <v>4</v>
      </c>
      <c r="C80" s="10">
        <f>'CAC15'!U8</f>
        <v>0</v>
      </c>
      <c r="D80" s="10">
        <f>'CAC15'!AC8</f>
        <v>24.0</v>
      </c>
      <c r="E80" s="10">
        <f>'CAC15'!AK8</f>
        <v>40.0</v>
      </c>
      <c r="F80" s="10">
        <f>'CAC15'!AS8</f>
        <v>8.0</v>
      </c>
      <c r="G80" s="10">
        <f>'CAC15'!BA8</f>
        <v>20.0</v>
      </c>
      <c r="H80" s="10">
        <f>'CAC15'!BI8</f>
        <v>92.0</v>
      </c>
      <c r="I80" s="11">
        <f>'CAC15'!BJ8</f>
        <v>0.575</v>
      </c>
      <c r="J80" s="8">
        <f>'CAC15'!X8+'CAC15'!AF8+'CAC15'!AN8+'CAC15'!AV8+'CAC15'!BD8</f>
        <v>14640.0</v>
      </c>
      <c r="K80" s="4" t="s">
        <v>258</v>
      </c>
    </row>
    <row r="81" spans="1:11">
      <c r="A81" t="s">
        <v>242</v>
      </c>
      <c r="B81" s="10">
        <f>'CAC15'!A9</f>
        <v>5</v>
      </c>
      <c r="C81" s="10">
        <f>'CAC15'!U9</f>
        <v>80</v>
      </c>
      <c r="D81" s="10">
        <f>'CAC15'!AC9</f>
        <v>36.0</v>
      </c>
      <c r="E81" s="10">
        <f>'CAC15'!AK9</f>
        <v>40.0</v>
      </c>
      <c r="F81" s="10">
        <f>'CAC15'!AS9</f>
        <v>16.0</v>
      </c>
      <c r="G81" s="10">
        <f>'CAC15'!BA9</f>
        <v>20.0</v>
      </c>
      <c r="H81" s="10">
        <f>'CAC15'!BI9</f>
        <v>192.0</v>
      </c>
      <c r="I81" s="11">
        <f>'CAC15'!BJ9</f>
        <v>1.2</v>
      </c>
      <c r="J81" s="8">
        <f>'CAC15'!X9+'CAC15'!AF9+'CAC15'!AN9+'CAC15'!AV9+'CAC15'!BD9</f>
        <v>31440.0</v>
      </c>
      <c r="K81" s="4" t="s">
        <v>258</v>
      </c>
    </row>
    <row r="82" spans="1:11">
      <c r="A82" t="s">
        <v>242</v>
      </c>
      <c r="B82" s="10">
        <f>'CAC15'!A10</f>
        <v>6</v>
      </c>
      <c r="C82" s="10">
        <f>'CAC15'!U10</f>
        <v>0</v>
      </c>
      <c r="D82" s="10">
        <f>'CAC15'!AC10</f>
        <v>48.0</v>
      </c>
      <c r="E82" s="10">
        <f>'CAC15'!AK10</f>
        <v>40.0</v>
      </c>
      <c r="F82" s="10">
        <f>'CAC15'!AS10</f>
        <v>16.0</v>
      </c>
      <c r="G82" s="10">
        <f>'CAC15'!BA10</f>
        <v>0.0</v>
      </c>
      <c r="H82" s="10">
        <f>'CAC15'!BI10</f>
        <v>104.0</v>
      </c>
      <c r="I82" s="11">
        <f>'CAC15'!BJ10</f>
        <v>0.65</v>
      </c>
      <c r="J82" s="8">
        <f>'CAC15'!X10+'CAC15'!AF10+'CAC15'!AN10+'CAC15'!AV10+'CAC15'!BD10</f>
        <v>14880.0</v>
      </c>
      <c r="K82" s="4" t="s">
        <v>258</v>
      </c>
    </row>
    <row r="83" spans="1:11">
      <c r="A83" t="s">
        <v>242</v>
      </c>
      <c r="B83" s="10">
        <f>'CAC15'!A11</f>
        <v>7</v>
      </c>
      <c r="C83" s="10">
        <f>'CAC15'!U11</f>
        <v>80</v>
      </c>
      <c r="D83" s="10">
        <f>'CAC15'!AC11</f>
        <v>60.0</v>
      </c>
      <c r="E83" s="10">
        <f>'CAC15'!AK11</f>
        <v>80.0</v>
      </c>
      <c r="F83" s="10">
        <f>'CAC15'!AS11</f>
        <v>24.0</v>
      </c>
      <c r="G83" s="10">
        <f>'CAC15'!BA11</f>
        <v>20.0</v>
      </c>
      <c r="H83" s="10">
        <f>'CAC15'!BI11</f>
        <v>264.0</v>
      </c>
      <c r="I83" s="11">
        <f>'CAC15'!BJ11</f>
        <v>1.65</v>
      </c>
      <c r="J83" s="8">
        <f>'CAC15'!X11+'CAC15'!AF11+'CAC15'!AN11+'CAC15'!AV11+'CAC15'!BD11</f>
        <v>42480.0</v>
      </c>
      <c r="K83" s="4" t="s">
        <v>258</v>
      </c>
    </row>
    <row r="84" spans="1:11">
      <c r="A84" t="s">
        <v>242</v>
      </c>
      <c r="B84" s="10">
        <f>'CAC15'!A12</f>
        <v>8</v>
      </c>
      <c r="C84" s="10">
        <f>'CAC15'!U12</f>
        <v>80</v>
      </c>
      <c r="D84" s="10">
        <f>'CAC15'!AC12</f>
        <v>72.0</v>
      </c>
      <c r="E84" s="10">
        <f>'CAC15'!AK12</f>
        <v>80.0</v>
      </c>
      <c r="F84" s="10">
        <f>'CAC15'!AS12</f>
        <v>24.0</v>
      </c>
      <c r="G84" s="10">
        <f>'CAC15'!BA12</f>
        <v>0.0</v>
      </c>
      <c r="H84" s="10">
        <f>'CAC15'!BI12</f>
        <v>256.0</v>
      </c>
      <c r="I84" s="11">
        <f>'CAC15'!BJ12</f>
        <v>1.6</v>
      </c>
      <c r="J84" s="8">
        <f>'CAC15'!X12+'CAC15'!AF12+'CAC15'!AN12+'CAC15'!AV12+'CAC15'!BD12</f>
        <v>40320.0</v>
      </c>
      <c r="K84" s="4" t="s">
        <v>258</v>
      </c>
    </row>
    <row r="85" spans="1:11">
      <c r="A85" t="s">
        <v>242</v>
      </c>
      <c r="B85" s="10">
        <f>'CAC15'!A13</f>
        <v>9</v>
      </c>
      <c r="C85" s="10">
        <f>'CAC15'!U13</f>
        <v>80</v>
      </c>
      <c r="D85" s="10">
        <f>'CAC15'!AC13</f>
        <v>84.0</v>
      </c>
      <c r="E85" s="10">
        <f>'CAC15'!AK13</f>
        <v>80.0</v>
      </c>
      <c r="F85" s="10">
        <f>'CAC15'!AS13</f>
        <v>32.0</v>
      </c>
      <c r="G85" s="10">
        <f>'CAC15'!BA13</f>
        <v>20.0</v>
      </c>
      <c r="H85" s="10">
        <f>'CAC15'!BI13</f>
        <v>296.0</v>
      </c>
      <c r="I85" s="11">
        <f>'CAC15'!BJ13</f>
        <v>1.85</v>
      </c>
      <c r="J85" s="8">
        <f>'CAC15'!X13+'CAC15'!AF13+'CAC15'!AN13+'CAC15'!AV13+'CAC15'!BD13</f>
        <v>46320.0</v>
      </c>
      <c r="K85" s="4" t="s">
        <v>258</v>
      </c>
    </row>
    <row r="86" spans="1:11">
      <c r="A86" t="s">
        <v>242</v>
      </c>
      <c r="B86" s="10">
        <f>'CAC15'!A14</f>
        <v>10</v>
      </c>
      <c r="C86" s="10">
        <f>'CAC15'!U14</f>
        <v>80</v>
      </c>
      <c r="D86" s="10">
        <f>'CAC15'!AC14</f>
        <v>96.0</v>
      </c>
      <c r="E86" s="10">
        <f>'CAC15'!AK14</f>
        <v>80.0</v>
      </c>
      <c r="F86" s="10">
        <f>'CAC15'!AS14</f>
        <v>32.0</v>
      </c>
      <c r="G86" s="10">
        <f>'CAC15'!BA14</f>
        <v>0.0</v>
      </c>
      <c r="H86" s="10">
        <f>'CAC15'!BI14</f>
        <v>288.0</v>
      </c>
      <c r="I86" s="11">
        <f>'CAC15'!BJ14</f>
        <v>1.8</v>
      </c>
      <c r="J86" s="8">
        <f>'CAC15'!X14+'CAC15'!AF14+'CAC15'!AN14+'CAC15'!AV14+'CAC15'!BD14</f>
        <v>44160.0</v>
      </c>
      <c r="K86" s="4" t="s">
        <v>258</v>
      </c>
    </row>
    <row r="87" spans="1:11">
      <c r="A87" t="s">
        <v>242</v>
      </c>
      <c r="B87" s="10">
        <f>'CAC15'!A15</f>
        <v>11</v>
      </c>
      <c r="C87" s="10">
        <f>'CAC15'!U15</f>
        <v>80</v>
      </c>
      <c r="D87" s="10">
        <f>'CAC15'!AC15</f>
        <v>96.0</v>
      </c>
      <c r="E87" s="10">
        <f>'CAC15'!AK15</f>
        <v>80.0</v>
      </c>
      <c r="F87" s="10">
        <f>'CAC15'!AS15</f>
        <v>32.0</v>
      </c>
      <c r="G87" s="10">
        <f>'CAC15'!BA15</f>
        <v>0.0</v>
      </c>
      <c r="H87" s="10">
        <f>'CAC15'!BI15</f>
        <v>288.0</v>
      </c>
      <c r="I87" s="11">
        <f>'CAC15'!BJ15</f>
        <v>1.8</v>
      </c>
      <c r="J87" s="8">
        <f>'CAC15'!X15+'CAC15'!AF15+'CAC15'!AN15+'CAC15'!AV15+'CAC15'!BD15</f>
        <v>44160.0</v>
      </c>
      <c r="K87" s="4" t="s">
        <v>258</v>
      </c>
    </row>
    <row r="88" spans="1:11">
      <c r="A88" t="s">
        <v>242</v>
      </c>
      <c r="B88" s="10">
        <f>'CAC15'!A16</f>
        <v>12</v>
      </c>
      <c r="C88" s="10">
        <f>'CAC15'!U16</f>
        <v>80</v>
      </c>
      <c r="D88" s="10">
        <f>'CAC15'!AC16</f>
        <v>96.0</v>
      </c>
      <c r="E88" s="10">
        <f>'CAC15'!AK16</f>
        <v>80.0</v>
      </c>
      <c r="F88" s="10">
        <f>'CAC15'!AS16</f>
        <v>32.0</v>
      </c>
      <c r="G88" s="10">
        <f>'CAC15'!BA16</f>
        <v>0.0</v>
      </c>
      <c r="H88" s="10">
        <f>'CAC15'!BI16</f>
        <v>288.0</v>
      </c>
      <c r="I88" s="11">
        <f>'CAC15'!BJ16</f>
        <v>1.8</v>
      </c>
      <c r="J88" s="8">
        <f>'CAC15'!X16+'CAC15'!AF16+'CAC15'!AN16+'CAC15'!AV16+'CAC15'!BD16</f>
        <v>44160.0</v>
      </c>
      <c r="K88" s="4" t="s">
        <v>258</v>
      </c>
    </row>
    <row r="89" spans="1:11">
      <c r="A89" t="s">
        <v>242</v>
      </c>
      <c r="B89" s="10">
        <f>'CAC15'!A17</f>
        <v>13</v>
      </c>
      <c r="C89" s="10">
        <f>'CAC15'!U17</f>
        <v>160</v>
      </c>
      <c r="D89" s="10">
        <f>'CAC15'!AC17</f>
        <v>120.0</v>
      </c>
      <c r="E89" s="10">
        <f>'CAC15'!AK17</f>
        <v>120.0</v>
      </c>
      <c r="F89" s="10">
        <f>'CAC15'!AS17</f>
        <v>48.0</v>
      </c>
      <c r="G89" s="10">
        <f>'CAC15'!BA17</f>
        <v>40.0</v>
      </c>
      <c r="H89" s="10">
        <f>'CAC15'!BI17</f>
        <v>488.0</v>
      </c>
      <c r="I89" s="11">
        <f>'CAC15'!BJ17</f>
        <v>3.05</v>
      </c>
      <c r="J89" s="8">
        <f>'CAC15'!X17+'CAC15'!AF17+'CAC15'!AN17+'CAC15'!AV17+'CAC15'!BD17</f>
        <v>77760.0</v>
      </c>
      <c r="K89" s="4" t="s">
        <v>258</v>
      </c>
    </row>
    <row r="90" spans="1:11">
      <c r="A90" t="s">
        <v>242</v>
      </c>
      <c r="B90" s="10">
        <f>'CAC15'!A18</f>
        <v>14</v>
      </c>
      <c r="C90" s="10">
        <f>'CAC15'!U18</f>
        <v>160</v>
      </c>
      <c r="D90" s="10">
        <f>'CAC15'!AC18</f>
        <v>120.0</v>
      </c>
      <c r="E90" s="10">
        <f>'CAC15'!AK18</f>
        <v>120.0</v>
      </c>
      <c r="F90" s="10">
        <f>'CAC15'!AS18</f>
        <v>48.0</v>
      </c>
      <c r="G90" s="10">
        <f>'CAC15'!BA18</f>
        <v>0.0</v>
      </c>
      <c r="H90" s="10">
        <f>'CAC15'!BI18</f>
        <v>448.0</v>
      </c>
      <c r="I90" s="11">
        <f>'CAC15'!BJ18</f>
        <v>2.8</v>
      </c>
      <c r="J90" s="8">
        <f>'CAC15'!X18+'CAC15'!AF18+'CAC15'!AN18+'CAC15'!AV18+'CAC15'!BD18</f>
        <v>70560.0</v>
      </c>
      <c r="K90" s="4" t="s">
        <v>258</v>
      </c>
    </row>
    <row r="91" spans="1:11">
      <c r="A91" t="s">
        <v>242</v>
      </c>
      <c r="B91" s="10">
        <f>'CAC15'!A19</f>
        <v>15</v>
      </c>
      <c r="C91" s="10">
        <f>'CAC15'!U19</f>
        <v>160</v>
      </c>
      <c r="D91" s="10">
        <f>'CAC15'!AC19</f>
        <v>120.0</v>
      </c>
      <c r="E91" s="10">
        <f>'CAC15'!AK19</f>
        <v>120.0</v>
      </c>
      <c r="F91" s="10">
        <f>'CAC15'!AS19</f>
        <v>48.0</v>
      </c>
      <c r="G91" s="10">
        <f>'CAC15'!BA19</f>
        <v>0.0</v>
      </c>
      <c r="H91" s="10">
        <f>'CAC15'!BI19</f>
        <v>448.0</v>
      </c>
      <c r="I91" s="11">
        <f>'CAC15'!BJ19</f>
        <v>2.8</v>
      </c>
      <c r="J91" s="8">
        <f>'CAC15'!X19+'CAC15'!AF19+'CAC15'!AN19+'CAC15'!AV19+'CAC15'!BD19</f>
        <v>70560.0</v>
      </c>
      <c r="K91" s="4" t="s">
        <v>258</v>
      </c>
    </row>
    <row r="92" spans="1:11">
      <c r="A92" t="s">
        <v>242</v>
      </c>
      <c r="B92" s="10">
        <f>'CAC15'!A20</f>
        <v>16</v>
      </c>
      <c r="C92" s="10">
        <f>'CAC15'!U20</f>
        <v>160</v>
      </c>
      <c r="D92" s="10">
        <f>'CAC15'!AC20</f>
        <v>120.0</v>
      </c>
      <c r="E92" s="10">
        <f>'CAC15'!AK20</f>
        <v>120.0</v>
      </c>
      <c r="F92" s="10">
        <f>'CAC15'!AS20</f>
        <v>48.0</v>
      </c>
      <c r="G92" s="10">
        <f>'CAC15'!BA20</f>
        <v>0.0</v>
      </c>
      <c r="H92" s="10">
        <f>'CAC15'!BI20</f>
        <v>448.0</v>
      </c>
      <c r="I92" s="11">
        <f>'CAC15'!BJ20</f>
        <v>2.8</v>
      </c>
      <c r="J92" s="8">
        <f>'CAC15'!X20+'CAC15'!AF20+'CAC15'!AN20+'CAC15'!AV20+'CAC15'!BD20</f>
        <v>70560.0</v>
      </c>
      <c r="K92" s="4" t="s">
        <v>258</v>
      </c>
    </row>
    <row r="93" spans="1:11">
      <c r="A93" t="s">
        <v>242</v>
      </c>
      <c r="B93" s="10">
        <f>'CAC15'!A21</f>
        <v>17</v>
      </c>
      <c r="C93" s="10">
        <f>'CAC15'!U21</f>
        <v>160</v>
      </c>
      <c r="D93" s="10">
        <f>'CAC15'!AC21</f>
        <v>120.0</v>
      </c>
      <c r="E93" s="10">
        <f>'CAC15'!AK21</f>
        <v>120.0</v>
      </c>
      <c r="F93" s="10">
        <f>'CAC15'!AS21</f>
        <v>48.0</v>
      </c>
      <c r="G93" s="10">
        <f>'CAC15'!BA21</f>
        <v>0.0</v>
      </c>
      <c r="H93" s="10">
        <f>'CAC15'!BI21</f>
        <v>448.0</v>
      </c>
      <c r="I93" s="11">
        <f>'CAC15'!BJ21</f>
        <v>2.8</v>
      </c>
      <c r="J93" s="8">
        <f>'CAC15'!X21+'CAC15'!AF21+'CAC15'!AN21+'CAC15'!AV21+'CAC15'!BD21</f>
        <v>70560.0</v>
      </c>
      <c r="K93" s="4" t="s">
        <v>258</v>
      </c>
    </row>
    <row r="94" spans="1:11">
      <c r="A94" t="s">
        <v>242</v>
      </c>
      <c r="B94" s="10">
        <f>'CAC15'!A22</f>
        <v>18</v>
      </c>
      <c r="C94" s="10">
        <f>'CAC15'!U22</f>
        <v>160</v>
      </c>
      <c r="D94" s="10">
        <f>'CAC15'!AC22</f>
        <v>120.0</v>
      </c>
      <c r="E94" s="10">
        <f>'CAC15'!AK22</f>
        <v>120.0</v>
      </c>
      <c r="F94" s="10">
        <f>'CAC15'!AS22</f>
        <v>48.0</v>
      </c>
      <c r="G94" s="10">
        <f>'CAC15'!BA22</f>
        <v>0.0</v>
      </c>
      <c r="H94" s="10">
        <f>'CAC15'!BI22</f>
        <v>448.0</v>
      </c>
      <c r="I94" s="11">
        <f>'CAC15'!BJ22</f>
        <v>2.8</v>
      </c>
      <c r="J94" s="8">
        <f>'CAC15'!X22+'CAC15'!AF22+'CAC15'!AN22+'CAC15'!AV22+'CAC15'!BD22</f>
        <v>70560.0</v>
      </c>
      <c r="K94" s="4" t="s">
        <v>258</v>
      </c>
    </row>
    <row r="95" spans="1:11">
      <c r="A95" t="s">
        <v>242</v>
      </c>
      <c r="B95" s="10">
        <f>'CAC15'!A23</f>
        <v>19</v>
      </c>
      <c r="C95" s="10">
        <f>'CAC15'!U23</f>
        <v>160</v>
      </c>
      <c r="D95" s="10">
        <f>'CAC15'!AC23</f>
        <v>120.0</v>
      </c>
      <c r="E95" s="10">
        <f>'CAC15'!AK23</f>
        <v>120.0</v>
      </c>
      <c r="F95" s="10">
        <f>'CAC15'!AS23</f>
        <v>48.0</v>
      </c>
      <c r="G95" s="10">
        <f>'CAC15'!BA23</f>
        <v>0.0</v>
      </c>
      <c r="H95" s="10">
        <f>'CAC15'!BI23</f>
        <v>448.0</v>
      </c>
      <c r="I95" s="11">
        <f>'CAC15'!BJ23</f>
        <v>2.8</v>
      </c>
      <c r="J95" s="8">
        <f>'CAC15'!X23+'CAC15'!AF23+'CAC15'!AN23+'CAC15'!AV23+'CAC15'!BD23</f>
        <v>70560.0</v>
      </c>
      <c r="K95" s="4" t="s">
        <v>258</v>
      </c>
    </row>
    <row r="96" spans="1:11">
      <c r="A96" t="s">
        <v>242</v>
      </c>
      <c r="B96" s="10">
        <f>'CAC15'!A24</f>
        <v>20</v>
      </c>
      <c r="C96" s="10">
        <f>'CAC15'!U24</f>
        <v>160</v>
      </c>
      <c r="D96" s="10">
        <f>'CAC15'!AC24</f>
        <v>120.0</v>
      </c>
      <c r="E96" s="10">
        <f>'CAC15'!AK24</f>
        <v>120.0</v>
      </c>
      <c r="F96" s="10">
        <f>'CAC15'!AS24</f>
        <v>48.0</v>
      </c>
      <c r="G96" s="10">
        <f>'CAC15'!BA24</f>
        <v>0.0</v>
      </c>
      <c r="H96" s="10">
        <f>'CAC15'!BI24</f>
        <v>448.0</v>
      </c>
      <c r="I96" s="11">
        <f>'CAC15'!BJ24</f>
        <v>2.8</v>
      </c>
      <c r="J96" s="8">
        <f>'CAC15'!X24+'CAC15'!AF24+'CAC15'!AN24+'CAC15'!AV24+'CAC15'!BD24</f>
        <v>70560.0</v>
      </c>
      <c r="K96" s="4" t="s">
        <v>258</v>
      </c>
    </row>
    <row r="97" spans="1:11">
      <c r="A97" t="s">
        <v>242</v>
      </c>
      <c r="B97" s="10">
        <f>'CAC15'!A25</f>
        <v>21</v>
      </c>
      <c r="C97" s="10">
        <f>'CAC15'!U25</f>
        <v>160</v>
      </c>
      <c r="D97" s="10">
        <f>'CAC15'!AC25</f>
        <v>120.0</v>
      </c>
      <c r="E97" s="10">
        <f>'CAC15'!AK25</f>
        <v>120.0</v>
      </c>
      <c r="F97" s="10">
        <f>'CAC15'!AS25</f>
        <v>48.0</v>
      </c>
      <c r="G97" s="10">
        <f>'CAC15'!BA25</f>
        <v>0.0</v>
      </c>
      <c r="H97" s="10">
        <f>'CAC15'!BI25</f>
        <v>448.0</v>
      </c>
      <c r="I97" s="11">
        <f>'CAC15'!BJ25</f>
        <v>2.8</v>
      </c>
      <c r="J97" s="8">
        <f>'CAC15'!X25+'CAC15'!AF25+'CAC15'!AN25+'CAC15'!AV25+'CAC15'!BD25</f>
        <v>70560.0</v>
      </c>
      <c r="K97" s="4" t="s">
        <v>258</v>
      </c>
    </row>
    <row r="98" spans="1:11">
      <c r="A98" t="s">
        <v>242</v>
      </c>
      <c r="B98" s="10">
        <f>'CAC15'!A26</f>
        <v>22</v>
      </c>
      <c r="C98" s="10">
        <f>'CAC15'!U26</f>
        <v>160</v>
      </c>
      <c r="D98" s="10">
        <f>'CAC15'!AC26</f>
        <v>120.0</v>
      </c>
      <c r="E98" s="10">
        <f>'CAC15'!AK26</f>
        <v>120.0</v>
      </c>
      <c r="F98" s="10">
        <f>'CAC15'!AS26</f>
        <v>48.0</v>
      </c>
      <c r="G98" s="10">
        <f>'CAC15'!BA26</f>
        <v>0.0</v>
      </c>
      <c r="H98" s="10">
        <f>'CAC15'!BI26</f>
        <v>448.0</v>
      </c>
      <c r="I98" s="11">
        <f>'CAC15'!BJ26</f>
        <v>2.8</v>
      </c>
      <c r="J98" s="8">
        <f>'CAC15'!X26+'CAC15'!AF26+'CAC15'!AN26+'CAC15'!AV26+'CAC15'!BD26</f>
        <v>70560.0</v>
      </c>
      <c r="K98" s="4" t="s">
        <v>258</v>
      </c>
    </row>
    <row r="99" spans="1:11">
      <c r="A99" t="s">
        <v>242</v>
      </c>
      <c r="B99" s="10">
        <f>'CAC15'!A27</f>
        <v>23</v>
      </c>
      <c r="C99" s="10">
        <f>'CAC15'!U27</f>
        <v>160</v>
      </c>
      <c r="D99" s="10">
        <f>'CAC15'!AC27</f>
        <v>120.0</v>
      </c>
      <c r="E99" s="10">
        <f>'CAC15'!AK27</f>
        <v>120.0</v>
      </c>
      <c r="F99" s="10">
        <f>'CAC15'!AS27</f>
        <v>48.0</v>
      </c>
      <c r="G99" s="10">
        <f>'CAC15'!BA27</f>
        <v>0.0</v>
      </c>
      <c r="H99" s="10">
        <f>'CAC15'!BI27</f>
        <v>448.0</v>
      </c>
      <c r="I99" s="11">
        <f>'CAC15'!BJ27</f>
        <v>2.8</v>
      </c>
      <c r="J99" s="8">
        <f>'CAC15'!X27+'CAC15'!AF27+'CAC15'!AN27+'CAC15'!AV27+'CAC15'!BD27</f>
        <v>70560.0</v>
      </c>
      <c r="K99" s="4" t="s">
        <v>258</v>
      </c>
    </row>
    <row r="100" spans="1:11">
      <c r="A100" t="s">
        <v>242</v>
      </c>
      <c r="B100" s="10">
        <f>'CAC15'!A28</f>
        <v>24</v>
      </c>
      <c r="C100" s="10">
        <f>'CAC15'!U28</f>
        <v>160</v>
      </c>
      <c r="D100" s="10">
        <f>'CAC15'!AC28</f>
        <v>120.0</v>
      </c>
      <c r="E100" s="10">
        <f>'CAC15'!AK28</f>
        <v>120.0</v>
      </c>
      <c r="F100" s="10">
        <f>'CAC15'!AS28</f>
        <v>48.0</v>
      </c>
      <c r="G100" s="10">
        <f>'CAC15'!BA28</f>
        <v>0.0</v>
      </c>
      <c r="H100" s="10">
        <f>'CAC15'!BI28</f>
        <v>448.0</v>
      </c>
      <c r="I100" s="11">
        <f>'CAC15'!BJ28</f>
        <v>2.8</v>
      </c>
      <c r="J100" s="8">
        <f>'CAC15'!X28+'CAC15'!AF28+'CAC15'!AN28+'CAC15'!AV28+'CAC15'!BD28</f>
        <v>70560.0</v>
      </c>
      <c r="K100" s="4" t="s">
        <v>258</v>
      </c>
    </row>
    <row r="101" spans="1:11">
      <c r="A101" t="s">
        <v>243</v>
      </c>
      <c r="B101" s="10">
        <f>'Novas50'!A5</f>
        <v>1</v>
      </c>
      <c r="C101" s="10">
        <f>'Novas50'!U5</f>
        <v>0</v>
      </c>
      <c r="D101" s="10">
        <f>'Novas50'!AC5</f>
        <v>0.0</v>
      </c>
      <c r="E101" s="10">
        <f>'Novas50'!AK5</f>
        <v>0.0</v>
      </c>
      <c r="F101" s="10">
        <f>'Novas50'!AS5</f>
        <v>0.0</v>
      </c>
      <c r="G101" s="10">
        <f>'Novas50'!BA5</f>
        <v>0.0</v>
      </c>
      <c r="H101" s="10">
        <f>'Novas50'!BI5</f>
        <v>0.0</v>
      </c>
      <c r="I101" s="11">
        <f>'Novas50'!BJ5</f>
        <v>0.0</v>
      </c>
      <c r="J101" s="8">
        <f>'Novas50'!X5+'Novas50'!AF5+'Novas50'!AN5+'Novas50'!AV5+'Novas50'!BD5</f>
        <v>0.0</v>
      </c>
      <c r="K101" s="4" t="s">
        <v>258</v>
      </c>
    </row>
    <row r="102" spans="1:11">
      <c r="A102" t="s">
        <v>243</v>
      </c>
      <c r="B102" s="10">
        <f>'Novas50'!A6</f>
        <v>2</v>
      </c>
      <c r="C102" s="10">
        <f>'Novas50'!U6</f>
        <v>0</v>
      </c>
      <c r="D102" s="10">
        <f>'Novas50'!AC6</f>
        <v>0.0</v>
      </c>
      <c r="E102" s="10">
        <f>'Novas50'!AK6</f>
        <v>0.0</v>
      </c>
      <c r="F102" s="10">
        <f>'Novas50'!AS6</f>
        <v>0.0</v>
      </c>
      <c r="G102" s="10">
        <f>'Novas50'!BA6</f>
        <v>0.0</v>
      </c>
      <c r="H102" s="10">
        <f>'Novas50'!BI6</f>
        <v>0.0</v>
      </c>
      <c r="I102" s="11">
        <f>'Novas50'!BJ6</f>
        <v>0.0</v>
      </c>
      <c r="J102" s="8">
        <f>'Novas50'!X6+'Novas50'!AF6+'Novas50'!AN6+'Novas50'!AV6+'Novas50'!BD6</f>
        <v>0.0</v>
      </c>
      <c r="K102" s="4" t="s">
        <v>258</v>
      </c>
    </row>
    <row r="103" spans="1:11">
      <c r="A103" t="s">
        <v>243</v>
      </c>
      <c r="B103" s="10">
        <f>'Novas50'!A7</f>
        <v>3</v>
      </c>
      <c r="C103" s="10">
        <f>'Novas50'!U7</f>
        <v>80</v>
      </c>
      <c r="D103" s="10">
        <f>'Novas50'!AC7</f>
        <v>0.0</v>
      </c>
      <c r="E103" s="10">
        <f>'Novas50'!AK7</f>
        <v>0.0</v>
      </c>
      <c r="F103" s="10">
        <f>'Novas50'!AS7</f>
        <v>0.0</v>
      </c>
      <c r="G103" s="10">
        <f>'Novas50'!BA7</f>
        <v>0.0</v>
      </c>
      <c r="H103" s="10">
        <f>'Novas50'!BI7</f>
        <v>80.0</v>
      </c>
      <c r="I103" s="11">
        <f>'Novas50'!BJ7</f>
        <v>0.5</v>
      </c>
      <c r="J103" s="8">
        <f>'Novas50'!X7+'Novas50'!AF7+'Novas50'!AN7+'Novas50'!AV7+'Novas50'!BD7</f>
        <v>14400.0</v>
      </c>
      <c r="K103" s="4" t="s">
        <v>258</v>
      </c>
    </row>
    <row r="104" spans="1:11">
      <c r="A104" t="s">
        <v>243</v>
      </c>
      <c r="B104" s="10">
        <f>'Novas50'!A8</f>
        <v>4</v>
      </c>
      <c r="C104" s="10">
        <f>'Novas50'!U8</f>
        <v>0</v>
      </c>
      <c r="D104" s="10">
        <f>'Novas50'!AC8</f>
        <v>12.0</v>
      </c>
      <c r="E104" s="10">
        <f>'Novas50'!AK8</f>
        <v>0.0</v>
      </c>
      <c r="F104" s="10">
        <f>'Novas50'!AS8</f>
        <v>0.0</v>
      </c>
      <c r="G104" s="10">
        <f>'Novas50'!BA8</f>
        <v>0.0</v>
      </c>
      <c r="H104" s="10">
        <f>'Novas50'!BI8</f>
        <v>12.0</v>
      </c>
      <c r="I104" s="11">
        <f>'Novas50'!BJ8</f>
        <v>0.075</v>
      </c>
      <c r="J104" s="8">
        <f>'Novas50'!X8+'Novas50'!AF8+'Novas50'!AN8+'Novas50'!AV8+'Novas50'!BD8</f>
        <v>1440.0</v>
      </c>
      <c r="K104" s="4" t="s">
        <v>258</v>
      </c>
    </row>
    <row r="105" spans="1:11">
      <c r="A105" t="s">
        <v>243</v>
      </c>
      <c r="B105" s="10">
        <f>'Novas50'!A9</f>
        <v>5</v>
      </c>
      <c r="C105" s="10">
        <f>'Novas50'!U9</f>
        <v>80</v>
      </c>
      <c r="D105" s="10">
        <f>'Novas50'!AC9</f>
        <v>12.0</v>
      </c>
      <c r="E105" s="10">
        <f>'Novas50'!AK9</f>
        <v>0.0</v>
      </c>
      <c r="F105" s="10">
        <f>'Novas50'!AS9</f>
        <v>8.0</v>
      </c>
      <c r="G105" s="10">
        <f>'Novas50'!BA9</f>
        <v>20.0</v>
      </c>
      <c r="H105" s="10">
        <f>'Novas50'!BI9</f>
        <v>120.0</v>
      </c>
      <c r="I105" s="11">
        <f>'Novas50'!BJ9</f>
        <v>0.75</v>
      </c>
      <c r="J105" s="8">
        <f>'Novas50'!X9+'Novas50'!AF9+'Novas50'!AN9+'Novas50'!AV9+'Novas50'!BD9</f>
        <v>20400.0</v>
      </c>
      <c r="K105" s="4" t="s">
        <v>258</v>
      </c>
    </row>
    <row r="106" spans="1:11">
      <c r="A106" t="s">
        <v>243</v>
      </c>
      <c r="B106" s="10">
        <f>'Novas50'!A10</f>
        <v>6</v>
      </c>
      <c r="C106" s="10">
        <f>'Novas50'!U10</f>
        <v>0</v>
      </c>
      <c r="D106" s="10">
        <f>'Novas50'!AC10</f>
        <v>24.0</v>
      </c>
      <c r="E106" s="10">
        <f>'Novas50'!AK10</f>
        <v>0.0</v>
      </c>
      <c r="F106" s="10">
        <f>'Novas50'!AS10</f>
        <v>8.0</v>
      </c>
      <c r="G106" s="10">
        <f>'Novas50'!BA10</f>
        <v>0.0</v>
      </c>
      <c r="H106" s="10">
        <f>'Novas50'!BI10</f>
        <v>32.0</v>
      </c>
      <c r="I106" s="11">
        <f>'Novas50'!BJ10</f>
        <v>0.2</v>
      </c>
      <c r="J106" s="8">
        <f>'Novas50'!X10+'Novas50'!AF10+'Novas50'!AN10+'Novas50'!AV10+'Novas50'!BD10</f>
        <v>3840.0</v>
      </c>
      <c r="K106" s="4" t="s">
        <v>258</v>
      </c>
    </row>
    <row r="107" spans="1:11">
      <c r="A107" t="s">
        <v>243</v>
      </c>
      <c r="B107" s="10">
        <f>'Novas50'!A11</f>
        <v>7</v>
      </c>
      <c r="C107" s="10">
        <f>'Novas50'!U11</f>
        <v>80</v>
      </c>
      <c r="D107" s="10">
        <f>'Novas50'!AC11</f>
        <v>24.0</v>
      </c>
      <c r="E107" s="10">
        <f>'Novas50'!AK11</f>
        <v>40.0</v>
      </c>
      <c r="F107" s="10">
        <f>'Novas50'!AS11</f>
        <v>8.0</v>
      </c>
      <c r="G107" s="10">
        <f>'Novas50'!BA11</f>
        <v>0.0</v>
      </c>
      <c r="H107" s="10">
        <f>'Novas50'!BI11</f>
        <v>152.0</v>
      </c>
      <c r="I107" s="11">
        <f>'Novas50'!BJ11</f>
        <v>0.95</v>
      </c>
      <c r="J107" s="8">
        <f>'Novas50'!X11+'Novas50'!AF11+'Novas50'!AN11+'Novas50'!AV11+'Novas50'!BD11</f>
        <v>25440.0</v>
      </c>
      <c r="K107" s="4" t="s">
        <v>258</v>
      </c>
    </row>
    <row r="108" spans="1:11">
      <c r="A108" t="s">
        <v>243</v>
      </c>
      <c r="B108" s="10">
        <f>'Novas50'!A12</f>
        <v>8</v>
      </c>
      <c r="C108" s="10">
        <f>'Novas50'!U12</f>
        <v>80</v>
      </c>
      <c r="D108" s="10">
        <f>'Novas50'!AC12</f>
        <v>36.0</v>
      </c>
      <c r="E108" s="10">
        <f>'Novas50'!AK12</f>
        <v>40.0</v>
      </c>
      <c r="F108" s="10">
        <f>'Novas50'!AS12</f>
        <v>8.0</v>
      </c>
      <c r="G108" s="10">
        <f>'Novas50'!BA12</f>
        <v>0.0</v>
      </c>
      <c r="H108" s="10">
        <f>'Novas50'!BI12</f>
        <v>164.0</v>
      </c>
      <c r="I108" s="11">
        <f>'Novas50'!BJ12</f>
        <v>1.025</v>
      </c>
      <c r="J108" s="8">
        <f>'Novas50'!X12+'Novas50'!AF12+'Novas50'!AN12+'Novas50'!AV12+'Novas50'!BD12</f>
        <v>26880.0</v>
      </c>
      <c r="K108" s="4" t="s">
        <v>258</v>
      </c>
    </row>
    <row r="109" spans="1:11">
      <c r="A109" t="s">
        <v>243</v>
      </c>
      <c r="B109" s="10">
        <f>'Novas50'!A13</f>
        <v>9</v>
      </c>
      <c r="C109" s="10">
        <f>'Novas50'!U13</f>
        <v>80</v>
      </c>
      <c r="D109" s="10">
        <f>'Novas50'!AC13</f>
        <v>36.0</v>
      </c>
      <c r="E109" s="10">
        <f>'Novas50'!AK13</f>
        <v>40.0</v>
      </c>
      <c r="F109" s="10">
        <f>'Novas50'!AS13</f>
        <v>16.0</v>
      </c>
      <c r="G109" s="10">
        <f>'Novas50'!BA13</f>
        <v>20.0</v>
      </c>
      <c r="H109" s="10">
        <f>'Novas50'!BI13</f>
        <v>192.0</v>
      </c>
      <c r="I109" s="11">
        <f>'Novas50'!BJ13</f>
        <v>1.2</v>
      </c>
      <c r="J109" s="8">
        <f>'Novas50'!X13+'Novas50'!AF13+'Novas50'!AN13+'Novas50'!AV13+'Novas50'!BD13</f>
        <v>31440.0</v>
      </c>
      <c r="K109" s="4" t="s">
        <v>258</v>
      </c>
    </row>
    <row r="110" spans="1:11">
      <c r="A110" t="s">
        <v>243</v>
      </c>
      <c r="B110" s="10">
        <f>'Novas50'!A14</f>
        <v>10</v>
      </c>
      <c r="C110" s="10">
        <f>'Novas50'!U14</f>
        <v>80</v>
      </c>
      <c r="D110" s="10">
        <f>'Novas50'!AC14</f>
        <v>48.0</v>
      </c>
      <c r="E110" s="10">
        <f>'Novas50'!AK14</f>
        <v>40.0</v>
      </c>
      <c r="F110" s="10">
        <f>'Novas50'!AS14</f>
        <v>16.0</v>
      </c>
      <c r="G110" s="10">
        <f>'Novas50'!BA14</f>
        <v>0.0</v>
      </c>
      <c r="H110" s="10">
        <f>'Novas50'!BI14</f>
        <v>184.0</v>
      </c>
      <c r="I110" s="11">
        <f>'Novas50'!BJ14</f>
        <v>1.15</v>
      </c>
      <c r="J110" s="8">
        <f>'Novas50'!X14+'Novas50'!AF14+'Novas50'!AN14+'Novas50'!AV14+'Novas50'!BD14</f>
        <v>29280.0</v>
      </c>
      <c r="K110" s="4" t="s">
        <v>258</v>
      </c>
    </row>
    <row r="111" spans="1:11">
      <c r="A111" t="s">
        <v>243</v>
      </c>
      <c r="B111" s="10">
        <f>'Novas50'!A15</f>
        <v>11</v>
      </c>
      <c r="C111" s="10">
        <f>'Novas50'!U15</f>
        <v>80</v>
      </c>
      <c r="D111" s="10">
        <f>'Novas50'!AC15</f>
        <v>48.0</v>
      </c>
      <c r="E111" s="10">
        <f>'Novas50'!AK15</f>
        <v>40.0</v>
      </c>
      <c r="F111" s="10">
        <f>'Novas50'!AS15</f>
        <v>16.0</v>
      </c>
      <c r="G111" s="10">
        <f>'Novas50'!BA15</f>
        <v>0.0</v>
      </c>
      <c r="H111" s="10">
        <f>'Novas50'!BI15</f>
        <v>184.0</v>
      </c>
      <c r="I111" s="11">
        <f>'Novas50'!BJ15</f>
        <v>1.15</v>
      </c>
      <c r="J111" s="8">
        <f>'Novas50'!X15+'Novas50'!AF15+'Novas50'!AN15+'Novas50'!AV15+'Novas50'!BD15</f>
        <v>29280.0</v>
      </c>
      <c r="K111" s="4" t="s">
        <v>258</v>
      </c>
    </row>
    <row r="112" spans="1:11">
      <c r="A112" t="s">
        <v>243</v>
      </c>
      <c r="B112" s="10">
        <f>'Novas50'!A16</f>
        <v>12</v>
      </c>
      <c r="C112" s="10">
        <f>'Novas50'!U16</f>
        <v>80</v>
      </c>
      <c r="D112" s="10">
        <f>'Novas50'!AC16</f>
        <v>48.0</v>
      </c>
      <c r="E112" s="10">
        <f>'Novas50'!AK16</f>
        <v>40.0</v>
      </c>
      <c r="F112" s="10">
        <f>'Novas50'!AS16</f>
        <v>16.0</v>
      </c>
      <c r="G112" s="10">
        <f>'Novas50'!BA16</f>
        <v>0.0</v>
      </c>
      <c r="H112" s="10">
        <f>'Novas50'!BI16</f>
        <v>184.0</v>
      </c>
      <c r="I112" s="11">
        <f>'Novas50'!BJ16</f>
        <v>1.15</v>
      </c>
      <c r="J112" s="8">
        <f>'Novas50'!X16+'Novas50'!AF16+'Novas50'!AN16+'Novas50'!AV16+'Novas50'!BD16</f>
        <v>29280.0</v>
      </c>
      <c r="K112" s="4" t="s">
        <v>258</v>
      </c>
    </row>
    <row r="113" spans="1:11">
      <c r="A113" t="s">
        <v>243</v>
      </c>
      <c r="B113" s="10">
        <f>'Novas50'!A17</f>
        <v>13</v>
      </c>
      <c r="C113" s="10">
        <f>'Novas50'!U17</f>
        <v>160</v>
      </c>
      <c r="D113" s="10">
        <f>'Novas50'!AC17</f>
        <v>60.0</v>
      </c>
      <c r="E113" s="10">
        <f>'Novas50'!AK17</f>
        <v>40.0</v>
      </c>
      <c r="F113" s="10">
        <f>'Novas50'!AS17</f>
        <v>24.0</v>
      </c>
      <c r="G113" s="10">
        <f>'Novas50'!BA17</f>
        <v>20.0</v>
      </c>
      <c r="H113" s="10">
        <f>'Novas50'!BI17</f>
        <v>304.0</v>
      </c>
      <c r="I113" s="11">
        <f>'Novas50'!BJ17</f>
        <v>1.9</v>
      </c>
      <c r="J113" s="8">
        <f>'Novas50'!X17+'Novas50'!AF17+'Novas50'!AN17+'Novas50'!AV17+'Novas50'!BD17</f>
        <v>49680.0</v>
      </c>
      <c r="K113" s="4" t="s">
        <v>258</v>
      </c>
    </row>
    <row r="114" spans="1:11">
      <c r="A114" t="s">
        <v>243</v>
      </c>
      <c r="B114" s="10">
        <f>'Novas50'!A18</f>
        <v>14</v>
      </c>
      <c r="C114" s="10">
        <f>'Novas50'!U18</f>
        <v>160</v>
      </c>
      <c r="D114" s="10">
        <f>'Novas50'!AC18</f>
        <v>60.0</v>
      </c>
      <c r="E114" s="10">
        <f>'Novas50'!AK18</f>
        <v>40.0</v>
      </c>
      <c r="F114" s="10">
        <f>'Novas50'!AS18</f>
        <v>24.0</v>
      </c>
      <c r="G114" s="10">
        <f>'Novas50'!BA18</f>
        <v>0.0</v>
      </c>
      <c r="H114" s="10">
        <f>'Novas50'!BI18</f>
        <v>284.0</v>
      </c>
      <c r="I114" s="11">
        <f>'Novas50'!BJ18</f>
        <v>1.775</v>
      </c>
      <c r="J114" s="8">
        <f>'Novas50'!X18+'Novas50'!AF18+'Novas50'!AN18+'Novas50'!AV18+'Novas50'!BD18</f>
        <v>46080.0</v>
      </c>
      <c r="K114" s="4" t="s">
        <v>258</v>
      </c>
    </row>
    <row r="115" spans="1:11">
      <c r="A115" t="s">
        <v>243</v>
      </c>
      <c r="B115" s="10">
        <f>'Novas50'!A19</f>
        <v>15</v>
      </c>
      <c r="C115" s="10">
        <f>'Novas50'!U19</f>
        <v>160</v>
      </c>
      <c r="D115" s="10">
        <f>'Novas50'!AC19</f>
        <v>60.0</v>
      </c>
      <c r="E115" s="10">
        <f>'Novas50'!AK19</f>
        <v>40.0</v>
      </c>
      <c r="F115" s="10">
        <f>'Novas50'!AS19</f>
        <v>24.0</v>
      </c>
      <c r="G115" s="10">
        <f>'Novas50'!BA19</f>
        <v>0.0</v>
      </c>
      <c r="H115" s="10">
        <f>'Novas50'!BI19</f>
        <v>284.0</v>
      </c>
      <c r="I115" s="11">
        <f>'Novas50'!BJ19</f>
        <v>1.775</v>
      </c>
      <c r="J115" s="8">
        <f>'Novas50'!X19+'Novas50'!AF19+'Novas50'!AN19+'Novas50'!AV19+'Novas50'!BD19</f>
        <v>46080.0</v>
      </c>
      <c r="K115" s="4" t="s">
        <v>258</v>
      </c>
    </row>
    <row r="116" spans="1:11">
      <c r="A116" t="s">
        <v>243</v>
      </c>
      <c r="B116" s="10">
        <f>'Novas50'!A20</f>
        <v>16</v>
      </c>
      <c r="C116" s="10">
        <f>'Novas50'!U20</f>
        <v>160</v>
      </c>
      <c r="D116" s="10">
        <f>'Novas50'!AC20</f>
        <v>60.0</v>
      </c>
      <c r="E116" s="10">
        <f>'Novas50'!AK20</f>
        <v>40.0</v>
      </c>
      <c r="F116" s="10">
        <f>'Novas50'!AS20</f>
        <v>24.0</v>
      </c>
      <c r="G116" s="10">
        <f>'Novas50'!BA20</f>
        <v>0.0</v>
      </c>
      <c r="H116" s="10">
        <f>'Novas50'!BI20</f>
        <v>284.0</v>
      </c>
      <c r="I116" s="11">
        <f>'Novas50'!BJ20</f>
        <v>1.775</v>
      </c>
      <c r="J116" s="8">
        <f>'Novas50'!X20+'Novas50'!AF20+'Novas50'!AN20+'Novas50'!AV20+'Novas50'!BD20</f>
        <v>46080.0</v>
      </c>
      <c r="K116" s="4" t="s">
        <v>258</v>
      </c>
    </row>
    <row r="117" spans="1:11">
      <c r="A117" t="s">
        <v>243</v>
      </c>
      <c r="B117" s="10">
        <f>'Novas50'!A21</f>
        <v>17</v>
      </c>
      <c r="C117" s="10">
        <f>'Novas50'!U21</f>
        <v>160</v>
      </c>
      <c r="D117" s="10">
        <f>'Novas50'!AC21</f>
        <v>60.0</v>
      </c>
      <c r="E117" s="10">
        <f>'Novas50'!AK21</f>
        <v>40.0</v>
      </c>
      <c r="F117" s="10">
        <f>'Novas50'!AS21</f>
        <v>24.0</v>
      </c>
      <c r="G117" s="10">
        <f>'Novas50'!BA21</f>
        <v>0.0</v>
      </c>
      <c r="H117" s="10">
        <f>'Novas50'!BI21</f>
        <v>284.0</v>
      </c>
      <c r="I117" s="11">
        <f>'Novas50'!BJ21</f>
        <v>1.775</v>
      </c>
      <c r="J117" s="8">
        <f>'Novas50'!X21+'Novas50'!AF21+'Novas50'!AN21+'Novas50'!AV21+'Novas50'!BD21</f>
        <v>46080.0</v>
      </c>
      <c r="K117" s="4" t="s">
        <v>258</v>
      </c>
    </row>
    <row r="118" spans="1:11">
      <c r="A118" t="s">
        <v>243</v>
      </c>
      <c r="B118" s="10">
        <f>'Novas50'!A22</f>
        <v>18</v>
      </c>
      <c r="C118" s="10">
        <f>'Novas50'!U22</f>
        <v>160</v>
      </c>
      <c r="D118" s="10">
        <f>'Novas50'!AC22</f>
        <v>60.0</v>
      </c>
      <c r="E118" s="10">
        <f>'Novas50'!AK22</f>
        <v>40.0</v>
      </c>
      <c r="F118" s="10">
        <f>'Novas50'!AS22</f>
        <v>24.0</v>
      </c>
      <c r="G118" s="10">
        <f>'Novas50'!BA22</f>
        <v>0.0</v>
      </c>
      <c r="H118" s="10">
        <f>'Novas50'!BI22</f>
        <v>284.0</v>
      </c>
      <c r="I118" s="11">
        <f>'Novas50'!BJ22</f>
        <v>1.775</v>
      </c>
      <c r="J118" s="8">
        <f>'Novas50'!X22+'Novas50'!AF22+'Novas50'!AN22+'Novas50'!AV22+'Novas50'!BD22</f>
        <v>46080.0</v>
      </c>
      <c r="K118" s="4" t="s">
        <v>258</v>
      </c>
    </row>
    <row r="119" spans="1:11">
      <c r="A119" t="s">
        <v>243</v>
      </c>
      <c r="B119" s="10">
        <f>'Novas50'!A23</f>
        <v>19</v>
      </c>
      <c r="C119" s="10">
        <f>'Novas50'!U23</f>
        <v>160</v>
      </c>
      <c r="D119" s="10">
        <f>'Novas50'!AC23</f>
        <v>60.0</v>
      </c>
      <c r="E119" s="10">
        <f>'Novas50'!AK23</f>
        <v>40.0</v>
      </c>
      <c r="F119" s="10">
        <f>'Novas50'!AS23</f>
        <v>24.0</v>
      </c>
      <c r="G119" s="10">
        <f>'Novas50'!BA23</f>
        <v>0.0</v>
      </c>
      <c r="H119" s="10">
        <f>'Novas50'!BI23</f>
        <v>284.0</v>
      </c>
      <c r="I119" s="11">
        <f>'Novas50'!BJ23</f>
        <v>1.775</v>
      </c>
      <c r="J119" s="8">
        <f>'Novas50'!X23+'Novas50'!AF23+'Novas50'!AN23+'Novas50'!AV23+'Novas50'!BD23</f>
        <v>46080.0</v>
      </c>
      <c r="K119" s="4" t="s">
        <v>258</v>
      </c>
    </row>
    <row r="120" spans="1:11">
      <c r="A120" t="s">
        <v>243</v>
      </c>
      <c r="B120" s="10">
        <f>'Novas50'!A24</f>
        <v>20</v>
      </c>
      <c r="C120" s="10">
        <f>'Novas50'!U24</f>
        <v>160</v>
      </c>
      <c r="D120" s="10">
        <f>'Novas50'!AC24</f>
        <v>60.0</v>
      </c>
      <c r="E120" s="10">
        <f>'Novas50'!AK24</f>
        <v>40.0</v>
      </c>
      <c r="F120" s="10">
        <f>'Novas50'!AS24</f>
        <v>24.0</v>
      </c>
      <c r="G120" s="10">
        <f>'Novas50'!BA24</f>
        <v>0.0</v>
      </c>
      <c r="H120" s="10">
        <f>'Novas50'!BI24</f>
        <v>284.0</v>
      </c>
      <c r="I120" s="11">
        <f>'Novas50'!BJ24</f>
        <v>1.775</v>
      </c>
      <c r="J120" s="8">
        <f>'Novas50'!X24+'Novas50'!AF24+'Novas50'!AN24+'Novas50'!AV24+'Novas50'!BD24</f>
        <v>46080.0</v>
      </c>
      <c r="K120" s="4" t="s">
        <v>258</v>
      </c>
    </row>
    <row r="121" spans="1:11">
      <c r="A121" t="s">
        <v>243</v>
      </c>
      <c r="B121" s="10">
        <f>'Novas50'!A25</f>
        <v>21</v>
      </c>
      <c r="C121" s="10">
        <f>'Novas50'!U25</f>
        <v>160</v>
      </c>
      <c r="D121" s="10">
        <f>'Novas50'!AC25</f>
        <v>60.0</v>
      </c>
      <c r="E121" s="10">
        <f>'Novas50'!AK25</f>
        <v>40.0</v>
      </c>
      <c r="F121" s="10">
        <f>'Novas50'!AS25</f>
        <v>24.0</v>
      </c>
      <c r="G121" s="10">
        <f>'Novas50'!BA25</f>
        <v>0.0</v>
      </c>
      <c r="H121" s="10">
        <f>'Novas50'!BI25</f>
        <v>284.0</v>
      </c>
      <c r="I121" s="11">
        <f>'Novas50'!BJ25</f>
        <v>1.775</v>
      </c>
      <c r="J121" s="8">
        <f>'Novas50'!X25+'Novas50'!AF25+'Novas50'!AN25+'Novas50'!AV25+'Novas50'!BD25</f>
        <v>46080.0</v>
      </c>
      <c r="K121" s="4" t="s">
        <v>258</v>
      </c>
    </row>
    <row r="122" spans="1:11">
      <c r="A122" t="s">
        <v>243</v>
      </c>
      <c r="B122" s="10">
        <f>'Novas50'!A26</f>
        <v>22</v>
      </c>
      <c r="C122" s="10">
        <f>'Novas50'!U26</f>
        <v>160</v>
      </c>
      <c r="D122" s="10">
        <f>'Novas50'!AC26</f>
        <v>60.0</v>
      </c>
      <c r="E122" s="10">
        <f>'Novas50'!AK26</f>
        <v>40.0</v>
      </c>
      <c r="F122" s="10">
        <f>'Novas50'!AS26</f>
        <v>24.0</v>
      </c>
      <c r="G122" s="10">
        <f>'Novas50'!BA26</f>
        <v>0.0</v>
      </c>
      <c r="H122" s="10">
        <f>'Novas50'!BI26</f>
        <v>284.0</v>
      </c>
      <c r="I122" s="11">
        <f>'Novas50'!BJ26</f>
        <v>1.775</v>
      </c>
      <c r="J122" s="8">
        <f>'Novas50'!X26+'Novas50'!AF26+'Novas50'!AN26+'Novas50'!AV26+'Novas50'!BD26</f>
        <v>46080.0</v>
      </c>
      <c r="K122" s="4" t="s">
        <v>258</v>
      </c>
    </row>
    <row r="123" spans="1:11">
      <c r="A123" t="s">
        <v>243</v>
      </c>
      <c r="B123" s="10">
        <f>'Novas50'!A27</f>
        <v>23</v>
      </c>
      <c r="C123" s="10">
        <f>'Novas50'!U27</f>
        <v>160</v>
      </c>
      <c r="D123" s="10">
        <f>'Novas50'!AC27</f>
        <v>60.0</v>
      </c>
      <c r="E123" s="10">
        <f>'Novas50'!AK27</f>
        <v>40.0</v>
      </c>
      <c r="F123" s="10">
        <f>'Novas50'!AS27</f>
        <v>24.0</v>
      </c>
      <c r="G123" s="10">
        <f>'Novas50'!BA27</f>
        <v>0.0</v>
      </c>
      <c r="H123" s="10">
        <f>'Novas50'!BI27</f>
        <v>284.0</v>
      </c>
      <c r="I123" s="11">
        <f>'Novas50'!BJ27</f>
        <v>1.775</v>
      </c>
      <c r="J123" s="8">
        <f>'Novas50'!X27+'Novas50'!AF27+'Novas50'!AN27+'Novas50'!AV27+'Novas50'!BD27</f>
        <v>46080.0</v>
      </c>
      <c r="K123" s="4" t="s">
        <v>258</v>
      </c>
    </row>
    <row r="124" spans="1:11">
      <c r="A124" t="s">
        <v>243</v>
      </c>
      <c r="B124" s="10">
        <f>'Novas50'!A28</f>
        <v>24</v>
      </c>
      <c r="C124" s="10">
        <f>'Novas50'!U28</f>
        <v>160</v>
      </c>
      <c r="D124" s="10">
        <f>'Novas50'!AC28</f>
        <v>60.0</v>
      </c>
      <c r="E124" s="10">
        <f>'Novas50'!AK28</f>
        <v>40.0</v>
      </c>
      <c r="F124" s="10">
        <f>'Novas50'!AS28</f>
        <v>24.0</v>
      </c>
      <c r="G124" s="10">
        <f>'Novas50'!BA28</f>
        <v>0.0</v>
      </c>
      <c r="H124" s="10">
        <f>'Novas50'!BI28</f>
        <v>284.0</v>
      </c>
      <c r="I124" s="11">
        <f>'Novas50'!BJ28</f>
        <v>1.775</v>
      </c>
      <c r="J124" s="8">
        <f>'Novas50'!X28+'Novas50'!AF28+'Novas50'!AN28+'Novas50'!AV28+'Novas50'!BD28</f>
        <v>46080.0</v>
      </c>
      <c r="K124" s="4" t="s">
        <v>258</v>
      </c>
    </row>
    <row r="127" spans="1:11" ht="56" customHeight="1">
      <c r="A127" s="2" t="s">
        <v>259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</row>
  </sheetData>
  <autoFilter ref="A4:K124"/>
  <mergeCells count="2">
    <mergeCell ref="A1:K1"/>
    <mergeCell ref="A127:K127"/>
  </mergeCell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9" width="19.7109375" customWidth="1"/>
  </cols>
  <sheetData>
    <row r="1" spans="1:9" ht="36" customHeight="1">
      <c r="A1" s="1" t="s">
        <v>260</v>
      </c>
      <c r="B1" s="1"/>
      <c r="C1" s="1"/>
      <c r="D1" s="1"/>
      <c r="E1" s="1"/>
      <c r="F1" s="1"/>
      <c r="G1" s="1"/>
      <c r="H1" s="1"/>
      <c r="I1" s="1"/>
    </row>
    <row r="4" spans="1:9" ht="54" customHeight="1">
      <c r="A4" s="3" t="s">
        <v>261</v>
      </c>
      <c r="B4" s="3" t="s">
        <v>262</v>
      </c>
      <c r="C4" s="3" t="s">
        <v>263</v>
      </c>
      <c r="D4" s="3" t="s">
        <v>264</v>
      </c>
      <c r="E4" s="3" t="s">
        <v>265</v>
      </c>
      <c r="F4" s="3" t="s">
        <v>266</v>
      </c>
      <c r="G4" s="3" t="s">
        <v>229</v>
      </c>
      <c r="H4" s="3" t="s">
        <v>231</v>
      </c>
      <c r="I4" s="3" t="s">
        <v>232</v>
      </c>
    </row>
    <row r="5" spans="1:9">
      <c r="A5" s="4" t="s">
        <v>240</v>
      </c>
      <c r="B5" s="8">
        <f>Resumo!E6</f>
        <v>430000.0</v>
      </c>
      <c r="C5" s="8">
        <f>Resumo!C6</f>
        <v>299487.6</v>
      </c>
      <c r="D5" s="10">
        <f>Resumo!F6</f>
        <v>14</v>
      </c>
      <c r="E5" s="8">
        <f>Resumo!G6</f>
        <v>1293635.35</v>
      </c>
      <c r="F5" s="8">
        <f>E5-$E$5</f>
        <v>0.0</v>
      </c>
      <c r="G5" s="8">
        <f>Resumo!I6</f>
        <v>7102000.0</v>
      </c>
      <c r="H5" s="8">
        <f>Resumo!K6</f>
        <v>178524.2</v>
      </c>
      <c r="I5" s="10">
        <f>Resumo!L6</f>
        <v>448.0</v>
      </c>
    </row>
    <row r="6" spans="1:9">
      <c r="A6" s="4" t="s">
        <v>242</v>
      </c>
      <c r="B6" s="8">
        <f>Resumo!E8</f>
        <v>500000.0</v>
      </c>
      <c r="C6" s="8">
        <f>Resumo!C8</f>
        <v>368483.3</v>
      </c>
      <c r="D6" s="10">
        <f>Resumo!F8</f>
        <v>21</v>
      </c>
      <c r="E6" s="8">
        <f>Resumo!G8</f>
        <v>212385.35</v>
      </c>
      <c r="F6" s="8">
        <f>E6-$E$5</f>
        <v>-1081250.0</v>
      </c>
      <c r="G6" s="8">
        <f>Resumo!I8</f>
        <v>7102000.0</v>
      </c>
      <c r="H6" s="8">
        <f>Resumo!K8</f>
        <v>103524.2</v>
      </c>
      <c r="I6" s="10">
        <f>Resumo!L8</f>
        <v>448.0</v>
      </c>
    </row>
    <row r="7" spans="1:9">
      <c r="A7" s="4" t="s">
        <v>243</v>
      </c>
      <c r="B7" s="8">
        <f>Resumo!E9</f>
        <v>490000.0</v>
      </c>
      <c r="C7" s="8">
        <f>Resumo!C9</f>
        <v>357124.55</v>
      </c>
      <c r="D7" s="10">
        <f>Resumo!F9</f>
        <v>17</v>
      </c>
      <c r="E7" s="8">
        <f>Resumo!G9</f>
        <v>825105.35</v>
      </c>
      <c r="F7" s="8">
        <f>E7-$E$5</f>
        <v>-468530.0</v>
      </c>
      <c r="G7" s="8">
        <f>Resumo!I9</f>
        <v>6268000.0</v>
      </c>
      <c r="H7" s="8">
        <f>Resumo!K9</f>
        <v>150434.2</v>
      </c>
      <c r="I7" s="10">
        <f>Resumo!L9</f>
        <v>284.0</v>
      </c>
    </row>
    <row r="10" spans="1:9" ht="66" customHeight="1">
      <c r="A10" s="2" t="s">
        <v>267</v>
      </c>
      <c r="B10" s="2"/>
      <c r="C10" s="2"/>
      <c r="D10" s="2"/>
      <c r="E10" s="2"/>
      <c r="F10" s="2"/>
      <c r="G10" s="2"/>
      <c r="H10" s="2"/>
      <c r="I10" s="2"/>
    </row>
    <row r="13" spans="1:9" ht="56" customHeight="1">
      <c r="A13" s="2" t="s">
        <v>268</v>
      </c>
      <c r="B13" s="2"/>
      <c r="C13" s="2"/>
      <c r="D13" s="2"/>
      <c r="E13" s="2"/>
      <c r="F13" s="2"/>
      <c r="G13" s="2"/>
      <c r="H13" s="2"/>
      <c r="I13" s="2"/>
    </row>
  </sheetData>
  <mergeCells count="3">
    <mergeCell ref="A1:I1"/>
    <mergeCell ref="A10:I10"/>
    <mergeCell ref="A13:I13"/>
  </mergeCell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7" width="19.7109375" customWidth="1"/>
  </cols>
  <sheetData>
    <row r="1" spans="1:7" ht="36" customHeight="1">
      <c r="A1" s="1" t="s">
        <v>269</v>
      </c>
      <c r="B1" s="1"/>
      <c r="C1" s="1"/>
      <c r="D1" s="1"/>
      <c r="E1" s="1"/>
      <c r="F1" s="1"/>
      <c r="G1" s="1"/>
    </row>
    <row r="4" spans="1:7" ht="54" customHeight="1">
      <c r="A4" s="3" t="s">
        <v>270</v>
      </c>
      <c r="B4" s="3" t="s">
        <v>271</v>
      </c>
      <c r="C4" s="3" t="s">
        <v>272</v>
      </c>
    </row>
    <row r="5" spans="1:7">
      <c r="A5" s="8">
        <f>'Premissas'!$B$21</f>
        <v>76000</v>
      </c>
      <c r="B5" s="5">
        <v>2000</v>
      </c>
      <c r="C5" s="11">
        <f>IF(B5&gt;0,A5/B5,"Sem recuperação")</f>
        <v>38.0</v>
      </c>
    </row>
    <row r="6" spans="1:7">
      <c r="A6" s="8">
        <f>'Premissas'!$B$21</f>
        <v>76000</v>
      </c>
      <c r="B6" s="5">
        <v>5000</v>
      </c>
      <c r="C6" s="11">
        <f>IF(B6&gt;0,A6/B6,"Sem recuperação")</f>
        <v>15.2</v>
      </c>
    </row>
    <row r="7" spans="1:7">
      <c r="A7" s="8">
        <f>'Premissas'!$B$21</f>
        <v>76000</v>
      </c>
      <c r="B7" s="5">
        <v>10000</v>
      </c>
      <c r="C7" s="11">
        <f>IF(B7&gt;0,A7/B7,"Sem recuperação")</f>
        <v>7.6</v>
      </c>
    </row>
    <row r="10" spans="1:7" ht="54" customHeight="1">
      <c r="A10" s="2" t="s">
        <v>273</v>
      </c>
      <c r="B10" s="2"/>
      <c r="C10" s="2"/>
      <c r="D10" s="2"/>
      <c r="E10" s="2"/>
      <c r="F10" s="2"/>
      <c r="G10" s="2"/>
    </row>
    <row r="13" spans="1:7" ht="70" customHeight="1">
      <c r="A13" s="2" t="s">
        <v>274</v>
      </c>
      <c r="B13" s="2"/>
      <c r="C13" s="2"/>
      <c r="D13" s="2"/>
      <c r="E13" s="2"/>
      <c r="F13" s="2"/>
      <c r="G13" s="2"/>
    </row>
    <row r="16" spans="1:7" ht="56" customHeight="1">
      <c r="A16" s="2" t="s">
        <v>275</v>
      </c>
      <c r="B16" s="2"/>
      <c r="C16" s="2"/>
      <c r="D16" s="2"/>
      <c r="E16" s="2"/>
      <c r="F16" s="2"/>
      <c r="G16" s="2"/>
    </row>
  </sheetData>
  <mergeCells count="4">
    <mergeCell ref="A1:G1"/>
    <mergeCell ref="A10:G10"/>
    <mergeCell ref="A13:G13"/>
    <mergeCell ref="A16:G16"/>
  </mergeCells>
  <dataValidations count="3">
    <dataValidation type="decimal" allowBlank="1" showInputMessage="1" showErrorMessage="1" sqref="B5">
      <formula1>0</formula1>
      <formula2>1000000000</formula2>
    </dataValidation>
    <dataValidation type="decimal" allowBlank="1" showInputMessage="1" showErrorMessage="1" sqref="B6">
      <formula1>0</formula1>
      <formula2>1000000000</formula2>
    </dataValidation>
    <dataValidation type="decimal" allowBlank="1" showInputMessage="1" showErrorMessage="1" sqref="B7">
      <formula1>0</formula1>
      <formula2>1000000000</formula2>
    </dataValidation>
  </dataValidation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7.7109375" customWidth="1"/>
    <col min="2" max="2" width="62.7109375" customWidth="1"/>
    <col min="3" max="3" width="26.7109375" customWidth="1"/>
    <col min="4" max="4" width="95.7109375" customWidth="1"/>
  </cols>
  <sheetData>
    <row r="1" spans="1:4" ht="36" customHeight="1">
      <c r="A1" s="1" t="s">
        <v>276</v>
      </c>
      <c r="B1" s="1"/>
      <c r="C1" s="1"/>
      <c r="D1" s="1"/>
    </row>
    <row r="4" spans="1:4" ht="54" customHeight="1">
      <c r="A4" s="3" t="s">
        <v>277</v>
      </c>
      <c r="B4" s="3" t="s">
        <v>278</v>
      </c>
      <c r="C4" s="3" t="s">
        <v>279</v>
      </c>
      <c r="D4" s="3" t="s">
        <v>280</v>
      </c>
    </row>
    <row r="5" spans="1:4" ht="86" customHeight="1">
      <c r="A5" s="4" t="s">
        <v>281</v>
      </c>
      <c r="B5" s="4" t="s">
        <v>282</v>
      </c>
      <c r="C5" s="4" t="s">
        <v>283</v>
      </c>
      <c r="D5" s="4" t="s">
        <v>284</v>
      </c>
    </row>
    <row r="6" spans="1:4" ht="86" customHeight="1">
      <c r="A6" s="4" t="s">
        <v>285</v>
      </c>
      <c r="B6" s="4" t="s">
        <v>286</v>
      </c>
      <c r="C6" s="4" t="s">
        <v>283</v>
      </c>
      <c r="D6" s="4" t="s">
        <v>287</v>
      </c>
    </row>
    <row r="7" spans="1:4" ht="86" customHeight="1">
      <c r="A7" s="4" t="s">
        <v>288</v>
      </c>
      <c r="B7" s="4" t="s">
        <v>289</v>
      </c>
      <c r="C7" s="4" t="s">
        <v>283</v>
      </c>
      <c r="D7" s="4" t="s">
        <v>290</v>
      </c>
    </row>
    <row r="8" spans="1:4" ht="86" customHeight="1">
      <c r="A8" s="4" t="s">
        <v>291</v>
      </c>
      <c r="B8" s="12" t="s">
        <v>292</v>
      </c>
      <c r="C8" s="4" t="s">
        <v>293</v>
      </c>
      <c r="D8" s="4" t="s">
        <v>294</v>
      </c>
    </row>
    <row r="9" spans="1:4" ht="86" customHeight="1">
      <c r="A9" s="4" t="s">
        <v>295</v>
      </c>
      <c r="B9" s="12" t="s">
        <v>296</v>
      </c>
      <c r="C9" s="4" t="s">
        <v>297</v>
      </c>
      <c r="D9" s="4" t="s">
        <v>298</v>
      </c>
    </row>
  </sheetData>
  <mergeCells count="1">
    <mergeCell ref="A1:D1"/>
  </mergeCells>
  <hyperlinks>
    <hyperlink ref="B8" r:id="rId1"/>
    <hyperlink ref="B9" r:id="rId2"/>
  </hyperlinks>
  <pageMargins left="0.7" right="0.7" top="0.75" bottom="0.75" header="0.3" footer="0.3"/>
  <pageSetup fitToHeight="0" orientation="landscape"/>
  <headerFooter>
    <oddFooter>&amp;LAUMI | Hipóteses, não promessa&amp;R&amp;P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19</vt:i4>
      </vt:variant>
    </vt:vector>
  </HeadingPairs>
  <TitlesOfParts>
    <vt:vector size="33" baseType="lpstr">
      <vt:lpstr>Leia primeiro</vt:lpstr>
      <vt:lpstr>Premissas</vt:lpstr>
      <vt:lpstr>Ofertas</vt:lpstr>
      <vt:lpstr>Conservador</vt:lpstr>
      <vt:lpstr>Base</vt:lpstr>
      <vt:lpstr>Escala24</vt:lpstr>
      <vt:lpstr>CAC15</vt:lpstr>
      <vt:lpstr>Novas50</vt:lpstr>
      <vt:lpstr>Resumo</vt:lpstr>
      <vt:lpstr>Capital</vt:lpstr>
      <vt:lpstr>Capacidade</vt:lpstr>
      <vt:lpstr>Sensibilidades</vt:lpstr>
      <vt:lpstr>Máquina incremental</vt:lpstr>
      <vt:lpstr>Fontes</vt:lpstr>
      <vt:lpstr>Base!Print_Area</vt:lpstr>
      <vt:lpstr>CAC15!Print_Area</vt:lpstr>
      <vt:lpstr>Conservador!Print_Area</vt:lpstr>
      <vt:lpstr>Escala24!Print_Area</vt:lpstr>
      <vt:lpstr>Novas50!Print_Area</vt:lpstr>
      <vt:lpstr>Base!Print_Titles</vt:lpstr>
      <vt:lpstr>CAC15!Print_Titles</vt:lpstr>
      <vt:lpstr>Capacidade!Print_Titles</vt:lpstr>
      <vt:lpstr>Capital!Print_Titles</vt:lpstr>
      <vt:lpstr>Conservador!Print_Titles</vt:lpstr>
      <vt:lpstr>Escala24!Print_Titles</vt:lpstr>
      <vt:lpstr>Fontes!Print_Titles</vt:lpstr>
      <vt:lpstr>'Leia primeiro'!Print_Titles</vt:lpstr>
      <vt:lpstr>'Máquina incremental'!Print_Titles</vt:lpstr>
      <vt:lpstr>Novas50!Print_Titles</vt:lpstr>
      <vt:lpstr>Ofertas!Print_Titles</vt:lpstr>
      <vt:lpstr>Premissas!Print_Titles</vt:lpstr>
      <vt:lpstr>Resumo!Print_Titles</vt:lpstr>
      <vt:lpstr>Sensibilidades!Print_Titles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AUMI | Infraestrutura produtiva — cinco frentes</dc:title>
  <dc:creator>AUMI</dc:creator>
  <dc:description>Hipóteses editáveis, não pipeline. Modelo expandido em02/10/2026.</dc:description>
  <cp:lastModifiedBy>AUMI</cp:lastModifiedBy>
  <dcterms:created xsi:type="dcterms:W3CDTF">2026-10-02T22:34:02Z</dcterms:created>
  <dcterms:modified xsi:type="dcterms:W3CDTF">2026-10-02T22:34:02Z</dcterms:modified>
</cp:coreProperties>
</file>